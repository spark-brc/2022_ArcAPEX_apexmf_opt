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drawings/drawing7.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drawings/drawing8.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omments5.xml" ContentType="application/vnd.openxmlformats-officedocument.spreadsheetml.comments+xml"/>
  <Override PartName="/xl/drawings/drawing9.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6.xml" ContentType="application/vnd.openxmlformats-officedocument.spreadsheetml.comments+xml"/>
  <Override PartName="/xl/drawings/drawing10.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comments7.xml" ContentType="application/vnd.openxmlformats-officedocument.spreadsheetml.comments+xml"/>
  <Override PartName="/xl/drawings/drawing11.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comments8.xml" ContentType="application/vnd.openxmlformats-officedocument.spreadsheetml.comments+xml"/>
  <Override PartName="/xl/drawings/drawing12.xml" ContentType="application/vnd.openxmlformats-officedocument.drawing+xml"/>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9.xml" ContentType="application/vnd.openxmlformats-officedocument.spreadsheetml.comments+xml"/>
  <Override PartName="/xl/drawings/drawing13.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comments10.xml" ContentType="application/vnd.openxmlformats-officedocument.spreadsheetml.comments+xml"/>
  <Override PartName="/xl/drawings/drawing14.xml" ContentType="application/vnd.openxmlformats-officedocument.drawing+xml"/>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comments11.xml" ContentType="application/vnd.openxmlformats-officedocument.spreadsheetml.comments+xml"/>
  <Override PartName="/xl/drawings/drawing15.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2.xml" ContentType="application/vnd.openxmlformats-officedocument.spreadsheetml.comments+xml"/>
  <Override PartName="/xl/drawings/drawing16.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comments13.xml" ContentType="application/vnd.openxmlformats-officedocument.spreadsheetml.comments+xml"/>
  <Override PartName="/xl/drawings/drawing17.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comments14.xml" ContentType="application/vnd.openxmlformats-officedocument.spreadsheetml.comments+xml"/>
  <Override PartName="/xl/drawings/drawing18.xml" ContentType="application/vnd.openxmlformats-officedocument.drawing+xml"/>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15.xml" ContentType="application/vnd.openxmlformats-officedocument.spreadsheetml.comments+xml"/>
  <Override PartName="/xl/drawings/drawing19.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comments16.xml" ContentType="application/vnd.openxmlformats-officedocument.spreadsheetml.comments+xml"/>
  <Override PartName="/xl/drawings/drawing20.xml" ContentType="application/vnd.openxmlformats-officedocument.drawing+xml"/>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231" codeName="{B08E4597-CF32-672E-EC9B-63DB714DCB7F}"/>
  <workbookPr codeName="ThisWorkbook"/>
  <mc:AlternateContent xmlns:mc="http://schemas.openxmlformats.org/markup-compatibility/2006">
    <mc:Choice Requires="x15">
      <x15ac:absPath xmlns:x15ac="http://schemas.microsoft.com/office/spreadsheetml/2010/11/ac" url="D:\Projects\Watersheds\Animas\Analysis\APEX-MODFLOWs\calibrations\qam_test\APEX-MODFLOW\"/>
    </mc:Choice>
  </mc:AlternateContent>
  <xr:revisionPtr revIDLastSave="0" documentId="13_ncr:1_{CAFDA274-B2CB-43B3-8056-CF6A68CF4233}" xr6:coauthVersionLast="45" xr6:coauthVersionMax="45" xr10:uidLastSave="{00000000-0000-0000-0000-000000000000}"/>
  <bookViews>
    <workbookView xWindow="13485" yWindow="4605" windowWidth="38700" windowHeight="15555" tabRatio="869" firstSheet="4" activeTab="19" xr2:uid="{00000000-000D-0000-FFFF-FFFF00000000}"/>
  </bookViews>
  <sheets>
    <sheet name="FILENAMES" sheetId="2" r:id="rId1"/>
    <sheet name="APEXFILE.DAT" sheetId="1" r:id="rId2"/>
    <sheet name="APEXRUN.DAT" sheetId="3" r:id="rId3"/>
    <sheet name="APEXCONT.DAT" sheetId="4" r:id="rId4"/>
    <sheet name="SUBAREA.SUB" sheetId="16" r:id="rId5"/>
    <sheet name="APEXDIM.DAT" sheetId="11" r:id="rId6"/>
    <sheet name="PARM.DAT" sheetId="9" r:id="rId7"/>
    <sheet name="TILL.DAT" sheetId="5" r:id="rId8"/>
    <sheet name="CROP.DAT" sheetId="6" r:id="rId9"/>
    <sheet name="FERT.DAT" sheetId="7" r:id="rId10"/>
    <sheet name="PEST.DAT" sheetId="8" r:id="rId11"/>
    <sheet name="OPS.OPC" sheetId="12" r:id="rId12"/>
    <sheet name="SOL.SOL" sheetId="17" r:id="rId13"/>
    <sheet name="OPSC.LIST" sheetId="18" r:id="rId14"/>
    <sheet name="SOLC.LIST" sheetId="20" r:id="rId15"/>
    <sheet name="WDLST.LIST" sheetId="13" r:id="rId16"/>
    <sheet name="WPM1.LIST" sheetId="14" r:id="rId17"/>
    <sheet name="WIND.LIST" sheetId="15" r:id="rId18"/>
    <sheet name="SIT.SIT" sheetId="19" r:id="rId19"/>
    <sheet name="PRINT.DAT" sheetId="10" r:id="rId20"/>
  </sheets>
  <definedNames>
    <definedName name="_xlnm._FilterDatabase" localSheetId="3" hidden="1">APEXCONT.DAT!$A$91:$D$98</definedName>
    <definedName name="_xlnm._FilterDatabase" localSheetId="18" hidden="1">SIT.SIT!$A$35:$D$42</definedName>
    <definedName name="_Toc352162512" localSheetId="5">APEXDIM.DAT!$A$1</definedName>
    <definedName name="OLE_LINK27" localSheetId="1">APEXFILE.DAT!#REF!</definedName>
    <definedName name="OLE_LINK29" localSheetId="1">APEXFILE.DAT!$C$7</definedName>
    <definedName name="OLE_LINK3" localSheetId="3">APEXCONT.DAT!#REF!</definedName>
    <definedName name="OLE_LINK3" localSheetId="18">SIT.SIT!#REF!</definedName>
    <definedName name="OLE_LINK33" localSheetId="3">APEXCONT.DAT!$A$27</definedName>
    <definedName name="OLE_LINK33" localSheetId="18">SIT.SIT!#REF!</definedName>
    <definedName name="OLE_LINK52" localSheetId="19">PRINT.DAT!$J$15</definedName>
    <definedName name="OLE_LINK61" localSheetId="19">PRINT.DAT!#REF!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0" i="9" l="1"/>
  <c r="AS6" i="9" l="1"/>
  <c r="AS8" i="9" s="1"/>
  <c r="AS7" i="9"/>
  <c r="AS9" i="9" s="1"/>
  <c r="AS13" i="9" l="1"/>
  <c r="AU20" i="9" s="1"/>
  <c r="AS10" i="9"/>
  <c r="AU10" i="9" l="1"/>
  <c r="AU17" i="9"/>
  <c r="AU26" i="9"/>
  <c r="AU11" i="9"/>
  <c r="AU23" i="9"/>
  <c r="AU7" i="9"/>
  <c r="AU19" i="9"/>
  <c r="AU15" i="9"/>
  <c r="AU22" i="9"/>
  <c r="AU6" i="9"/>
  <c r="AU13" i="9"/>
  <c r="AU16" i="9"/>
  <c r="AU18" i="9"/>
  <c r="AU25" i="9"/>
  <c r="AU9" i="9"/>
  <c r="AU12" i="9"/>
  <c r="AU14" i="9"/>
  <c r="AU21" i="9"/>
  <c r="AU24" i="9"/>
  <c r="AU8" i="9"/>
  <c r="AS11" i="9"/>
  <c r="AS12" i="9" s="1"/>
  <c r="AV26" i="9" l="1"/>
  <c r="AV19" i="9"/>
  <c r="AV23" i="9"/>
  <c r="AV20" i="9"/>
  <c r="AV24" i="9"/>
  <c r="AV21" i="9"/>
  <c r="AV25" i="9"/>
  <c r="AV22" i="9"/>
  <c r="AV8" i="9"/>
  <c r="AV12" i="9"/>
  <c r="AV16" i="9"/>
  <c r="AV9" i="9"/>
  <c r="AV13" i="9"/>
  <c r="AV17" i="9"/>
  <c r="AV6" i="9"/>
  <c r="AV10" i="9"/>
  <c r="AV14" i="9"/>
  <c r="AV18" i="9"/>
  <c r="AV11" i="9"/>
  <c r="AV15" i="9"/>
  <c r="AV7"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B7" authorId="0" shapeId="0" xr:uid="{00000000-0006-0000-0000-000001000000}">
      <text>
        <r>
          <rPr>
            <sz val="9"/>
            <color indexed="81"/>
            <rFont val="Tahoma"/>
            <family val="2"/>
          </rPr>
          <t>Set the path to the folder where APEX0806.EXE and input files are.
Leave blank to use the current work directory.</t>
        </r>
      </text>
    </comment>
    <comment ref="L7" authorId="1" shapeId="0" xr:uid="{00000000-0006-0000-0000-000002000000}">
      <text>
        <r>
          <rPr>
            <sz val="9"/>
            <color indexed="81"/>
            <rFont val="Tahoma"/>
            <family val="2"/>
          </rPr>
          <t xml:space="preserve">By default the APEX executable is: </t>
        </r>
        <r>
          <rPr>
            <b/>
            <sz val="9"/>
            <color indexed="81"/>
            <rFont val="Tahoma"/>
            <family val="2"/>
          </rPr>
          <t>APEX1307.exe</t>
        </r>
        <r>
          <rPr>
            <sz val="9"/>
            <color indexed="81"/>
            <rFont val="Tahoma"/>
            <family val="2"/>
          </rPr>
          <t xml:space="preserve">
If different, provide the name of the executable (not the extension). Otherwise, leave empty.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300-000001000000}">
      <text>
        <r>
          <rPr>
            <sz val="9"/>
            <color indexed="81"/>
            <rFont val="Tahoma"/>
            <family val="2"/>
          </rPr>
          <t>Type the file name and extension must strart with APEXCONT (i.e. APEXCONT*.DAT)</t>
        </r>
      </text>
    </comment>
    <comment ref="B10" authorId="1" shapeId="0" xr:uid="{00000000-0006-0000-0300-000002000000}">
      <text>
        <r>
          <rPr>
            <sz val="9"/>
            <color indexed="81"/>
            <rFont val="Tahoma"/>
            <family val="2"/>
          </rPr>
          <t>1 Annual watershed output 
2 Annual printout 
3 Monthly 
4 Monthly with soil table
5 Monthly with soil table at harvest 
6 Daily at NIPD interval 
7 Soil table at daily NIPD interval
8 Daily interval, rainfall days only 
9 Daily during growing season</t>
        </r>
      </text>
    </comment>
    <comment ref="B11" authorId="1" shapeId="0" xr:uid="{00000000-0006-0000-0300-000003000000}">
      <text>
        <r>
          <rPr>
            <sz val="9"/>
            <color indexed="81"/>
            <rFont val="Tahoma"/>
            <family val="2"/>
          </rPr>
          <t>NGN=1 INPUTS RAIN.
NGN=23 INPUTS RAIN, TEMP, AND RAD.
NGN=2345 INPUTS ALL 5 VARIABLES.
NGN=-1 ALL VARIABLES GENERATED(SAME VALUES ALL SUBAREAS).
NGN=0  ALL VARIABLES GENERATED(SPATIALLY DISTRIBUTED).</t>
        </r>
      </text>
    </comment>
    <comment ref="B13" authorId="1" shapeId="0" xr:uid="{00000000-0006-0000-0300-000004000000}">
      <text>
        <r>
          <rPr>
            <sz val="9"/>
            <color indexed="81"/>
            <rFont val="Tahoma"/>
            <family val="2"/>
          </rPr>
          <t>= 0 For normal operation of weather model
= n No yrs input weather before rewinding</t>
        </r>
      </text>
    </comment>
    <comment ref="B14" authorId="1" shapeId="0" xr:uid="{00000000-0006-0000-0300-000005000000}">
      <text>
        <r>
          <rPr>
            <sz val="9"/>
            <color indexed="81"/>
            <rFont val="Tahoma"/>
            <family val="2"/>
          </rPr>
          <t>0 leap year is considered
1 leap year is ignored</t>
        </r>
      </text>
    </comment>
    <comment ref="B15" authorId="1" shapeId="0" xr:uid="{00000000-0006-0000-0300-000006000000}">
      <text>
        <r>
          <rPr>
            <sz val="9"/>
            <color indexed="81"/>
            <rFont val="Tahoma"/>
            <family val="2"/>
          </rPr>
          <t>1 Penman-Monteith (default when IET= 0)
2 Penman
3 Priestley - Taylor
4 Hargreaves
5 Baier - Robertson</t>
        </r>
      </text>
    </comment>
    <comment ref="B16" authorId="1" shapeId="0" xr:uid="{00000000-0006-0000-0300-000007000000}">
      <text>
        <r>
          <rPr>
            <sz val="9"/>
            <color indexed="81"/>
            <rFont val="Tahoma"/>
            <family val="2"/>
          </rPr>
          <t>0 Stochastic curve number estimator (default)
&gt;0 Rigid curve number estimator (Deterministic)</t>
        </r>
      </text>
    </comment>
    <comment ref="B17" authorId="1" shapeId="0" xr:uid="{00000000-0006-0000-0300-000008000000}">
      <text>
        <r>
          <rPr>
            <sz val="9"/>
            <color indexed="81"/>
            <rFont val="Tahoma"/>
            <family val="2"/>
          </rPr>
          <t xml:space="preserve"> 0 Modified Rational EQ Stochastic Peak Rate Estimate
-1 Modified Rational EQ Rigid Peak Rate Estimate
&gt;0 SCS TR55 Peak Rate estimate
  1 → Type 1 rainfall pattern
  2 → Type 1A rainfall pattern
  3 → Type 2 rainfall pattern
  4 → Type 3 rainfall pattern</t>
        </r>
      </text>
    </comment>
    <comment ref="B18" authorId="1" shapeId="0" xr:uid="{00000000-0006-0000-0300-000009000000}">
      <text>
        <r>
          <rPr>
            <sz val="9"/>
            <color indexed="81"/>
            <rFont val="Tahoma"/>
            <family val="2"/>
          </rPr>
          <t>0 Normal erosion of soil profile
1 Static soil profile</t>
        </r>
      </text>
    </comment>
    <comment ref="B19" authorId="1" shapeId="0" xr:uid="{00000000-0006-0000-0300-00000A000000}">
      <text>
        <r>
          <rPr>
            <sz val="9"/>
            <color indexed="81"/>
            <rFont val="Tahoma"/>
            <family val="2"/>
          </rPr>
          <t>0 Normal operation
1 Automatic heat unit schedule</t>
        </r>
      </text>
    </comment>
    <comment ref="B20" authorId="1" shapeId="0" xr:uid="{00000000-0006-0000-0300-00000B000000}">
      <text>
        <r>
          <rPr>
            <sz val="9"/>
            <color indexed="81"/>
            <rFont val="Tahoma"/>
            <family val="2"/>
          </rPr>
          <t>0 Variable daily CN nonlinear CN/SW with depth soil water weighting
1 Variable daily CN nonlinear CN/SW without depth weighting
2 Variable daily CN linear CN/SW no depth weighting
3 Non-varying CN – CN2 used for all storms
4 Variable daily CN SMI (soil moisture index)</t>
        </r>
      </text>
    </comment>
    <comment ref="B21" authorId="1" shapeId="0" xr:uid="{00000000-0006-0000-0300-00000C000000}">
      <text>
        <r>
          <rPr>
            <sz val="9"/>
            <color indexed="81"/>
            <rFont val="Tahoma"/>
            <family val="2"/>
          </rPr>
          <t>0 CN estimate of Q
1 G&amp;A Q, Rain Fall Exponential Distribution, Peak Rainfall Rate simulated
2 G&amp;A Q, Rainfall Exponential Distribution, Peak Rain Fall Input
3 G&amp;A Q, Rainfall uniformly Distribution, Peak RF Input
4 G&amp;A Q, Rainfall input at time interval DTHY</t>
        </r>
      </text>
    </comment>
    <comment ref="B22" authorId="1" shapeId="0" xr:uid="{00000000-0006-0000-0300-00000D000000}">
      <text>
        <r>
          <rPr>
            <sz val="9"/>
            <color indexed="81"/>
            <rFont val="Tahoma"/>
            <family val="2"/>
          </rPr>
          <t>0 Mass only, pesticides in .OUT file
&gt;0 Pesticides &amp; nutrient output in mass and concentration</t>
        </r>
      </text>
    </comment>
    <comment ref="B23" authorId="1" shapeId="0" xr:uid="{00000000-0006-0000-0300-00000E000000}">
      <text>
        <r>
          <rPr>
            <sz val="9"/>
            <color indexed="81"/>
            <rFont val="Tahoma"/>
            <family val="2"/>
          </rPr>
          <t>0 EPIC enrichment ratio method
1 GLEAMS enrichment ratio method</t>
        </r>
      </text>
    </comment>
    <comment ref="B24" authorId="1" shapeId="0" xr:uid="{00000000-0006-0000-0300-00000F000000}">
      <text>
        <r>
          <rPr>
            <sz val="9"/>
            <color indexed="81"/>
            <rFont val="Tahoma"/>
            <family val="2"/>
          </rPr>
          <t>0 Soluble Phosphorus runoff estimate using GLEAMS pesticide equation
1 Langmuir equation</t>
        </r>
      </text>
    </comment>
    <comment ref="B25" authorId="1" shapeId="0" xr:uid="{00000000-0006-0000-0300-000010000000}">
      <text>
        <r>
          <rPr>
            <sz val="9"/>
            <color indexed="81"/>
            <rFont val="Tahoma"/>
            <family val="2"/>
          </rPr>
          <t>0 Smith Curve
1 S-Curve</t>
        </r>
      </text>
    </comment>
    <comment ref="B28" authorId="1" shapeId="0" xr:uid="{00000000-0006-0000-0300-000011000000}">
      <text>
        <r>
          <rPr>
            <sz val="9"/>
            <color indexed="81"/>
            <rFont val="Tahoma"/>
            <family val="2"/>
          </rPr>
          <t xml:space="preserve">= 0 For auto application to subarea with minimum lab p conc
= 1 For variable p rate limits on annual application based on Jan 1 lab p conc.
= 2 For variable n rate limits on annual application based on Jan 1 lab p conc.
= 3 Same as 1 except applications occur on one subarea at a time until lab p conc
</t>
        </r>
      </text>
    </comment>
    <comment ref="B29" authorId="1" shapeId="0" xr:uid="{00000000-0006-0000-0300-000012000000}">
      <text>
        <r>
          <rPr>
            <sz val="9"/>
            <color indexed="81"/>
            <rFont val="Tahoma"/>
            <family val="2"/>
          </rPr>
          <t>= 0 Does not trigger extra pumping</t>
        </r>
      </text>
    </comment>
    <comment ref="B31" authorId="1" shapeId="0" xr:uid="{00000000-0006-0000-0300-000013000000}">
      <text>
        <r>
          <rPr>
            <sz val="9"/>
            <color indexed="81"/>
            <rFont val="Tahoma"/>
            <family val="2"/>
          </rPr>
          <t>0 RUSLE slope length / steepness factor
&gt;0 MUSLE slope length / steepness factor</t>
        </r>
      </text>
    </comment>
    <comment ref="B32" authorId="1" shapeId="0" xr:uid="{00000000-0006-0000-0300-000014000000}">
      <text>
        <r>
          <rPr>
            <sz val="9"/>
            <color indexed="81"/>
            <rFont val="Tahoma"/>
            <family val="2"/>
          </rPr>
          <t>= 0 No air quality analysis
&gt; 0 For air quality analysis</t>
        </r>
      </text>
    </comment>
    <comment ref="B33" authorId="1" shapeId="0" xr:uid="{00000000-0006-0000-0300-000015000000}">
      <text>
        <r>
          <rPr>
            <sz val="9"/>
            <color indexed="81"/>
            <rFont val="Tahoma"/>
            <family val="2"/>
          </rPr>
          <t>0 No flood routing;
1 VSC Flood routing
2 SVS Flood routing
3 Muskingum-Cunge VC
4 Muskingum-Cunge 4 point VC</t>
        </r>
      </text>
    </comment>
    <comment ref="B34" authorId="1" shapeId="0" xr:uid="{00000000-0006-0000-0300-000016000000}">
      <text>
        <r>
          <rPr>
            <sz val="9"/>
            <color indexed="81"/>
            <rFont val="Tahoma"/>
            <family val="2"/>
          </rPr>
          <t>= 0 For constant atmospheric CO2
= 1 For dynamic atmospheric CO2. Base year = 1905; base conc. = 280 ppm
= 2 For inputting CO2. Inputted through daily weather file.</t>
        </r>
      </text>
    </comment>
    <comment ref="B35" authorId="1" shapeId="0" xr:uid="{00000000-0006-0000-0300-000017000000}">
      <text>
        <r>
          <rPr>
            <sz val="9"/>
            <color indexed="81"/>
            <rFont val="Tahoma"/>
            <family val="2"/>
          </rPr>
          <t xml:space="preserve">0 Field capacity/wilting point estimated using the Rawls method (dynamic)
1 Field capacity/wilting point inputted using Rawls method (dynamic)
2 Field capacity/wilting point estimated using Rawls method (static)
3 Field capacity/wilting point inputted (static)
4 Field capacity/wilting point nearest neighbor (dynamic)
5 Field capacity/wilting point nearest neighbor (static)
6 Field capacity/Wilting PT Behrman-Norfleet-Williams (BNW) Dynamic
7 Field capacity/Wilting PT Behrman-Norfleet-Williams (BNW) Static
</t>
        </r>
      </text>
    </comment>
    <comment ref="B37" authorId="1" shapeId="0" xr:uid="{00000000-0006-0000-0300-000018000000}">
      <text>
        <r>
          <rPr>
            <sz val="9"/>
            <color indexed="81"/>
            <rFont val="Tahoma"/>
            <family val="2"/>
          </rPr>
          <t xml:space="preserve">= 0 For reading data from working directory
&gt; 0 For reading from weatdata directory
</t>
        </r>
      </text>
    </comment>
    <comment ref="B39" authorId="1" shapeId="0" xr:uid="{00000000-0006-0000-0300-000019000000}">
      <text>
        <r>
          <rPr>
            <sz val="9"/>
            <color indexed="81"/>
            <rFont val="Tahoma"/>
            <family val="2"/>
          </rPr>
          <t xml:space="preserve">= 0 For original epic oxygen/depth function
&gt; 0 For Armen Kemanian carbon/clay function
</t>
        </r>
      </text>
    </comment>
    <comment ref="B40" authorId="1" shapeId="0" xr:uid="{00000000-0006-0000-0300-00001A000000}">
      <text>
        <r>
          <rPr>
            <sz val="9"/>
            <color indexed="81"/>
            <rFont val="Tahoma"/>
            <family val="2"/>
          </rPr>
          <t xml:space="preserve">= 1 For original EPIC denitrification subprogram
= 2 For Armen Kemanian denitrification subprogram
= 3 For Cesar Izaurralde denitrification subprogram (original dw)
= 4 For Cesar Izaurralde denitrification subprogram (new dw)     
</t>
        </r>
      </text>
    </comment>
    <comment ref="B41" authorId="1" shapeId="0" xr:uid="{00000000-0006-0000-0300-00001B000000}">
      <text>
        <r>
          <rPr>
            <sz val="9"/>
            <color indexed="81"/>
            <rFont val="Tahoma"/>
            <family val="2"/>
          </rPr>
          <t xml:space="preserve">= 0 For using input latitudes for subareas
&gt; 0 For computing equivalent latitude based on azimuth 
  orientation of land slope.
</t>
        </r>
      </text>
    </comment>
    <comment ref="B42" authorId="1" shapeId="0" xr:uid="{00000000-0006-0000-0300-00001C000000}">
      <text>
        <r>
          <rPr>
            <sz val="9"/>
            <color indexed="81"/>
            <rFont val="Tahoma"/>
            <family val="2"/>
          </rPr>
          <t xml:space="preserve">= 0 Turns off auto P application
&gt; 0 For auto P application
</t>
        </r>
      </text>
    </comment>
    <comment ref="B43" authorId="1" shapeId="0" xr:uid="{00000000-0006-0000-0300-00001D000000}">
      <text>
        <r>
          <rPr>
            <sz val="9"/>
            <color indexed="81"/>
            <rFont val="Tahoma"/>
            <family val="2"/>
          </rPr>
          <t xml:space="preserve">= 0 For level 0 (manual) grazing mode(no herd file required)
= 1 For level 1 (hybrid) grazing mode(herd file required) 
= 2 For level 2 (automatic) grazing mode(herd file required)  
</t>
        </r>
      </text>
    </comment>
    <comment ref="B45" authorId="1" shapeId="0" xr:uid="{00000000-0006-0000-0300-00001E000000}">
      <text>
        <r>
          <rPr>
            <sz val="9"/>
            <color indexed="81"/>
            <rFont val="Tahoma"/>
            <family val="2"/>
          </rPr>
          <t xml:space="preserve">= 0 Turns off auto K application
&gt; 0 For auto K application
</t>
        </r>
      </text>
    </comment>
    <comment ref="B47" authorId="1" shapeId="0" xr:uid="{00000000-0006-0000-0300-00001F000000}">
      <text>
        <r>
          <rPr>
            <sz val="9"/>
            <color indexed="81"/>
            <rFont val="Tahoma"/>
            <family val="2"/>
          </rPr>
          <t xml:space="preserve">= 0 For HPERC 
= 1 For HPERC1 (4mm slug flow)
</t>
        </r>
      </text>
    </comment>
    <comment ref="B48" authorId="1" shapeId="0" xr:uid="{00000000-0006-0000-0300-000020000000}">
      <text>
        <r>
          <rPr>
            <sz val="9"/>
            <color indexed="81"/>
            <rFont val="Tahoma"/>
            <family val="2"/>
          </rPr>
          <t xml:space="preserve">ICP  = 0 FOR NCNMI_PHOENIX
       &gt; 0 FOR NCNMI_CENTURY
</t>
        </r>
      </text>
    </comment>
    <comment ref="B49" authorId="1" shapeId="0" xr:uid="{00000000-0006-0000-0300-000021000000}">
      <text>
        <r>
          <rPr>
            <sz val="9"/>
            <color indexed="81"/>
            <rFont val="Tahoma"/>
            <family val="2"/>
          </rPr>
          <t xml:space="preserve">= 0 For Original APEX NITVOL Eqs
&gt; 0 For Izaurralde revised NITVOL Eqs
</t>
        </r>
      </text>
    </comment>
    <comment ref="B50" authorId="1" shapeId="0" xr:uid="{00000000-0006-0000-0300-000022000000}">
      <text>
        <r>
          <rPr>
            <sz val="9"/>
            <color indexed="81"/>
            <rFont val="Tahoma"/>
            <family val="2"/>
          </rPr>
          <t xml:space="preserve">IREM = 0 SSK FROM REMX
        &gt; 0 SSK FROM USLE
</t>
        </r>
      </text>
    </comment>
    <comment ref="B51" authorId="1" shapeId="0" xr:uid="{00000000-0006-0000-0300-000023000000}">
      <text>
        <r>
          <rPr>
            <sz val="9"/>
            <color indexed="81"/>
            <rFont val="Tahoma"/>
            <family val="2"/>
          </rPr>
          <t xml:space="preserve">IHAY = 0 For no hay feeding
        &gt; 0 For hay feeding when forage is &lt; GZLM   </t>
        </r>
      </text>
    </comment>
    <comment ref="B58" authorId="1" shapeId="0" xr:uid="{00000000-0006-0000-0300-000024000000}">
      <text>
        <r>
          <rPr>
            <sz val="9"/>
            <color indexed="81"/>
            <rFont val="Tahoma"/>
            <family val="2"/>
          </rPr>
          <t xml:space="preserve">= 0. Shuts off pest damage function. 
0.05 - 0.1 Very mild pest damage function
1. - 10. Very severe pest damage function
</t>
        </r>
      </text>
    </comment>
    <comment ref="B59" authorId="1" shapeId="0" xr:uid="{00000000-0006-0000-0300-000025000000}">
      <text>
        <r>
          <rPr>
            <sz val="9"/>
            <color indexed="81"/>
            <rFont val="Tahoma"/>
            <family val="2"/>
          </rPr>
          <t>If YWI = 0; The model uses 10.</t>
        </r>
      </text>
    </comment>
    <comment ref="B60" authorId="1" shapeId="0" xr:uid="{00000000-0006-0000-0300-000026000000}">
      <text>
        <r>
          <rPr>
            <sz val="9"/>
            <color indexed="81"/>
            <rFont val="Tahoma"/>
            <family val="2"/>
          </rPr>
          <t>0 if unknown or if W|D probs are input</t>
        </r>
      </text>
    </comment>
    <comment ref="B61" authorId="1" shapeId="0" xr:uid="{00000000-0006-0000-0300-000027000000}">
      <text>
        <r>
          <rPr>
            <sz val="9"/>
            <color indexed="81"/>
            <rFont val="Tahoma"/>
            <family val="2"/>
          </rPr>
          <t>0 if unknown or if ST DEV &amp; SK CF are input</t>
        </r>
      </text>
    </comment>
    <comment ref="B62" authorId="1" shapeId="0" xr:uid="{00000000-0006-0000-0300-000028000000}">
      <text>
        <r>
          <rPr>
            <sz val="9"/>
            <color indexed="81"/>
            <rFont val="Tahoma"/>
            <family val="2"/>
          </rPr>
          <t>0 If CH GEO is input</t>
        </r>
      </text>
    </comment>
    <comment ref="B70" authorId="1" shapeId="0" xr:uid="{00000000-0006-0000-0300-000029000000}">
      <text>
        <r>
          <rPr>
            <sz val="9"/>
            <color indexed="81"/>
            <rFont val="Tahoma"/>
            <family val="2"/>
          </rPr>
          <t>If GWS0 = 0; The model uses 50.</t>
        </r>
      </text>
    </comment>
    <comment ref="B71" authorId="1" shapeId="0" xr:uid="{00000000-0006-0000-0300-00002A000000}">
      <text>
        <r>
          <rPr>
            <sz val="9"/>
            <color indexed="81"/>
            <rFont val="Tahoma"/>
            <family val="2"/>
          </rPr>
          <t>If RFT0 = 0; The model uses 10.</t>
        </r>
      </text>
    </comment>
    <comment ref="B72" authorId="1" shapeId="0" xr:uid="{00000000-0006-0000-0300-00002B000000}">
      <text>
        <r>
          <rPr>
            <sz val="9"/>
            <color indexed="81"/>
            <rFont val="Tahoma"/>
            <family val="2"/>
          </rPr>
          <t>if RFP0 = 0; The model uses 0.5</t>
        </r>
      </text>
    </comment>
    <comment ref="B79" authorId="1" shapeId="0" xr:uid="{00000000-0006-0000-0300-00002C000000}">
      <text>
        <r>
          <rPr>
            <sz val="9"/>
            <color indexed="81"/>
            <rFont val="Tahoma"/>
            <family val="2"/>
          </rPr>
          <t>0 If unknown</t>
        </r>
      </text>
    </comment>
    <comment ref="B80" authorId="1" shapeId="0" xr:uid="{00000000-0006-0000-0300-00002D000000}">
      <text>
        <r>
          <rPr>
            <sz val="9"/>
            <color indexed="81"/>
            <rFont val="Tahoma"/>
            <family val="2"/>
          </rPr>
          <t>0 If unknown</t>
        </r>
      </text>
    </comment>
    <comment ref="B81" authorId="1" shapeId="0" xr:uid="{00000000-0006-0000-0300-00002E000000}">
      <text>
        <r>
          <rPr>
            <sz val="9"/>
            <color indexed="81"/>
            <rFont val="Tahoma"/>
            <family val="2"/>
          </rPr>
          <t xml:space="preserve">= 0.0 No wind erosion
= 1.0 For normal simulation
&gt; 1.0 Accelerates wind erosion(condenses time)
</t>
        </r>
      </text>
    </comment>
    <comment ref="B91" authorId="0" shapeId="0" xr:uid="{00000000-0006-0000-0300-00002F000000}">
      <text>
        <r>
          <rPr>
            <sz val="9"/>
            <color indexed="81"/>
            <rFont val="Tahoma"/>
            <family val="2"/>
          </rPr>
          <t>DRV Equation for Water Erosion
0 MUST Modified MUSLE theoretical based equation
1 AOF Onstad-Foster
2 USLE Universal Soil loss Equation
3 MUSS Small Watershed MUSLE
4 MUSLE Modified USLE
5 MUSI Modified MUSLE with input parameters 
6 RUSLE Revised Universal Soil Loss Equation
7 RUSLE2 Modified RUSLE
(MUSS=Small WS MUSLE;  MUSI=MUSLE with input parms)</t>
        </r>
      </text>
    </comment>
    <comment ref="B95" authorId="1" shapeId="0" xr:uid="{00000000-0006-0000-0300-000030000000}">
      <text>
        <r>
          <rPr>
            <sz val="9"/>
            <color indexed="81"/>
            <rFont val="Tahoma"/>
            <family val="2"/>
          </rPr>
          <t>CPV0 + CPH0 Shoild always be between 0 and 1. (Never greater than 1)</t>
        </r>
      </text>
    </comment>
    <comment ref="B96" authorId="1" shapeId="0" xr:uid="{00000000-0006-0000-0300-000031000000}">
      <text>
        <r>
          <rPr>
            <sz val="9"/>
            <color indexed="81"/>
            <rFont val="Tahoma"/>
            <family val="2"/>
          </rPr>
          <t>CPV0 + CPH0 Shoild always be between 0 and 1. (Never greater than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B00-000001000000}">
      <text>
        <r>
          <rPr>
            <sz val="9"/>
            <color indexed="81"/>
            <rFont val="Tahoma"/>
            <family val="2"/>
          </rPr>
          <t>Type the file name and extension (i.e. FILENAME.DAT) to create new file (Leave blank otherwise)</t>
        </r>
      </text>
    </comment>
    <comment ref="A11" authorId="1" shapeId="0" xr:uid="{00000000-0006-0000-0B00-000002000000}">
      <text>
        <r>
          <rPr>
            <sz val="9"/>
            <color indexed="81"/>
            <rFont val="Tahoma"/>
            <family val="2"/>
          </rPr>
          <t xml:space="preserve">= 0 For non feeding areas
= Herd # for feeding areas
</t>
        </r>
      </text>
    </comment>
    <comment ref="A12" authorId="1" shapeId="0" xr:uid="{00000000-0006-0000-0B00-000003000000}">
      <text>
        <r>
          <rPr>
            <sz val="9"/>
            <color indexed="81"/>
            <rFont val="Tahoma"/>
            <family val="2"/>
          </rPr>
          <t xml:space="preserve">= 0 For non manure appl areas
= - Feed area ID # = 0 For non feeding areas
=   Feed area ID # = Herd # for feeding areas
</t>
        </r>
      </text>
    </comment>
    <comment ref="A14" authorId="1" shapeId="0" xr:uid="{00000000-0006-0000-0B00-000004000000}">
      <text>
        <r>
          <rPr>
            <sz val="9"/>
            <color indexed="81"/>
            <rFont val="Tahoma"/>
            <family val="2"/>
          </rPr>
          <t>= 0 Variable daily CN nonlinear CN/SW with depth soil water weighting
= 1 Variable daily CN nonlinear CN/SW no depth weighting
= 2 Variable daily CN linear CN/SW NO depth weighting
= 3 Non-varying CN--CN2 used for all storms
= 4 Variable daily CN SMI(Soil moisture index)</t>
        </r>
      </text>
    </comment>
    <comment ref="A17" authorId="1" shapeId="0" xr:uid="{00000000-0006-0000-0B00-000005000000}">
      <text>
        <r>
          <rPr>
            <sz val="9"/>
            <color indexed="81"/>
            <rFont val="Tahoma"/>
            <family val="2"/>
          </rPr>
          <t xml:space="preserve">= 0 For normal res principal spillway release
= ID of subarea receiving outflow from burried pipe outlet
</t>
        </r>
      </text>
    </comment>
    <comment ref="A18" authorId="1" shapeId="0" xr:uid="{00000000-0006-0000-0B00-000006000000}">
      <text>
        <r>
          <rPr>
            <sz val="9"/>
            <color indexed="81"/>
            <rFont val="Tahoma"/>
            <family val="2"/>
          </rPr>
          <t>Overrides LUN in .OPC file.</t>
        </r>
      </text>
    </comment>
    <comment ref="A27" authorId="1" shapeId="0" xr:uid="{00000000-0006-0000-0B00-000007000000}">
      <text>
        <r>
          <rPr>
            <sz val="9"/>
            <color indexed="81"/>
            <rFont val="Tahoma"/>
            <family val="2"/>
          </rPr>
          <t>Blank if unknown</t>
        </r>
      </text>
    </comment>
    <comment ref="A28" authorId="1" shapeId="0" xr:uid="{00000000-0006-0000-0B00-000008000000}">
      <text>
        <r>
          <rPr>
            <sz val="9"/>
            <color indexed="81"/>
            <rFont val="Tahoma"/>
            <family val="2"/>
          </rPr>
          <t>Blank if unknown</t>
        </r>
      </text>
    </comment>
    <comment ref="A29" authorId="1" shapeId="0" xr:uid="{00000000-0006-0000-0B00-000009000000}">
      <text>
        <r>
          <rPr>
            <sz val="9"/>
            <color indexed="81"/>
            <rFont val="Tahoma"/>
            <family val="2"/>
          </rPr>
          <t>Blank if unknown</t>
        </r>
      </text>
    </comment>
    <comment ref="A30" authorId="1" shapeId="0" xr:uid="{00000000-0006-0000-0B00-00000A000000}">
      <text>
        <r>
          <rPr>
            <sz val="9"/>
            <color indexed="81"/>
            <rFont val="Tahoma"/>
            <family val="2"/>
          </rPr>
          <t>Blank if unknown</t>
        </r>
      </text>
    </comment>
    <comment ref="A35" authorId="1" shapeId="0" xr:uid="{00000000-0006-0000-0B00-00000B000000}">
      <text>
        <r>
          <rPr>
            <sz val="9"/>
            <color indexed="81"/>
            <rFont val="Tahoma"/>
            <family val="2"/>
          </rPr>
          <t>Blank if unknown</t>
        </r>
      </text>
    </comment>
    <comment ref="A36" authorId="1" shapeId="0" xr:uid="{00000000-0006-0000-0B00-00000C000000}">
      <text>
        <r>
          <rPr>
            <sz val="9"/>
            <color indexed="81"/>
            <rFont val="Tahoma"/>
            <family val="2"/>
          </rPr>
          <t>Blank if unknown</t>
        </r>
      </text>
    </comment>
    <comment ref="A37" authorId="1" shapeId="0" xr:uid="{00000000-0006-0000-0B00-00000D000000}">
      <text>
        <r>
          <rPr>
            <sz val="9"/>
            <color indexed="81"/>
            <rFont val="Tahoma"/>
            <family val="2"/>
          </rPr>
          <t>Blank if unknown</t>
        </r>
      </text>
    </comment>
    <comment ref="A40" authorId="1" shapeId="0" xr:uid="{00000000-0006-0000-0B00-00000E000000}">
      <text>
        <r>
          <rPr>
            <sz val="9"/>
            <color indexed="81"/>
            <rFont val="Tahoma"/>
            <family val="2"/>
          </rPr>
          <t>Blank if unknown</t>
        </r>
      </text>
    </comment>
    <comment ref="A46" authorId="1" shapeId="0" xr:uid="{00000000-0006-0000-0B00-00000F000000}">
      <text>
        <r>
          <rPr>
            <sz val="9"/>
            <color indexed="81"/>
            <rFont val="Tahoma"/>
            <family val="2"/>
          </rPr>
          <t>Blank if unknown</t>
        </r>
      </text>
    </comment>
    <comment ref="A47" authorId="1" shapeId="0" xr:uid="{00000000-0006-0000-0B00-000010000000}">
      <text>
        <r>
          <rPr>
            <sz val="9"/>
            <color indexed="81"/>
            <rFont val="Tahoma"/>
            <family val="2"/>
          </rPr>
          <t>Blank if unknown</t>
        </r>
      </text>
    </comment>
    <comment ref="A48" authorId="1" shapeId="0" xr:uid="{00000000-0006-0000-0B00-000011000000}">
      <text>
        <r>
          <rPr>
            <sz val="9"/>
            <color indexed="81"/>
            <rFont val="Tahoma"/>
            <family val="2"/>
          </rPr>
          <t>Blank if unknown</t>
        </r>
      </text>
    </comment>
    <comment ref="A49" authorId="1" shapeId="0" xr:uid="{00000000-0006-0000-0B00-000012000000}">
      <text>
        <r>
          <rPr>
            <sz val="9"/>
            <color indexed="81"/>
            <rFont val="Tahoma"/>
            <family val="2"/>
          </rPr>
          <t>Blank if unknown</t>
        </r>
      </text>
    </comment>
    <comment ref="A50" authorId="1" shapeId="0" xr:uid="{00000000-0006-0000-0B00-000013000000}">
      <text>
        <r>
          <rPr>
            <sz val="9"/>
            <color indexed="81"/>
            <rFont val="Tahoma"/>
            <family val="2"/>
          </rPr>
          <t>Blank if unknown</t>
        </r>
      </text>
    </comment>
    <comment ref="A53" authorId="1" shapeId="0" xr:uid="{00000000-0006-0000-0B00-000014000000}">
      <text>
        <r>
          <rPr>
            <sz val="9"/>
            <color indexed="81"/>
            <rFont val="Tahoma"/>
            <family val="2"/>
          </rPr>
          <t>Blank if unknown</t>
        </r>
      </text>
    </comment>
    <comment ref="A54" authorId="1" shapeId="0" xr:uid="{00000000-0006-0000-0B00-000015000000}">
      <text>
        <r>
          <rPr>
            <sz val="9"/>
            <color indexed="81"/>
            <rFont val="Tahoma"/>
            <family val="2"/>
          </rPr>
          <t>Blank if unknown</t>
        </r>
      </text>
    </comment>
    <comment ref="A69" authorId="1" shapeId="0" xr:uid="{00000000-0006-0000-0B00-000016000000}">
      <text>
        <r>
          <rPr>
            <sz val="9"/>
            <color indexed="81"/>
            <rFont val="Tahoma"/>
            <family val="2"/>
          </rPr>
          <t>Line 7 starts here</t>
        </r>
      </text>
    </comment>
    <comment ref="A84" authorId="1" shapeId="0" xr:uid="{00000000-0006-0000-0B00-000017000000}">
      <text>
        <r>
          <rPr>
            <sz val="9"/>
            <color indexed="81"/>
            <rFont val="Tahoma"/>
            <family val="2"/>
          </rPr>
          <t>0 For flexible (variable) applications. 
1 For rigid (fixed) applications.</t>
        </r>
      </text>
    </comment>
    <comment ref="B84" authorId="1" shapeId="0" xr:uid="{00000000-0006-0000-0B00-000018000000}">
      <text>
        <r>
          <rPr>
            <sz val="9"/>
            <color indexed="81"/>
            <rFont val="Tahoma"/>
            <family val="2"/>
          </rPr>
          <t>Line 8 startas here</t>
        </r>
      </text>
    </comment>
    <comment ref="A85" authorId="1" shapeId="0" xr:uid="{00000000-0006-0000-0B00-000019000000}">
      <text>
        <r>
          <rPr>
            <sz val="9"/>
            <color indexed="81"/>
            <rFont val="Tahoma"/>
            <family val="2"/>
          </rPr>
          <t>0 for dryland
1 for sprinkler irrigation
2 for furrow/flood irrigation
3 for fertigation (irrigation with fertilizer added)
4 for lagoon (irrigation from a lagoon)
5 for drip irrigation</t>
        </r>
      </text>
    </comment>
    <comment ref="A88" authorId="1" shapeId="0" xr:uid="{00000000-0006-0000-0B00-00001A000000}">
      <text>
        <r>
          <rPr>
            <sz val="9"/>
            <color indexed="81"/>
            <rFont val="Tahoma"/>
            <family val="2"/>
          </rPr>
          <t xml:space="preserve">= 0 Applies lime         
= 1 Does not apply lime  
</t>
        </r>
      </text>
    </comment>
    <comment ref="A89" authorId="1" shapeId="0" xr:uid="{00000000-0006-0000-0B00-00001B000000}">
      <text>
        <r>
          <rPr>
            <sz val="9"/>
            <color indexed="81"/>
            <rFont val="Tahoma"/>
            <family val="2"/>
          </rPr>
          <t xml:space="preserve">= 0 Without furrow dikes
= 1 With furrow dikes   
</t>
        </r>
      </text>
    </comment>
    <comment ref="A90" authorId="1" shapeId="0" xr:uid="{00000000-0006-0000-0B00-00001C000000}">
      <text>
        <r>
          <rPr>
            <sz val="9"/>
            <color indexed="81"/>
            <rFont val="Tahoma"/>
            <family val="2"/>
          </rPr>
          <t xml:space="preserve">= 0 No drainage (Tile system)  
= Depth of drainage system(mm) 
</t>
        </r>
      </text>
    </comment>
    <comment ref="B90" authorId="1" shapeId="0" xr:uid="{00000000-0006-0000-0B00-00001D000000}">
      <text>
        <r>
          <rPr>
            <sz val="9"/>
            <color indexed="81"/>
            <rFont val="Tahoma"/>
            <family val="2"/>
          </rPr>
          <t>Tiles
Perforated pipes
Open dith drains</t>
        </r>
      </text>
    </comment>
    <comment ref="A91" authorId="1" shapeId="0" xr:uid="{00000000-0006-0000-0B00-00001E000000}">
      <text>
        <r>
          <rPr>
            <sz val="9"/>
            <color indexed="81"/>
            <rFont val="Tahoma"/>
            <family val="2"/>
          </rPr>
          <t>= 0 To turn it off
= n Number of fertilization source from FERT table</t>
        </r>
      </text>
    </comment>
    <comment ref="A92" authorId="1" shapeId="0" xr:uid="{00000000-0006-0000-0B00-00001F000000}">
      <text>
        <r>
          <rPr>
            <sz val="9"/>
            <color indexed="81"/>
            <rFont val="Tahoma"/>
            <family val="2"/>
          </rPr>
          <t>= 0 To turn it off
= n Number of fertilization source from FERT table</t>
        </r>
      </text>
    </comment>
    <comment ref="A93" authorId="1" shapeId="0" xr:uid="{00000000-0006-0000-0B00-000020000000}">
      <text>
        <r>
          <rPr>
            <sz val="9"/>
            <color indexed="81"/>
            <rFont val="Tahoma"/>
            <family val="2"/>
          </rPr>
          <t>= 0 To turn it off
= n Number of fertilization source from FERT table</t>
        </r>
      </text>
    </comment>
    <comment ref="A94" authorId="1" shapeId="0" xr:uid="{00000000-0006-0000-0B00-000021000000}">
      <text>
        <r>
          <rPr>
            <sz val="9"/>
            <color indexed="81"/>
            <rFont val="Tahoma"/>
            <family val="2"/>
          </rPr>
          <t>= 0 To turn it off
= n Number of fertilization source from FERT table</t>
        </r>
      </text>
    </comment>
    <comment ref="A95" authorId="1" shapeId="0" xr:uid="{00000000-0006-0000-0B00-000022000000}">
      <text>
        <r>
          <rPr>
            <sz val="9"/>
            <color indexed="81"/>
            <rFont val="Tahoma"/>
            <family val="2"/>
          </rPr>
          <t>= 0 To turn it off
= n Number of fertilization source from FERT table</t>
        </r>
      </text>
    </comment>
    <comment ref="A96" authorId="1" shapeId="0" xr:uid="{00000000-0006-0000-0B00-000023000000}">
      <text>
        <r>
          <rPr>
            <sz val="9"/>
            <color indexed="81"/>
            <rFont val="Tahoma"/>
            <family val="2"/>
          </rPr>
          <t>= 0 To turn it off
= n Number of fertilization source from FERT table</t>
        </r>
      </text>
    </comment>
    <comment ref="A97" authorId="1" shapeId="0" xr:uid="{00000000-0006-0000-0B00-000024000000}">
      <text>
        <r>
          <rPr>
            <sz val="9"/>
            <color indexed="81"/>
            <rFont val="Tahoma"/>
            <family val="2"/>
          </rPr>
          <t xml:space="preserve">= 0 No reservoir supply or no irrigation  
= ID of SA supplying irrigation water from a reservoir
</t>
        </r>
      </text>
    </comment>
    <comment ref="A98" authorId="1" shapeId="0" xr:uid="{00000000-0006-0000-0B00-000025000000}">
      <text>
        <r>
          <rPr>
            <sz val="9"/>
            <color indexed="81"/>
            <rFont val="Tahoma"/>
            <family val="2"/>
          </rPr>
          <t>= 0 No well supply or no irrigation  
= ID of SA supplying irrigation water from a well</t>
        </r>
      </text>
    </comment>
    <comment ref="A99" authorId="1" shapeId="0" xr:uid="{00000000-0006-0000-0B00-000026000000}">
      <text>
        <r>
          <rPr>
            <sz val="9"/>
            <color indexed="81"/>
            <rFont val="Tahoma"/>
            <family val="2"/>
          </rPr>
          <t>0 manual irrigation
0 – 1.0 Plant water stress factor. (1 – BIR) fraction of plant water stress allowed
1.0 Does not allow water stress
&lt; 0.0 Plant available water deficit in root zone (number is in mm and must be negative)
&gt; 1.0 Soil water tension in top 200mm (Absolute number is in kilopascals)
-1000 Sets water deficit high enough that only manual irrigations will occur (Turns auto irrigation off)</t>
        </r>
      </text>
    </comment>
    <comment ref="B99" authorId="1" shapeId="0" xr:uid="{00000000-0006-0000-0B00-000027000000}">
      <text>
        <r>
          <rPr>
            <sz val="9"/>
            <color indexed="81"/>
            <rFont val="Tahoma"/>
            <family val="2"/>
          </rPr>
          <t>Line 9 starts here</t>
        </r>
      </text>
    </comment>
    <comment ref="A100" authorId="1" shapeId="0" xr:uid="{00000000-0006-0000-0B00-000028000000}">
      <text>
        <r>
          <rPr>
            <sz val="9"/>
            <color indexed="81"/>
            <rFont val="Tahoma"/>
            <family val="2"/>
          </rPr>
          <t>Set to 0 if IRR = 0</t>
        </r>
      </text>
    </comment>
    <comment ref="A104" authorId="1" shapeId="0" xr:uid="{00000000-0006-0000-0B00-000029000000}">
      <text>
        <r>
          <rPr>
            <sz val="9"/>
            <color indexed="81"/>
            <rFont val="Tahoma"/>
            <family val="2"/>
          </rPr>
          <t xml:space="preserve">= 0.00 For manual fertilizer
= 0 – 1 Allows percentage of plant nitrogen stress (1 – BFT) 
   equals the fraction of N stress allowed.
= 1.00 No N stress, auto-fertilization when needed.
&gt; 1 If BFT is greater than 1, BFT is the PPM(g/t) N in soil at 
   which automatic fertilizer is triggered
</t>
        </r>
      </text>
    </comment>
    <comment ref="A109" authorId="1" shapeId="0" xr:uid="{00000000-0006-0000-0B00-00002A000000}">
      <text>
        <r>
          <rPr>
            <sz val="9"/>
            <color indexed="81"/>
            <rFont val="Tahoma"/>
            <family val="2"/>
          </rPr>
          <t>= 0.1 to 0.9 f() of effectiveness of the conservation practice. 
= 1.0 Default for non-contoured fields. 
= 0.0 to eliminate water erosion entirely. 
&gt; 1 erosion rates are increased X times to improve log-term simulation efficiency.</t>
        </r>
      </text>
    </comment>
    <comment ref="B109" authorId="1" shapeId="0" xr:uid="{00000000-0006-0000-0B00-00002B000000}">
      <text>
        <r>
          <rPr>
            <sz val="9"/>
            <color indexed="81"/>
            <rFont val="Tahoma"/>
            <family val="2"/>
          </rPr>
          <t>Line 10 starts here</t>
        </r>
      </text>
    </comment>
    <comment ref="A110" authorId="1" shapeId="0" xr:uid="{00000000-0006-0000-0B00-00002C000000}">
      <text>
        <r>
          <rPr>
            <sz val="9"/>
            <color indexed="81"/>
            <rFont val="Tahoma"/>
            <family val="2"/>
          </rPr>
          <t>Only needed when IRR = 4</t>
        </r>
      </text>
    </comment>
    <comment ref="A111" authorId="1" shapeId="0" xr:uid="{00000000-0006-0000-0B00-00002D000000}">
      <text>
        <r>
          <rPr>
            <sz val="9"/>
            <color indexed="81"/>
            <rFont val="Tahoma"/>
            <family val="2"/>
          </rPr>
          <t>Needed only when IRR = 4.
If DALG = 0 then VLGN must = 0</t>
        </r>
      </text>
    </comment>
    <comment ref="A112" authorId="1" shapeId="0" xr:uid="{00000000-0006-0000-0B00-00002E000000}">
      <text>
        <r>
          <rPr>
            <sz val="9"/>
            <color indexed="81"/>
            <rFont val="Tahoma"/>
            <family val="2"/>
          </rPr>
          <t>Needed only when IRR = 4.
If DALG = 0 then VLGN must = 0</t>
        </r>
      </text>
    </comment>
    <comment ref="A113" authorId="1" shapeId="0" xr:uid="{00000000-0006-0000-0B00-00002F000000}">
      <text>
        <r>
          <rPr>
            <sz val="9"/>
            <color indexed="81"/>
            <rFont val="Tahoma"/>
            <family val="2"/>
          </rPr>
          <t>Needed only when IRR = 4.
If DALG = 0 then VLGN must = 0</t>
        </r>
      </text>
    </comment>
    <comment ref="A114" authorId="1" shapeId="0" xr:uid="{00000000-0006-0000-0B00-000030000000}">
      <text>
        <r>
          <rPr>
            <sz val="9"/>
            <color indexed="81"/>
            <rFont val="Tahoma"/>
            <family val="2"/>
          </rPr>
          <t>Needed only when IRR = 4.
If DALG = 0 then VLGN must = 0</t>
        </r>
      </text>
    </comment>
    <comment ref="A115" authorId="1" shapeId="0" xr:uid="{00000000-0006-0000-0B00-000031000000}">
      <text>
        <r>
          <rPr>
            <sz val="9"/>
            <color indexed="81"/>
            <rFont val="Tahoma"/>
            <family val="2"/>
          </rPr>
          <t>Needed only when IRR = 4.
If DALG = 0 then VLGN must = 0</t>
        </r>
      </text>
    </comment>
    <comment ref="A117" authorId="1" shapeId="0" xr:uid="{00000000-0006-0000-0B00-000032000000}">
      <text>
        <r>
          <rPr>
            <sz val="9"/>
            <color indexed="81"/>
            <rFont val="Tahoma"/>
            <family val="2"/>
          </rPr>
          <t>Activated only if IDF5 &gt; 0.</t>
        </r>
      </text>
    </comment>
    <comment ref="A118" authorId="1" shapeId="0" xr:uid="{00000000-0006-0000-0B00-000033000000}">
      <text>
        <r>
          <rPr>
            <sz val="9"/>
            <color indexed="81"/>
            <rFont val="Tahoma"/>
            <family val="2"/>
          </rPr>
          <t>&gt; 1 allows over application of irrigation (FIRG x FC)</t>
        </r>
      </text>
    </comment>
    <comment ref="A121" authorId="1" shapeId="0" xr:uid="{00000000-0006-0000-0B00-000034000000}">
      <text>
        <r>
          <rPr>
            <sz val="9"/>
            <color indexed="81"/>
            <rFont val="Tahoma"/>
            <family val="2"/>
          </rPr>
          <t xml:space="preserve">= 0 if no herd is used in this Subarea
1-10 herd number(s)(NCOW from site file) eligible to feed in area. 
If herd is selected, set the grazing lower limit (GZLM in control table or XTP in subarea file.) </t>
        </r>
      </text>
    </comment>
    <comment ref="A133" authorId="1" shapeId="0" xr:uid="{00000000-0006-0000-0B00-000035000000}">
      <text>
        <r>
          <rPr>
            <sz val="9"/>
            <color indexed="81"/>
            <rFont val="Tahoma"/>
            <family val="2"/>
          </rPr>
          <t>If XTP is not set in the subarea file, the grazing limit (GZLM) in the control table will be used.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500-000001000000}">
      <text>
        <r>
          <rPr>
            <sz val="9"/>
            <color indexed="81"/>
            <rFont val="Tahoma"/>
            <family val="2"/>
          </rPr>
          <t>Type the file name and extension (i.e. FILENAME.DAT)</t>
        </r>
      </text>
    </comment>
    <comment ref="D42" authorId="1" shapeId="0" xr:uid="{00000000-0006-0000-0500-000002000000}">
      <text>
        <r>
          <rPr>
            <sz val="9"/>
            <color indexed="81"/>
            <rFont val="Tahoma"/>
            <family val="2"/>
          </rPr>
          <t>RC = PRMT(1) / ((SMLA(ISA)+.01)*G1*EXP(.00155*(330.-CO2)))</t>
        </r>
      </text>
    </comment>
    <comment ref="B43" authorId="1" shapeId="0" xr:uid="{00000000-0006-0000-0500-000003000000}">
      <text>
        <r>
          <rPr>
            <sz val="9"/>
            <color indexed="81"/>
            <rFont val="Tahoma"/>
            <family val="2"/>
          </rPr>
          <t>= 1.5 Minimize soil strength constraint on root growth
&gt;2 eliminates all root growth stress.</t>
        </r>
      </text>
    </comment>
    <comment ref="D43" authorId="1" shapeId="0" xr:uid="{00000000-0006-0000-0500-000004000000}">
      <text>
        <r>
          <rPr>
            <sz val="9"/>
            <color indexed="81"/>
            <rFont val="Tahoma"/>
            <family val="2"/>
          </rPr>
          <t>BDX=PRMT(2) + .35 + .005*SAN(J,ISA)</t>
        </r>
      </text>
    </comment>
    <comment ref="D44" authorId="1" shapeId="0" xr:uid="{00000000-0006-0000-0500-000005000000}">
      <text>
        <r>
          <rPr>
            <sz val="9"/>
            <color indexed="81"/>
            <rFont val="Tahoma"/>
            <family val="2"/>
          </rPr>
          <t>IF (HUI(JJK,ISA) &gt; PRMT(3)) THEN SWH(JJK,ISA) = SWH(JJK,ISA) + AEP(JJK)</t>
        </r>
      </text>
    </comment>
    <comment ref="D45" authorId="1" shapeId="0" xr:uid="{00000000-0006-0000-0500-000006000000}">
      <text>
        <r>
          <rPr>
            <sz val="9"/>
            <color indexed="81"/>
            <rFont val="Tahoma"/>
            <family val="2"/>
          </rPr>
          <t>X2 = PO(ISL,ISA) * PRMT(4) * (1.-.01*ROK(ISL,ISA))**2</t>
        </r>
      </text>
    </comment>
    <comment ref="E45" authorId="1" shapeId="0" xr:uid="{00000000-0006-0000-0500-000007000000}">
      <text>
        <r>
          <rPr>
            <sz val="9"/>
            <color indexed="81"/>
            <rFont val="Tahoma"/>
            <family val="2"/>
          </rPr>
          <t>X2 = V / (PRMT(4) * PO(LD1,ISA))</t>
        </r>
      </text>
    </comment>
    <comment ref="D46" authorId="1" shapeId="0" xr:uid="{00000000-0006-0000-0500-000008000000}">
      <text>
        <r>
          <rPr>
            <sz val="9"/>
            <color indexed="81"/>
            <rFont val="Tahoma"/>
            <family val="2"/>
          </rPr>
          <t>XY = PRMT(5) * S15(ISL,ISA)</t>
        </r>
      </text>
    </comment>
    <comment ref="E46" authorId="1" shapeId="0" xr:uid="{00000000-0006-0000-0500-000009000000}">
      <text>
        <r>
          <rPr>
            <sz val="9"/>
            <color indexed="81"/>
            <rFont val="Tahoma"/>
            <family val="2"/>
          </rPr>
          <t>IF (Z(ISL,ISA)&lt;=.5) THEN BLM = PRMT(5) * S15(ISL,ISA)</t>
        </r>
      </text>
    </comment>
    <comment ref="D47" authorId="1" shapeId="0" xr:uid="{00000000-0006-0000-0500-00000A000000}">
      <text>
        <r>
          <rPr>
            <sz val="9"/>
            <color indexed="81"/>
            <rFont val="Tahoma"/>
            <family val="2"/>
          </rPr>
          <t>WDRM(ISA) = PRMT(6) + HLMN(ISA)</t>
        </r>
      </text>
    </comment>
    <comment ref="E47" authorId="1" shapeId="0" xr:uid="{00000000-0006-0000-0500-00000B000000}">
      <text>
        <r>
          <rPr>
            <sz val="9"/>
            <color indexed="81"/>
            <rFont val="Tahoma"/>
            <family val="2"/>
          </rPr>
          <t>HLMN(ISA) = HLMN(ISA) + MAX(DHL, PRMT(6))</t>
        </r>
      </text>
    </comment>
    <comment ref="B48" authorId="1" shapeId="0" xr:uid="{00000000-0006-0000-0500-00000C000000}">
      <text>
        <r>
          <rPr>
            <sz val="9"/>
            <color indexed="81"/>
            <rFont val="Tahoma"/>
            <family val="2"/>
          </rPr>
          <t>= 1 fixation is limited by soil water or nitrate content 
       or by crop growth stage.
= 0 fixation meets crop nitrogen uptake demand.</t>
        </r>
      </text>
    </comment>
    <comment ref="D48" authorId="1" shapeId="0" xr:uid="{00000000-0006-0000-0500-00000D000000}">
      <text>
        <r>
          <rPr>
            <sz val="9"/>
            <color indexed="81"/>
            <rFont val="Tahoma"/>
            <family val="2"/>
          </rPr>
          <t>WFX = PRMT(7) * WFX + (1. - PRMT(7)) * UNM</t>
        </r>
      </text>
    </comment>
    <comment ref="D49" authorId="1" shapeId="0" xr:uid="{00000000-0006-0000-0500-00000E000000}">
      <text>
        <r>
          <rPr>
            <sz val="9"/>
            <color indexed="81"/>
            <rFont val="Tahoma"/>
            <family val="2"/>
          </rPr>
          <t>CL = 10. * [1000. * X5 / WT(LD1,ISA)] / (PRMT(8) * [MAX(1., CPMX(ISA) - [1000. * X5 / WT(LD1,ISA)])])</t>
        </r>
      </text>
    </comment>
    <comment ref="D50" authorId="1" shapeId="0" xr:uid="{00000000-0006-0000-0500-00000F000000}">
      <text>
        <r>
          <rPr>
            <sz val="9"/>
            <color indexed="81"/>
            <rFont val="Tahoma"/>
            <family val="2"/>
          </rPr>
          <t>X1 = (ADRF - PRMT(9)) / 100</t>
        </r>
      </text>
    </comment>
    <comment ref="D51" authorId="1" shapeId="0" xr:uid="{00000000-0006-0000-0500-000010000000}">
      <text>
        <r>
          <rPr>
            <sz val="9"/>
            <color indexed="81"/>
            <rFont val="Tahoma"/>
            <family val="2"/>
          </rPr>
          <t>X2 = CV(ISA) - PRMT(10)</t>
        </r>
      </text>
    </comment>
    <comment ref="D53" authorId="1" shapeId="0" xr:uid="{00000000-0006-0000-0500-000011000000}">
      <text>
        <r>
          <rPr>
            <sz val="9"/>
            <color indexed="81"/>
            <rFont val="Tahoma"/>
            <family val="2"/>
          </rPr>
          <t>IF(PDSW(ISA)/PDAW(ISA) &gt; PRMT(11) .AND. HU(JJK,ISA) &gt; GMHU(JJK)) THEN JPL(JJK,ISA)=0 &amp; HU(JJK,ISA)=0</t>
        </r>
      </text>
    </comment>
    <comment ref="D54" authorId="1" shapeId="0" xr:uid="{00000000-0006-0000-0500-000012000000}">
      <text>
        <r>
          <rPr>
            <sz val="9"/>
            <color indexed="81"/>
            <rFont val="Tahoma"/>
            <family val="2"/>
          </rPr>
          <t>F = EXP(PRMT(12) * (SWST(ISL,ISA) - FC(ISL,ISA)) / XZ)</t>
        </r>
      </text>
    </comment>
    <comment ref="D55" authorId="1" shapeId="0" xr:uid="{00000000-0006-0000-0500-000013000000}">
      <text>
        <r>
          <rPr>
            <sz val="9"/>
            <color indexed="81"/>
            <rFont val="Tahoma"/>
            <family val="2"/>
          </rPr>
          <t>X1 = PRMT(13) * TLMF(ISA)</t>
        </r>
      </text>
    </comment>
    <comment ref="D56" authorId="1" shapeId="0" xr:uid="{00000000-0006-0000-0500-000014000000}">
      <text>
        <r>
          <rPr>
            <sz val="9"/>
            <color indexed="81"/>
            <rFont val="Tahoma"/>
            <family val="2"/>
          </rPr>
          <t>X4 = PKRZ(LD1) + PRMT(14) * (QVOL(IDO)+SSF(LD1,ISA)+VH)</t>
        </r>
      </text>
    </comment>
    <comment ref="E56" authorId="1" shapeId="0" xr:uid="{00000000-0006-0000-0500-000015000000}">
      <text>
        <r>
          <rPr>
            <sz val="9"/>
            <color indexed="81"/>
            <rFont val="Tahoma"/>
            <family val="2"/>
          </rPr>
          <t>CS = PRMT(14) * CO   &amp;   CSSL = PRMT(14) * COSL</t>
        </r>
      </text>
    </comment>
    <comment ref="D57" authorId="1" shapeId="0" xr:uid="{00000000-0006-0000-0500-000016000000}">
      <text>
        <r>
          <rPr>
            <sz val="9"/>
            <color indexed="81"/>
            <rFont val="Tahoma"/>
            <family val="2"/>
          </rPr>
          <t>X1 = PRMT(15) * (1. - RSD(LD1,ISA))</t>
        </r>
      </text>
    </comment>
    <comment ref="D58" authorId="1" shapeId="0" xr:uid="{00000000-0006-0000-0500-000017000000}">
      <text>
        <r>
          <rPr>
            <sz val="9"/>
            <color indexed="81"/>
            <rFont val="Tahoma"/>
            <family val="2"/>
          </rPr>
          <t>SMX(ISA) = 254. * PRMT(16) *(100./CN1-1.)</t>
        </r>
      </text>
    </comment>
    <comment ref="D59" authorId="1" shapeId="0" xr:uid="{00000000-0006-0000-0500-000018000000}">
      <text>
        <r>
          <rPr>
            <sz val="9"/>
            <color indexed="81"/>
            <rFont val="Tahoma"/>
            <family val="2"/>
          </rPr>
          <t>X1 = MAX(.4 * SMLA(ISA), PRMT(17) * (CV(ISA) + .1))</t>
        </r>
      </text>
    </comment>
    <comment ref="D60" authorId="1" shapeId="0" xr:uid="{00000000-0006-0000-0500-000019000000}">
      <text>
        <r>
          <rPr>
            <sz val="9"/>
            <color indexed="81"/>
            <rFont val="Tahoma"/>
            <family val="2"/>
          </rPr>
          <t>CYFP = PRMT(19) * VFP ** PRMT(18)</t>
        </r>
      </text>
    </comment>
    <comment ref="E60" authorId="1" shapeId="0" xr:uid="{00000000-0006-0000-0500-00001A000000}">
      <text>
        <r>
          <rPr>
            <sz val="9"/>
            <color indexed="81"/>
            <rFont val="Tahoma"/>
            <family val="2"/>
          </rPr>
          <t>CYCH = PRMT(19) *VCH ** PRMT(18)</t>
        </r>
      </text>
    </comment>
    <comment ref="D61" authorId="1" shapeId="0" xr:uid="{00000000-0006-0000-0500-00001B000000}">
      <text>
        <r>
          <rPr>
            <sz val="9"/>
            <color indexed="81"/>
            <rFont val="Tahoma"/>
            <family val="2"/>
          </rPr>
          <t>CYFP = PRMT(19) * VFP ** PRMT(18)</t>
        </r>
      </text>
    </comment>
    <comment ref="E61" authorId="1" shapeId="0" xr:uid="{00000000-0006-0000-0500-00001C000000}">
      <text>
        <r>
          <rPr>
            <sz val="9"/>
            <color indexed="81"/>
            <rFont val="Tahoma"/>
            <family val="2"/>
          </rPr>
          <t>CYCH = PRMT(19) *VCH ** PRMT(18)</t>
        </r>
      </text>
    </comment>
    <comment ref="D62" authorId="1" shapeId="0" xr:uid="{00000000-0006-0000-0500-00001D000000}">
      <text>
        <r>
          <rPr>
            <sz val="9"/>
            <color indexed="81"/>
            <rFont val="Tahoma"/>
            <family val="2"/>
          </rPr>
          <t xml:space="preserve">SCN2 = PRMT(20) * SCN </t>
        </r>
      </text>
    </comment>
    <comment ref="E62" authorId="1" shapeId="0" xr:uid="{00000000-0006-0000-0500-00001E000000}">
      <text>
        <r>
          <rPr>
            <sz val="9"/>
            <color indexed="81"/>
            <rFont val="Tahoma"/>
            <family val="2"/>
          </rPr>
          <t>QVOL(IDO) = X1 * X1 / (RFV(IRF(ISA)) + (1.-PRMT(20)) * SCN)</t>
        </r>
      </text>
    </comment>
    <comment ref="D64" authorId="1" shapeId="0" xr:uid="{00000000-0006-0000-0500-00001F000000}">
      <text>
        <r>
          <rPr>
            <sz val="9"/>
            <color indexed="81"/>
            <rFont val="Tahoma"/>
            <family val="2"/>
          </rPr>
          <t>X1 = MAX(5. * V , WT(LD1,ISA) * PRMT(21))</t>
        </r>
      </text>
    </comment>
    <comment ref="D65" authorId="1" shapeId="0" xr:uid="{00000000-0006-0000-0500-000020000000}">
      <text>
        <r>
          <rPr>
            <sz val="9"/>
            <color indexed="81"/>
            <rFont val="Tahoma"/>
            <family val="2"/>
          </rPr>
          <t>SCN = SCN * PRMT(22)</t>
        </r>
      </text>
    </comment>
    <comment ref="D66" authorId="1" shapeId="0" xr:uid="{00000000-0006-0000-0500-000021000000}">
      <text>
        <r>
          <rPr>
            <sz val="9"/>
            <color indexed="81"/>
            <rFont val="Tahoma"/>
            <family val="2"/>
          </rPr>
          <t>EO = MAX(0., PRMT(23) * RAMM * (TX+17.8) * (TMX(IRF(ISA)) - TMN(IRF(ISA)))**HGX)</t>
        </r>
      </text>
    </comment>
    <comment ref="D67" authorId="1" shapeId="0" xr:uid="{00000000-0006-0000-0500-000022000000}">
      <text>
        <r>
          <rPr>
            <sz val="9"/>
            <color indexed="81"/>
            <rFont val="Tahoma"/>
            <family val="2"/>
          </rPr>
          <t>CO = MIN(PSOL(K), VPST / (Y4 + PRMT(24) * (Y3+Y5+Y6+Y7)))</t>
        </r>
      </text>
    </comment>
    <comment ref="E67" authorId="1" shapeId="0" xr:uid="{00000000-0006-0000-0500-000023000000}">
      <text>
        <r>
          <rPr>
            <sz val="9"/>
            <color indexed="81"/>
            <rFont val="Tahoma"/>
            <family val="2"/>
          </rPr>
          <t>CS = PRMT(24) * CO</t>
        </r>
      </text>
    </comment>
    <comment ref="D68" authorId="1" shapeId="0" xr:uid="{00000000-0006-0000-0500-000024000000}">
      <text>
        <r>
          <rPr>
            <sz val="9"/>
            <color indexed="81"/>
            <rFont val="Tahoma"/>
            <family val="2"/>
          </rPr>
          <t>IF(RFV(IRF(ISA)) &gt; 0.) THEN SCN = SCN * EXP(PRMT(25) * (.2 - AL5))</t>
        </r>
      </text>
    </comment>
    <comment ref="D69" authorId="1" shapeId="0" xr:uid="{00000000-0006-0000-0500-000025000000}">
      <text>
        <r>
          <rPr>
            <sz val="9"/>
            <color indexed="81"/>
            <rFont val="Tahoma"/>
            <family val="2"/>
          </rPr>
          <t>HU(JJK,ISA) = XPHU * PRMT(26)</t>
        </r>
      </text>
    </comment>
    <comment ref="D70" authorId="1" shapeId="0" xr:uid="{00000000-0006-0000-0500-000026000000}">
      <text>
        <r>
          <rPr>
            <sz val="9"/>
            <color indexed="81"/>
            <rFont val="Tahoma"/>
            <family val="2"/>
          </rPr>
          <t>FCEC = MAX(PRMT(27), 1. - .038 * CEC(ISL,ISA))</t>
        </r>
      </text>
    </comment>
    <comment ref="D71" authorId="1" shapeId="0" xr:uid="{00000000-0006-0000-0500-000027000000}">
      <text>
        <r>
          <rPr>
            <sz val="9"/>
            <color indexed="81"/>
            <rFont val="Tahoma"/>
            <family val="2"/>
          </rPr>
          <t>WFX = MIN(PRMT(28), PRMT(7) * WFX + (1. - PRMT(7)) * UNM)</t>
        </r>
      </text>
    </comment>
    <comment ref="D72" authorId="1" shapeId="0" xr:uid="{00000000-0006-0000-0500-000028000000}">
      <text>
        <r>
          <rPr>
            <sz val="9"/>
            <color indexed="81"/>
            <rFont val="Tahoma"/>
            <family val="2"/>
          </rPr>
          <t>CBMX(ISL,ISA) = PRMT(29) * X2</t>
        </r>
      </text>
    </comment>
    <comment ref="E72" authorId="1" shapeId="0" xr:uid="{00000000-0006-0000-0500-000029000000}">
      <text>
        <r>
          <rPr>
            <sz val="9"/>
            <color indexed="81"/>
            <rFont val="Tahoma"/>
            <family val="2"/>
          </rPr>
          <t>CBMX(ISL,ISA) = PRMT(29) * X2 * RTO</t>
        </r>
      </text>
    </comment>
    <comment ref="D73" authorId="1" shapeId="0" xr:uid="{00000000-0006-0000-0500-00002A000000}">
      <text>
        <r>
          <rPr>
            <sz val="9"/>
            <color indexed="81"/>
            <rFont val="Tahoma"/>
            <family val="2"/>
          </rPr>
          <t>REMOVED</t>
        </r>
      </text>
    </comment>
    <comment ref="D75" authorId="1" shapeId="0" xr:uid="{00000000-0006-0000-0500-00002B000000}">
      <text>
        <r>
          <rPr>
            <sz val="9"/>
            <color indexed="81"/>
            <rFont val="Tahoma"/>
            <family val="2"/>
          </rPr>
          <t>IF(Z(ISL,ISA) &lt; PRMT(31)) THEN CBMX(ISL,ISA) = PRMT(29) * X2</t>
        </r>
      </text>
    </comment>
    <comment ref="E75" authorId="1" shapeId="0" xr:uid="{00000000-0006-0000-0500-00002C000000}">
      <text>
        <r>
          <rPr>
            <sz val="9"/>
            <color indexed="81"/>
            <rFont val="Tahoma"/>
            <family val="2"/>
          </rPr>
          <t>RTO = (PRMT(31)-XX) / (Z(ISL,ISA) - XX)</t>
        </r>
      </text>
    </comment>
    <comment ref="D76" authorId="1" shapeId="0" xr:uid="{00000000-0006-0000-0500-00002D000000}">
      <text>
        <r>
          <rPr>
            <sz val="9"/>
            <color indexed="81"/>
            <rFont val="Tahoma"/>
            <family val="2"/>
          </rPr>
          <t>YP(IDO) = YEW * WPO(LD1,ISA) ** PRMT(32)</t>
        </r>
      </text>
    </comment>
    <comment ref="D77" authorId="1" shapeId="0" xr:uid="{00000000-0006-0000-0500-00002E000000}">
      <text>
        <r>
          <rPr>
            <sz val="9"/>
            <color indexed="81"/>
            <rFont val="Tahoma"/>
            <family val="2"/>
          </rPr>
          <t>YSD(1,IDO) = MIN(YLM, PRMT(33) * X1 * XX)</t>
        </r>
      </text>
    </comment>
    <comment ref="D78" authorId="1" shapeId="0" xr:uid="{00000000-0006-0000-0500-00002F000000}">
      <text>
        <r>
          <rPr>
            <sz val="9"/>
            <color indexed="81"/>
            <rFont val="Tahoma"/>
            <family val="2"/>
          </rPr>
          <t>IF(IET==4.AND.PRMT(34)&gt;0.) THEN HGX = PRMT(34)</t>
        </r>
      </text>
    </comment>
    <comment ref="E78" authorId="1" shapeId="0" xr:uid="{00000000-0006-0000-0500-000030000000}">
      <text>
        <r>
          <rPr>
            <sz val="9"/>
            <color indexed="81"/>
            <rFont val="Tahoma"/>
            <family val="2"/>
          </rPr>
          <t>EO = MAX(0., PRMT(23) * RAMM * (TX + 17.8) * (TMX(IRF(ISA)) - TMN(IRF(ISA))) ** HGX)</t>
        </r>
      </text>
    </comment>
    <comment ref="D79" authorId="1" shapeId="0" xr:uid="{00000000-0006-0000-0500-000031000000}">
      <text>
        <r>
          <rPr>
            <sz val="9"/>
            <color indexed="81"/>
            <rFont val="Tahoma"/>
            <family val="2"/>
          </rPr>
          <t>REMOVED</t>
        </r>
      </text>
    </comment>
    <comment ref="D80" authorId="1" shapeId="0" xr:uid="{00000000-0006-0000-0500-000032000000}">
      <text>
        <r>
          <rPr>
            <sz val="9"/>
            <color indexed="81"/>
            <rFont val="Tahoma"/>
            <family val="2"/>
          </rPr>
          <t>X1 = MIN(PRMT(36), 1. - EXP(-CDG * WOC(ISL,ISA) / WT(ISL,ISA)))</t>
        </r>
      </text>
    </comment>
    <comment ref="E80" authorId="1" shapeId="0" xr:uid="{00000000-0006-0000-0500-000033000000}">
      <text>
        <r>
          <rPr>
            <sz val="9"/>
            <color indexed="81"/>
            <rFont val="Tahoma"/>
            <family val="2"/>
          </rPr>
          <t>WDN = .001 * D_F * (PARMT(36)*32) * WT(ISL,ISA)</t>
        </r>
      </text>
    </comment>
    <comment ref="D81" authorId="1" shapeId="0" xr:uid="{00000000-0006-0000-0500-000034000000}">
      <text>
        <r>
          <rPr>
            <sz val="9"/>
            <color indexed="81"/>
            <rFont val="Tahoma"/>
            <family val="2"/>
          </rPr>
          <t>DRSW = MIN(.95, (TCW/TCB) ** PRMT(37))</t>
        </r>
      </text>
    </comment>
    <comment ref="D82" authorId="1" shapeId="0" xr:uid="{00000000-0006-0000-0500-000035000000}">
      <text>
        <r>
          <rPr>
            <sz val="9"/>
            <color indexed="81"/>
            <rFont val="Tahoma"/>
            <family val="2"/>
          </rPr>
          <t>WS(ISA) = (1. - PRMT(38)) * WS(ISA) + PRMT(38) * AEP(JJK) / (EP(JJK) + 1.E-10)</t>
        </r>
      </text>
    </comment>
    <comment ref="D83" authorId="1" shapeId="0" xr:uid="{00000000-0006-0000-0500-000036000000}">
      <text>
        <r>
          <rPr>
            <sz val="9"/>
            <color indexed="81"/>
            <rFont val="Tahoma"/>
            <family val="2"/>
          </rPr>
          <t>IF(II==NHC(15)) THEN SATC(LID(2,ISA),ISA) = PRMT(39) ELSEIF(II==NHC(16)) THEN SATC(LID(2,ISA),ISA) = SATK(ISA)</t>
        </r>
      </text>
    </comment>
    <comment ref="D84" authorId="1" shapeId="0" xr:uid="{00000000-0006-0000-0500-000037000000}">
      <text>
        <r>
          <rPr>
            <sz val="9"/>
            <color indexed="81"/>
            <rFont val="Tahoma"/>
            <family val="2"/>
          </rPr>
          <t>IF(GWST(ISA) / GWMX(ISA) &lt; PRMT(40)) THEN X2 = 0. ELSE X2 = X1 * RFPK(ISA)</t>
        </r>
      </text>
    </comment>
    <comment ref="D86" authorId="1" shapeId="0" xr:uid="{00000000-0006-0000-0500-000038000000}">
      <text>
        <r>
          <rPr>
            <sz val="9"/>
            <color indexed="81"/>
            <rFont val="Tahoma"/>
            <family val="2"/>
          </rPr>
          <t>IF(XX &lt; 1.E-10) THEN RGS = 0. ELSEIF(XX &lt; 1.) THEN RG S = XX ** PRMT(41)</t>
        </r>
      </text>
    </comment>
    <comment ref="D87" authorId="1" shapeId="0" xr:uid="{00000000-0006-0000-0500-000039000000}">
      <text>
        <r>
          <rPr>
            <sz val="9"/>
            <color indexed="81"/>
            <rFont val="Tahoma"/>
            <family val="2"/>
          </rPr>
          <t>IF(IGO(ISA) &gt; 0) THEN X1 = MAX(AET, EO * EXP(-PRMT(42) * SCI(ISA) / SMX(ISA))) ELSE X1 = AET</t>
        </r>
      </text>
    </comment>
    <comment ref="D88" authorId="1" shapeId="0" xr:uid="{00000000-0006-0000-0500-00003A000000}">
      <text>
        <r>
          <rPr>
            <sz val="9"/>
            <color indexed="81"/>
            <rFont val="Tahoma"/>
            <family val="2"/>
          </rPr>
          <t>RTO = (PRMT(43) - Z(K2,ISA)) / (Z(KK,ISA) - Z(K2,ISA))</t>
        </r>
      </text>
    </comment>
    <comment ref="E88" authorId="1" shapeId="0" xr:uid="{00000000-0006-0000-0500-00003B000000}">
      <text>
        <r>
          <rPr>
            <sz val="9"/>
            <color indexed="81"/>
            <rFont val="Tahoma"/>
            <family val="2"/>
          </rPr>
          <t>IF (Z(ISL,ISA) &lt;= PRMT(43)) THEN …</t>
        </r>
      </text>
    </comment>
    <comment ref="D89" authorId="1" shapeId="0" xr:uid="{00000000-0006-0000-0500-00003C000000}">
      <text>
        <r>
          <rPr>
            <sz val="9"/>
            <color indexed="81"/>
            <rFont val="Tahoma"/>
            <family val="2"/>
          </rPr>
          <t>SCI(ISA) = MIN(MAX(3., SCI(ISA) + X1 - RFV(IRF(ISA)) + QVOL(IDO)), PRMT(44) * SMX(ISA))</t>
        </r>
      </text>
    </comment>
    <comment ref="D90" authorId="1" shapeId="0" xr:uid="{00000000-0006-0000-0500-00003D000000}">
      <text>
        <r>
          <rPr>
            <sz val="9"/>
            <color indexed="81"/>
            <rFont val="Tahoma"/>
            <family val="2"/>
          </rPr>
          <t>X7 = PRMT(45) * TRT * PSZM(IDN1)</t>
        </r>
      </text>
    </comment>
    <comment ref="E90" authorId="1" shapeId="0" xr:uid="{00000000-0006-0000-0500-00003E000000}">
      <text>
        <r>
          <rPr>
            <sz val="9"/>
            <color indexed="81"/>
            <rFont val="Tahoma"/>
            <family val="2"/>
          </rPr>
          <t>X7 = 2. * PRMT(45) * TRT</t>
        </r>
      </text>
    </comment>
    <comment ref="D91" authorId="1" shapeId="0" xr:uid="{00000000-0006-0000-0500-00003F000000}">
      <text>
        <r>
          <rPr>
            <sz val="9"/>
            <color indexed="81"/>
            <rFont val="Tahoma"/>
            <family val="2"/>
          </rPr>
          <t>IF(CVRS(ISA) &lt; 15.) THEN FRSD = EXP(-PRMT(46) * CVRS(ISA)) ELSE FRSD=.0001</t>
        </r>
      </text>
    </comment>
    <comment ref="D92" authorId="1" shapeId="0" xr:uid="{00000000-0006-0000-0500-000040000000}">
      <text>
        <r>
          <rPr>
            <sz val="9"/>
            <color indexed="81"/>
            <rFont val="Tahoma"/>
            <family val="2"/>
          </rPr>
          <t>FBIO = 1. - MAX(FGC(ISA), FGSL(ISA)) * EXP(-PRMT(47) * CHMX)</t>
        </r>
      </text>
    </comment>
    <comment ref="D94" authorId="1" shapeId="0" xr:uid="{00000000-0006-0000-0500-000041000000}">
      <text>
        <r>
          <rPr>
            <sz val="9"/>
            <color indexed="81"/>
            <rFont val="Tahoma"/>
            <family val="2"/>
          </rPr>
          <t>XRFI(ISA) = MIN(RFV(IRF(ISA)), PRMT(49) * (1. - EXP(- PRMT(50) * SQRT(TAGP(ISA) * SMLA(ISA)))))</t>
        </r>
      </text>
    </comment>
    <comment ref="D95" authorId="1" shapeId="0" xr:uid="{00000000-0006-0000-0500-000042000000}">
      <text>
        <r>
          <rPr>
            <sz val="9"/>
            <color indexed="81"/>
            <rFont val="Tahoma"/>
            <family val="2"/>
          </rPr>
          <t>XRFI(ISA) = MIN(RFV(IRF(ISA)), PRMT(49) * (1. - EXP(- PRMT(50) * SQRT(TAGP(ISA) * SMLA(ISA)))))</t>
        </r>
      </text>
    </comment>
    <comment ref="D97" authorId="1" shapeId="0" xr:uid="{00000000-0006-0000-0500-000043000000}">
      <text>
        <r>
          <rPr>
            <sz val="9"/>
            <color indexed="81"/>
            <rFont val="Tahoma"/>
            <family val="2"/>
          </rPr>
          <t>STLT(ISA) = PRMT(51) * RSD(LD1,ISA)</t>
        </r>
      </text>
    </comment>
    <comment ref="D98" authorId="1" shapeId="0" xr:uid="{00000000-0006-0000-0500-000044000000}">
      <text>
        <r>
          <rPr>
            <sz val="9"/>
            <color indexed="81"/>
            <rFont val="Tahoma"/>
            <family val="2"/>
          </rPr>
          <t>X2 = PRMT(52) * (BD(ISL,ISA) - BDP(ISL,ISA))</t>
        </r>
      </text>
    </comment>
    <comment ref="D99" authorId="1" shapeId="0" xr:uid="{00000000-0006-0000-0500-000045000000}">
      <text>
        <r>
          <rPr>
            <sz val="9"/>
            <color indexed="81"/>
            <rFont val="Tahoma"/>
            <family val="2"/>
          </rPr>
          <t>OX = 1. - PRMT(53) * Z5 / (Z5 + EXP(SCRP(20,1) - SCRP(20,2) * Z5))</t>
        </r>
      </text>
    </comment>
    <comment ref="D100" authorId="1" shapeId="0" xr:uid="{00000000-0006-0000-0500-000046000000}">
      <text>
        <r>
          <rPr>
            <sz val="9"/>
            <color indexed="81"/>
            <rFont val="Tahoma"/>
            <family val="2"/>
          </rPr>
          <t>ERTO = MIN(3.5, PRMT(54) / CIN ** PRMT(55))</t>
        </r>
      </text>
    </comment>
    <comment ref="E100" authorId="1" shapeId="0" xr:uid="{00000000-0006-0000-0500-000047000000}">
      <text>
        <r>
          <rPr>
            <sz val="9"/>
            <color indexed="81"/>
            <rFont val="Tahoma"/>
            <family val="2"/>
          </rPr>
          <t>ERTO = PRMT(54) / (CY+1.E-4)** PRMT(55)</t>
        </r>
      </text>
    </comment>
    <comment ref="D101" authorId="1" shapeId="0" xr:uid="{00000000-0006-0000-0500-000048000000}">
      <text>
        <r>
          <rPr>
            <sz val="9"/>
            <color indexed="81"/>
            <rFont val="Tahoma"/>
            <family val="2"/>
          </rPr>
          <t>ERTO = MIN(3.5, PRMT(54) / CIN ** PRMT(55))</t>
        </r>
      </text>
    </comment>
    <comment ref="E101" authorId="1" shapeId="0" xr:uid="{00000000-0006-0000-0500-000049000000}">
      <text>
        <r>
          <rPr>
            <sz val="9"/>
            <color indexed="81"/>
            <rFont val="Tahoma"/>
            <family val="2"/>
          </rPr>
          <t>ERTO = PRMT(54) / (CY+1.E-4)** PRMT(55)</t>
        </r>
      </text>
    </comment>
    <comment ref="D102" authorId="1" shapeId="0" xr:uid="{00000000-0006-0000-0500-00004A000000}">
      <text>
        <r>
          <rPr>
            <sz val="9"/>
            <color indexed="81"/>
            <rFont val="Tahoma"/>
            <family val="2"/>
          </rPr>
          <t xml:space="preserve">X1 = PRMT(56) * STL(J,ISA) </t>
        </r>
      </text>
    </comment>
    <comment ref="E102" authorId="1" shapeId="0" xr:uid="{00000000-0006-0000-0500-00004B000000}">
      <text>
        <r>
          <rPr>
            <sz val="9"/>
            <color indexed="81"/>
            <rFont val="Tahoma"/>
            <family val="2"/>
          </rPr>
          <t>X3 = PRMT(56) * UN1(J,ISA) * RTO</t>
        </r>
      </text>
    </comment>
    <comment ref="D103" authorId="1" shapeId="0" xr:uid="{00000000-0006-0000-0500-00004C000000}">
      <text>
        <r>
          <rPr>
            <sz val="9"/>
            <color indexed="81"/>
            <rFont val="Tahoma"/>
            <family val="2"/>
          </rPr>
          <t>ERTP = MIN(3.5, PRMT(57) / CIN ** PRMT(58))</t>
        </r>
      </text>
    </comment>
    <comment ref="E103" authorId="1" shapeId="0" xr:uid="{00000000-0006-0000-0500-00004D000000}">
      <text>
        <r>
          <rPr>
            <sz val="9"/>
            <color indexed="81"/>
            <rFont val="Tahoma"/>
            <family val="2"/>
          </rPr>
          <t>ERTP = PRMT(57) / (CY+1.E-4)** PRMT(58)</t>
        </r>
      </text>
    </comment>
    <comment ref="D104" authorId="1" shapeId="0" xr:uid="{00000000-0006-0000-0500-00004E000000}">
      <text>
        <r>
          <rPr>
            <sz val="9"/>
            <color indexed="81"/>
            <rFont val="Tahoma"/>
            <family val="2"/>
          </rPr>
          <t>ERTP = MIN(3.5, PRMT(57) / CIN ** PRMT(58))</t>
        </r>
      </text>
    </comment>
    <comment ref="E104" authorId="1" shapeId="0" xr:uid="{00000000-0006-0000-0500-00004F000000}">
      <text>
        <r>
          <rPr>
            <sz val="9"/>
            <color indexed="81"/>
            <rFont val="Tahoma"/>
            <family val="2"/>
          </rPr>
          <t>ERTP = PRMT(57) / (CY+1.E-4)** PRMT(58)</t>
        </r>
      </text>
    </comment>
    <comment ref="D105" authorId="1" shapeId="0" xr:uid="{00000000-0006-0000-0500-000050000000}">
      <text>
        <r>
          <rPr>
            <sz val="9"/>
            <color indexed="81"/>
            <rFont val="Tahoma"/>
            <family val="2"/>
          </rPr>
          <t>XX = WPML(ISL,ISA) * MIN(.75, PRMT(59) * SEV(ISL,ISA) / WT(ISL,ISA))</t>
        </r>
      </text>
    </comment>
    <comment ref="D106" authorId="1" shapeId="0" xr:uid="{00000000-0006-0000-0500-000051000000}">
      <text>
        <r>
          <rPr>
            <sz val="9"/>
            <color indexed="81"/>
            <rFont val="Tahoma"/>
            <family val="2"/>
          </rPr>
          <t>IF(IGZ(I1) &lt;= PRMT(60)) THEN IF(X1 &gt; GZLM(IHD,I1) .AND. NGZ(IHD,I1) &gt; 0) THEN CYCLE</t>
        </r>
      </text>
    </comment>
    <comment ref="D108" authorId="1" shapeId="0" xr:uid="{00000000-0006-0000-0500-000052000000}">
      <text>
        <r>
          <rPr>
            <sz val="9"/>
            <color indexed="81"/>
            <rFont val="Tahoma"/>
            <family val="2"/>
          </rPr>
          <t>SWST(L1,ISA) = SWST(L1,ISA) + [(SWST(ISL,ISA) - PO(ISL,ISA)) * MIN(PRMT(61), (T1 - T2) / T1, PKRZ(L1))]</t>
        </r>
      </text>
    </comment>
    <comment ref="D109" authorId="1" shapeId="0" xr:uid="{00000000-0006-0000-0500-000053000000}">
      <text>
        <r>
          <rPr>
            <sz val="9"/>
            <color indexed="81"/>
            <rFont val="Tahoma"/>
            <family val="2"/>
          </rPr>
          <t>YMNU(IDO) = MAX[0., MIN(.9 * RSDM(LD1,ISA), PRMT(62) * X1 * X2 * SLF(ISA) * PEC(ISA) * RSDM(LD1,ISA)** PRMT(68))]</t>
        </r>
      </text>
    </comment>
    <comment ref="D110" authorId="1" shapeId="0" xr:uid="{00000000-0006-0000-0500-000054000000}">
      <text>
        <r>
          <rPr>
            <sz val="9"/>
            <color indexed="81"/>
            <rFont val="Tahoma"/>
            <family val="2"/>
          </rPr>
          <t>X3 = MIN(.95, DRSW * PRMT(63))</t>
        </r>
      </text>
    </comment>
    <comment ref="D111" authorId="1" shapeId="0" xr:uid="{00000000-0006-0000-0500-000055000000}">
      <text>
        <r>
          <rPr>
            <sz val="9"/>
            <color indexed="81"/>
            <rFont val="Tahoma"/>
            <family val="2"/>
          </rPr>
          <t>X1 = PRMT(64) * [YT / (3.6 * U10(IRF(ISA)))] * 10.</t>
        </r>
      </text>
    </comment>
    <comment ref="D112" authorId="1" shapeId="0" xr:uid="{00000000-0006-0000-0500-000056000000}">
      <text>
        <r>
          <rPr>
            <sz val="9"/>
            <color indexed="81"/>
            <rFont val="Tahoma"/>
            <family val="2"/>
          </rPr>
          <t>SUM = .01 * PRMT(65) * [PSZX(1) * SAN() + PSZX(2) * SIL() + PSZX(3) * CLA()] / (QPR(IDO) + 1.E-5)</t>
        </r>
      </text>
    </comment>
    <comment ref="D113" authorId="1" shapeId="0" xr:uid="{00000000-0006-0000-0500-000057000000}">
      <text>
        <r>
          <rPr>
            <sz val="9"/>
            <color indexed="81"/>
            <rFont val="Tahoma"/>
            <family val="2"/>
          </rPr>
          <t>T2 = PRMT(66) * QPR(IDO) * STP(ISA)</t>
        </r>
      </text>
    </comment>
    <comment ref="D114" authorId="1" shapeId="0" xr:uid="{00000000-0006-0000-0500-000058000000}">
      <text>
        <r>
          <rPr>
            <sz val="9"/>
            <color indexed="81"/>
            <rFont val="Tahoma"/>
            <family val="2"/>
          </rPr>
          <t>IF(ABS(DIST * COS(BTA)) &gt; GRDX) THEN FX = (SIN(X2))** PRMT(67)</t>
        </r>
      </text>
    </comment>
    <comment ref="D115" authorId="1" shapeId="0" xr:uid="{00000000-0006-0000-0500-000059000000}">
      <text>
        <r>
          <rPr>
            <sz val="9"/>
            <color indexed="81"/>
            <rFont val="Tahoma"/>
            <family val="2"/>
          </rPr>
          <t>YMNU(IDO) = MAX[0., MIN(.9 * RSDM(LD1,ISA), PRMT(62) * X1 * X2 * SLF(ISA) * PEC(ISA) * RSDM(LD1,ISA)** PRMT(68))]</t>
        </r>
      </text>
    </comment>
    <comment ref="D116" authorId="1" shapeId="0" xr:uid="{00000000-0006-0000-0500-00005A000000}">
      <text>
        <r>
          <rPr>
            <sz val="9"/>
            <color indexed="81"/>
            <rFont val="Tahoma"/>
            <family val="2"/>
          </rPr>
          <t>CS = [PRMT(95) * PRMT(69) * CS * (1. + RSDM(LD1,ISA))] + [1. - PRMT(95)] OR CS = PRMT(69) * CS * (1. + RSDM(LD1,ISA))</t>
        </r>
      </text>
    </comment>
    <comment ref="D117" authorId="1" shapeId="0" xr:uid="{00000000-0006-0000-0500-00005B000000}">
      <text>
        <r>
          <rPr>
            <sz val="9"/>
            <color indexed="81"/>
            <rFont val="Tahoma"/>
            <family val="2"/>
          </rPr>
          <t>CS = MIN(10., PRMT(70) * SQRT(CDG * SUT) * OX * X1)</t>
        </r>
      </text>
    </comment>
    <comment ref="D119" authorId="1" shapeId="0" xr:uid="{00000000-0006-0000-0500-00005C000000}">
      <text>
        <r>
          <rPr>
            <sz val="9"/>
            <color indexed="81"/>
            <rFont val="Tahoma"/>
            <family val="2"/>
          </rPr>
          <t>YMNU(IDO) = MIN(.9 * RSDM(LD1,ISA), [SQRT(QQ)] * [PRMT(71) * AGPM(ISA)] * [PRMT(62) * SLF(ISA) * PEC(ISA) * RSDM(LD1,ISA)** PRMT(68))]</t>
        </r>
      </text>
    </comment>
    <comment ref="B120" authorId="1" shapeId="0" xr:uid="{00000000-0006-0000-0500-00005D000000}">
      <text>
        <r>
          <rPr>
            <sz val="9"/>
            <color indexed="81"/>
            <rFont val="Tahoma"/>
            <family val="2"/>
          </rPr>
          <t>Fraction of process allocated to volatilization.</t>
        </r>
      </text>
    </comment>
    <comment ref="D120" authorId="1" shapeId="0" xr:uid="{00000000-0006-0000-0500-00005E000000}">
      <text>
        <r>
          <rPr>
            <sz val="9"/>
            <color indexed="81"/>
            <rFont val="Tahoma"/>
            <family val="2"/>
          </rPr>
          <t>AVOL = PRMT(72) * {[MIN(PRMT(80), 1. - EXP(-[AKAV + AKAN]))] * WNMA(ISL,ISA)}</t>
        </r>
      </text>
    </comment>
    <comment ref="D121" authorId="1" shapeId="0" xr:uid="{00000000-0006-0000-0500-00005F000000}">
      <text>
        <r>
          <rPr>
            <sz val="9"/>
            <color indexed="81"/>
            <rFont val="Tahoma"/>
            <family val="2"/>
          </rPr>
          <t>REMOVED</t>
        </r>
      </text>
    </comment>
    <comment ref="B122" authorId="1" shapeId="0" xr:uid="{00000000-0006-0000-0500-000060000000}">
      <text>
        <r>
          <rPr>
            <sz val="9"/>
            <color indexed="81"/>
            <rFont val="Tahoma"/>
            <family val="2"/>
          </rPr>
          <t>For example:
If Parm 74 is set to 5, it means RSFN will be 5 times greater than DPKN.  
If Parm 74 is set to 0.2, then RSFN is only 0.2 times DPKN.</t>
        </r>
      </text>
    </comment>
    <comment ref="D122" authorId="1" shapeId="0" xr:uid="{00000000-0006-0000-0500-000061000000}">
      <text>
        <r>
          <rPr>
            <sz val="9"/>
            <color indexed="81"/>
            <rFont val="Tahoma"/>
            <family val="2"/>
          </rPr>
          <t>RSFN(IDO) = X2 * [PRMT(74) * [TNL / (X2 * PRMT(74) + VAR(71,ISA))]]</t>
        </r>
      </text>
    </comment>
    <comment ref="D123" authorId="1" shapeId="0" xr:uid="{00000000-0006-0000-0500-000062000000}">
      <text>
        <r>
          <rPr>
            <sz val="9"/>
            <color indexed="81"/>
            <rFont val="Tahoma"/>
            <family val="2"/>
          </rPr>
          <t>X4 = MIN(.95, PRMT(75) * [MIN(.95, (TCW / TCB)** PRMT(37))])</t>
        </r>
      </text>
    </comment>
    <comment ref="D124" authorId="1" shapeId="0" xr:uid="{00000000-0006-0000-0500-000063000000}">
      <text>
        <r>
          <rPr>
            <sz val="9"/>
            <color indexed="81"/>
            <rFont val="Tahoma"/>
            <family val="2"/>
          </rPr>
          <t>ZZ = MIN(.9, PRMT(76) * (1. + .1 * RFV(IRF(ISA))))</t>
        </r>
      </text>
    </comment>
    <comment ref="D125" authorId="1" shapeId="0" xr:uid="{00000000-0006-0000-0500-000064000000}">
      <text>
        <r>
          <rPr>
            <sz val="9"/>
            <color indexed="81"/>
            <rFont val="Tahoma"/>
            <family val="2"/>
          </rPr>
          <t>CASE(IHC(JT1) = 7) IF(RFV(IRF(ISA)) &gt; PRMT(77)) THEN KOMP(KT2,ISA) = 0 ELSE KOMP(KT2,ISA) = 1</t>
        </r>
      </text>
    </comment>
    <comment ref="D126" authorId="1" shapeId="0" xr:uid="{00000000-0006-0000-0500-000065000000}">
      <text>
        <r>
          <rPr>
            <sz val="9"/>
            <color indexed="81"/>
            <rFont val="Tahoma"/>
            <family val="2"/>
          </rPr>
          <t>IF(PDSW(ISA) / PDAW(ISA) &gt; PRMT(78) .AND. RSAE(ISA) &lt; 1.E-5 .AND. MO&lt; 12)THEN IF(KFL(1)&gt;0) WRITE ()</t>
        </r>
      </text>
    </comment>
    <comment ref="D127" authorId="1" shapeId="0" xr:uid="{00000000-0006-0000-0500-000066000000}">
      <text>
        <r>
          <rPr>
            <sz val="9"/>
            <color indexed="81"/>
            <rFont val="Tahoma"/>
            <family val="2"/>
          </rPr>
          <t>IF(AGPM(ISA) &lt; PRMT(79) .OR. NMW(ISA) &lt; IMW(ISA)) THEN EXIT</t>
        </r>
      </text>
    </comment>
    <comment ref="D128" authorId="1" shapeId="0" xr:uid="{00000000-0006-0000-0500-000067000000}">
      <text>
        <r>
          <rPr>
            <sz val="9"/>
            <color indexed="81"/>
            <rFont val="Tahoma"/>
            <family val="2"/>
          </rPr>
          <t>AVOL = PRMT(72) * {[MIN(PRMT(80), 1. - EXP(-[AKAV + AKAN]))] * WNMA(ISL,ISA)}</t>
        </r>
      </text>
    </comment>
    <comment ref="D130" authorId="1" shapeId="0" xr:uid="{00000000-0006-0000-0500-000068000000}">
      <text>
        <r>
          <rPr>
            <sz val="9"/>
            <color indexed="81"/>
            <rFont val="Tahoma"/>
            <family val="2"/>
          </rPr>
          <t>IF(PRMT(81) &gt; 0) THEN WRITE(KW(1), 'DYNAMIC TECHNOLOGY')</t>
        </r>
      </text>
    </comment>
    <comment ref="E130" authorId="1" shapeId="0" xr:uid="{00000000-0006-0000-0500-000069000000}">
      <text>
        <r>
          <rPr>
            <sz val="9"/>
            <color indexed="81"/>
            <rFont val="Tahoma"/>
            <family val="2"/>
          </rPr>
          <t>FT = MAX(.1, 1. + PRMT(81) * (IYR-2000))</t>
        </r>
      </text>
    </comment>
    <comment ref="D131" authorId="1" shapeId="0" xr:uid="{00000000-0006-0000-0500-00006A000000}">
      <text>
        <r>
          <rPr>
            <sz val="9"/>
            <color indexed="81"/>
            <rFont val="Tahoma"/>
            <family val="2"/>
          </rPr>
          <t>H = SATX * [MAX(1.E-5, [MIN(AVW / POFC, 1.)]** PRMT(82))]</t>
        </r>
      </text>
    </comment>
    <comment ref="D132" authorId="1" shapeId="0" xr:uid="{00000000-0006-0000-0500-00006B000000}">
      <text>
        <r>
          <rPr>
            <sz val="9"/>
            <color indexed="81"/>
            <rFont val="Tahoma"/>
            <family val="2"/>
          </rPr>
          <t>HCL(L,ISA) = MAX(PRMT(83) * SATC(L,ISA), (PO(L,ISA) - S15(L,ISA)) /( 24. * DRT(ISA)))</t>
        </r>
      </text>
    </comment>
    <comment ref="D133" authorId="1" shapeId="0" xr:uid="{00000000-0006-0000-0500-00006C000000}">
      <text>
        <r>
          <rPr>
            <sz val="9"/>
            <color indexed="81"/>
            <rFont val="Tahoma"/>
            <family val="2"/>
          </rPr>
          <t>RMN = PRMT(84) * (WPML(ISL,ISA) - WPMA(ISL,ISA) * RTO)</t>
        </r>
      </text>
    </comment>
    <comment ref="D134" authorId="1" shapeId="0" xr:uid="{00000000-0006-0000-0500-00006D000000}">
      <text>
        <r>
          <rPr>
            <sz val="9"/>
            <color indexed="81"/>
            <rFont val="Tahoma"/>
            <family val="2"/>
          </rPr>
          <t>IF(X1 &gt; 500.) THEN ROC = PRMT(85) * 10.**(LOG10(BK(ISL,ISA)) + LOG10(X1)) ELSE ROC = PRMT(85) * BK(ISL,ISA) * X1</t>
        </r>
      </text>
    </comment>
    <comment ref="B135" authorId="1" shapeId="0" xr:uid="{00000000-0006-0000-0500-00006E000000}">
      <text>
        <r>
          <rPr>
            <sz val="9"/>
            <color indexed="81"/>
            <rFont val="Tahoma"/>
            <family val="2"/>
          </rPr>
          <t>Increasing Parm 86 increases upward movement.</t>
        </r>
      </text>
    </comment>
    <comment ref="D135" authorId="1" shapeId="0" xr:uid="{00000000-0006-0000-0500-00006F000000}">
      <text>
        <r>
          <rPr>
            <sz val="9"/>
            <color indexed="81"/>
            <rFont val="Tahoma"/>
            <family val="2"/>
          </rPr>
          <t>XX = PRMT(86) * SEV(ISL,ISA) * WNMN(ISL,ISA) / (SWST(ISL,ISA) + SEV(ISL,ISA))</t>
        </r>
      </text>
    </comment>
    <comment ref="B136" authorId="1" shapeId="0" xr:uid="{00000000-0006-0000-0500-000070000000}">
      <text>
        <r>
          <rPr>
            <sz val="9"/>
            <color indexed="81"/>
            <rFont val="Tahoma"/>
            <family val="2"/>
          </rPr>
          <t>Small values slow the water table recession.</t>
        </r>
      </text>
    </comment>
    <comment ref="D136" authorId="1" shapeId="0" xr:uid="{00000000-0006-0000-0500-000071000000}">
      <text>
        <r>
          <rPr>
            <sz val="9"/>
            <color indexed="81"/>
            <rFont val="Tahoma"/>
            <family val="2"/>
          </rPr>
          <t>X2 = MIN(PRMT(88), ABS(RTO) * [PRMT(87) * (IDA / ND)** PRMT(89)])</t>
        </r>
      </text>
    </comment>
    <comment ref="D137" authorId="1" shapeId="0" xr:uid="{00000000-0006-0000-0500-000072000000}">
      <text>
        <r>
          <rPr>
            <sz val="9"/>
            <color indexed="81"/>
            <rFont val="Tahoma"/>
            <family val="2"/>
          </rPr>
          <t>X2 = MIN(PRMT(88), ABS(RTO) * [PRMT(87) * (IDA / ND)** PRMT(89)])</t>
        </r>
      </text>
    </comment>
    <comment ref="D138" authorId="1" shapeId="0" xr:uid="{00000000-0006-0000-0500-000073000000}">
      <text>
        <r>
          <rPr>
            <sz val="9"/>
            <color indexed="81"/>
            <rFont val="Tahoma"/>
            <family val="2"/>
          </rPr>
          <t>X2 = MIN(PRMT(88), ABS(RTO) * [PRMT(87) * (IDA / ND)** PRMT(89)])</t>
        </r>
      </text>
    </comment>
    <comment ref="B139" authorId="1" shapeId="0" xr:uid="{00000000-0006-0000-0500-000074000000}">
      <text>
        <r>
          <rPr>
            <sz val="9"/>
            <color indexed="81"/>
            <rFont val="Tahoma"/>
            <family val="2"/>
          </rPr>
          <t xml:space="preserve">Larger numbers allocate more flow to SSF and QRF. </t>
        </r>
      </text>
    </comment>
    <comment ref="D139" authorId="1" shapeId="0" xr:uid="{00000000-0006-0000-0500-000075000000}">
      <text>
        <r>
          <rPr>
            <sz val="9"/>
            <color indexed="81"/>
            <rFont val="Tahoma"/>
            <family val="2"/>
          </rPr>
          <t>Z2 = PRMT(90) * DZ * X2 / SPLG(ISA)</t>
        </r>
      </text>
    </comment>
    <comment ref="B141" authorId="1" shapeId="0" xr:uid="{00000000-0006-0000-0500-000076000000}">
      <text>
        <r>
          <rPr>
            <sz val="9"/>
            <color indexed="81"/>
            <rFont val="Tahoma"/>
            <family val="2"/>
          </rPr>
          <t>Small values reduce channel and floodplain evaporation</t>
        </r>
      </text>
    </comment>
    <comment ref="D141" authorId="1" shapeId="0" xr:uid="{00000000-0006-0000-0500-000077000000}">
      <text>
        <r>
          <rPr>
            <sz val="9"/>
            <color indexed="81"/>
            <rFont val="Tahoma"/>
            <family val="2"/>
          </rPr>
          <t>EVRT = MIN(Q2M3, 10. * PRMT(91) * EO * WSU)</t>
        </r>
      </text>
    </comment>
    <comment ref="B142" authorId="1" shapeId="0" xr:uid="{00000000-0006-0000-0500-000078000000}">
      <text>
        <r>
          <rPr>
            <sz val="9"/>
            <color indexed="81"/>
            <rFont val="Tahoma"/>
            <family val="2"/>
          </rPr>
          <t>= 1 (neutral); 
&gt;1 (decreases runoff); 
&lt;1 (increases runoff).
Typical setting is 1.0.</t>
        </r>
      </text>
    </comment>
    <comment ref="D142" authorId="1" shapeId="0" xr:uid="{00000000-0006-0000-0500-000079000000}">
      <text>
        <r>
          <rPr>
            <sz val="9"/>
            <color indexed="81"/>
            <rFont val="Tahoma"/>
            <family val="2"/>
          </rPr>
          <t>IF(PRMT(92) &gt; 0.) THEN SCNX(ISA) = PRMT(92) ELSE SCNX(ISA) = MAX(1., [MIN(1.7, 2. - X1 / (X1 + EXP(SCRP(28, 1) - SCRP(28, 2) * X1)))])</t>
        </r>
      </text>
    </comment>
    <comment ref="D143" authorId="1" shapeId="0" xr:uid="{00000000-0006-0000-0500-00007A000000}">
      <text>
        <r>
          <rPr>
            <sz val="9"/>
            <color indexed="81"/>
            <rFont val="Tahoma"/>
            <family val="2"/>
          </rPr>
          <t>IF(YSD(NDRV,IDO) &gt; PRMT(93)) THEN SMM(144,MO,MSA) = SMM(144,MO,MSA) + 1.</t>
        </r>
      </text>
    </comment>
    <comment ref="D144" authorId="1" shapeId="0" xr:uid="{00000000-0006-0000-0500-00007B000000}">
      <text>
        <r>
          <rPr>
            <sz val="9"/>
            <color indexed="81"/>
            <rFont val="Tahoma"/>
            <family val="2"/>
          </rPr>
          <t>IF(YW(IDO) &gt; PRMT(94)) THEN SMM(144,MO,MSA) = SMM(144,MO,MSA) + 1.</t>
        </r>
      </text>
    </comment>
    <comment ref="B145" authorId="1" shapeId="0" xr:uid="{00000000-0006-0000-0500-00007C000000}">
      <text>
        <r>
          <rPr>
            <sz val="9"/>
            <color indexed="81"/>
            <rFont val="Tahoma"/>
            <family val="2"/>
          </rPr>
          <t>Setting this parameter to 1 causes no effect.</t>
        </r>
      </text>
    </comment>
    <comment ref="D145" authorId="1" shapeId="0" xr:uid="{00000000-0006-0000-0500-00007D000000}">
      <text>
        <r>
          <rPr>
            <sz val="9"/>
            <color indexed="81"/>
            <rFont val="Tahoma"/>
            <family val="2"/>
          </rPr>
          <t>CS = PRMT(95) * PRMT(69) * CS * (1.+RSDM(LD1,ISA)) + [1.-PRMT(95)]</t>
        </r>
      </text>
    </comment>
    <comment ref="E145" authorId="1" shapeId="0" xr:uid="{00000000-0006-0000-0500-00007E000000}">
      <text>
        <r>
          <rPr>
            <sz val="9"/>
            <color indexed="81"/>
            <rFont val="Tahoma"/>
            <family val="2"/>
          </rPr>
          <t>RLM = PRMT(95) *.0405 + [1. - PRMT(95)] * .2 &amp; RLS = PRMT(95) * .0107 + [1.-PRMT(95)] * .2</t>
        </r>
      </text>
    </comment>
    <comment ref="B146" authorId="1" shapeId="0" xr:uid="{00000000-0006-0000-0500-00007F000000}">
      <text>
        <r>
          <rPr>
            <sz val="9"/>
            <color indexed="81"/>
            <rFont val="Tahoma"/>
            <family val="2"/>
          </rPr>
          <t>Setting this parameter to 1 causes no effect.</t>
        </r>
      </text>
    </comment>
    <comment ref="D146" authorId="1" shapeId="0" xr:uid="{00000000-0006-0000-0500-000080000000}">
      <text>
        <r>
          <rPr>
            <sz val="9"/>
            <color indexed="81"/>
            <rFont val="Tahoma"/>
            <family val="2"/>
          </rPr>
          <t>DK = PRMT(96) * [CLA(ISL,ISA)] / ([CLA(ISL,ISA)] + EXP(SCRP(29,1) - SCRP(29,2) * [CLA(ISL,ISA)]))</t>
        </r>
      </text>
    </comment>
    <comment ref="E146" authorId="1" shapeId="0" xr:uid="{00000000-0006-0000-0500-000081000000}">
      <text>
        <r>
          <rPr>
            <sz val="9"/>
            <color indexed="81"/>
            <rFont val="Tahoma"/>
            <family val="2"/>
          </rPr>
          <t>CL = 10. * [1000.  X2 / WT(ISL,ISA)] / (PRMT(96) * [MAX(1.,CPMX(ISA) - CS)])</t>
        </r>
      </text>
    </comment>
    <comment ref="B147" authorId="1" shapeId="0" xr:uid="{00000000-0006-0000-0500-000082000000}">
      <text>
        <r>
          <rPr>
            <sz val="9"/>
            <color indexed="81"/>
            <rFont val="Tahoma"/>
            <family val="2"/>
          </rPr>
          <t>=0.00 root mass adjusted based on yesterday's value; 
=1.00 root mass based on today's value</t>
        </r>
      </text>
    </comment>
    <comment ref="D147" authorId="1" shapeId="0" xr:uid="{00000000-0006-0000-0500-000083000000}">
      <text>
        <r>
          <rPr>
            <sz val="9"/>
            <color indexed="81"/>
            <rFont val="Tahoma"/>
            <family val="2"/>
          </rPr>
          <t>IF([YP(IDO) + YPWN(IDO)] &gt; PRMT(97)) THEN SMM(148,MO,MSA) = SMM(148,MO,MSA) + 1.</t>
        </r>
      </text>
    </comment>
    <comment ref="D148" authorId="1" shapeId="0" xr:uid="{00000000-0006-0000-0500-000084000000}">
      <text>
        <r>
          <rPr>
            <sz val="9"/>
            <color indexed="81"/>
            <rFont val="Tahoma"/>
            <family val="2"/>
          </rPr>
          <t>RSE = (SOLK(ISL,ISA) - EXCK(ISL,ISA) * EQKS(ISL,ISA)) * PRMT(98)</t>
        </r>
      </text>
    </comment>
    <comment ref="D149" authorId="1" shapeId="0" xr:uid="{00000000-0006-0000-0500-000085000000}">
      <text>
        <r>
          <rPr>
            <sz val="9"/>
            <color indexed="81"/>
            <rFont val="Tahoma"/>
            <family val="2"/>
          </rPr>
          <t>REF = (EXCK(ISL,ISA) - FIXK(ISL,ISA) * EQKE(ISL,ISA)) * PRMT(99)</t>
        </r>
      </text>
    </comment>
    <comment ref="D150" authorId="1" shapeId="0" xr:uid="{00000000-0006-0000-0500-000086000000}">
      <text>
        <r>
          <rPr>
            <sz val="9"/>
            <color indexed="81"/>
            <rFont val="Tahoma"/>
            <family val="2"/>
          </rPr>
          <t>THSCA = WHSC(ISL,ISA) * RHS * CS * CR</t>
        </r>
      </text>
    </comment>
    <comment ref="E150" authorId="1" shapeId="0" xr:uid="{00000000-0006-0000-0500-000087000000}">
      <text>
        <r>
          <rPr>
            <sz val="9"/>
            <color indexed="81"/>
            <rFont val="Tahoma"/>
            <family val="2"/>
          </rPr>
          <t>THSCP = WHSC(ISL,ISA) * [RHS * CS] &amp; THSNP = WHSN(ISL,ISA) * [RHS * CS]</t>
        </r>
      </text>
    </comment>
    <comment ref="D152" authorId="1" shapeId="0" xr:uid="{00000000-0006-0000-0500-000088000000}">
      <text>
        <r>
          <rPr>
            <sz val="9"/>
            <color indexed="81"/>
            <rFont val="Tahoma"/>
            <family val="2"/>
          </rPr>
          <t>THPCA = WHPC(ISL,ISA) * CS * CR * RHP</t>
        </r>
      </text>
    </comment>
    <comment ref="E152" authorId="1" shapeId="0" xr:uid="{00000000-0006-0000-0500-000089000000}">
      <text>
        <r>
          <rPr>
            <sz val="9"/>
            <color indexed="81"/>
            <rFont val="Tahoma"/>
            <family val="2"/>
          </rPr>
          <t>THPCP = WHPC(ISL,ISA) * [CS * RHP] &amp; THPNP = WHPN(ISL,ISA) * [CS * RHP]</t>
        </r>
      </text>
    </comment>
    <comment ref="D153" authorId="1" shapeId="0" xr:uid="{00000000-0006-0000-0500-00008A000000}">
      <text>
        <r>
          <rPr>
            <sz val="9"/>
            <color indexed="81"/>
            <rFont val="Tahoma"/>
            <family val="2"/>
          </rPr>
          <t>CRX = 1. - (CRUNC - BMNC) / (CRUNC - CRLNC)</t>
        </r>
      </text>
    </comment>
    <comment ref="E153" authorId="1" shapeId="0" xr:uid="{00000000-0006-0000-0500-00008B000000}">
      <text>
        <r>
          <rPr>
            <sz val="9"/>
            <color indexed="81"/>
            <rFont val="Tahoma"/>
            <family val="2"/>
          </rPr>
          <t>IF(BMNC &gt; CRLNC .AND. BMNC &lt; CRUNC) THEN CR = CRX</t>
        </r>
      </text>
    </comment>
    <comment ref="D154" authorId="1" shapeId="0" xr:uid="{00000000-0006-0000-0500-00008C000000}">
      <text>
        <r>
          <rPr>
            <sz val="9"/>
            <color indexed="81"/>
            <rFont val="Tahoma"/>
            <family val="2"/>
          </rPr>
          <t>CRX = 1. - (CRUNC - BMNC) / (CRUNC - CRLNC)</t>
        </r>
      </text>
    </comment>
    <comment ref="E154" authorId="1" shapeId="0" xr:uid="{00000000-0006-0000-0500-00008D000000}">
      <text>
        <r>
          <rPr>
            <sz val="9"/>
            <color indexed="81"/>
            <rFont val="Tahoma"/>
            <family val="2"/>
          </rPr>
          <t>IF(BMNC &gt; CRLNC .AND. BMNC &lt; CRUNC) THEN CR = CRX</t>
        </r>
      </text>
    </comment>
    <comment ref="D155" authorId="1" shapeId="0" xr:uid="{00000000-0006-0000-0500-00008E000000}">
      <text>
        <r>
          <rPr>
            <sz val="9"/>
            <color indexed="81"/>
            <rFont val="Tahoma"/>
            <family val="2"/>
          </rPr>
          <t>SUP = MAX(0., CA * CS * WKA * WBMN(ISL,ISA))</t>
        </r>
      </text>
    </comment>
    <comment ref="D156" authorId="1" shapeId="0" xr:uid="{00000000-0006-0000-0500-00008F000000}">
      <text>
        <r>
          <rPr>
            <sz val="9"/>
            <color indexed="81"/>
            <rFont val="Tahoma"/>
            <family val="2"/>
          </rPr>
          <t>XSF = (BMNC - WNCMIN) / (WNCMAX - WNCMIN)</t>
        </r>
      </text>
    </comment>
    <comment ref="E156" authorId="1" shapeId="0" xr:uid="{00000000-0006-0000-0500-000090000000}">
      <text>
        <r>
          <rPr>
            <sz val="9"/>
            <color indexed="81"/>
            <rFont val="Tahoma"/>
            <family val="2"/>
          </rPr>
          <t>IF(BMNC &gt; WNCMIN .AND. BMNC &lt; WNCMAX) THEN CA = XSF &amp; IF(BMNC &gt; WNCMIN .AND. BMNC &lt; WNCMAX) THEN CU = 1.-XSF &amp; IF(BMNC &lt; WNCMIN) THEN CU = 1.</t>
        </r>
      </text>
    </comment>
    <comment ref="D157" authorId="1" shapeId="0" xr:uid="{00000000-0006-0000-0500-000091000000}">
      <text>
        <r>
          <rPr>
            <sz val="9"/>
            <color indexed="81"/>
            <rFont val="Tahoma"/>
            <family val="2"/>
          </rPr>
          <t>XSF = (BMNC - WNCMIN) / (WNCMAX - WNCMIN)</t>
        </r>
      </text>
    </comment>
    <comment ref="E157" authorId="1" shapeId="0" xr:uid="{00000000-0006-0000-0500-000092000000}">
      <text>
        <r>
          <rPr>
            <sz val="9"/>
            <color indexed="81"/>
            <rFont val="Tahoma"/>
            <family val="2"/>
          </rPr>
          <t>IF(BMNC &gt; WNCMIN .AND. BMNC &lt; WNCMAX) THEN CA = XSF &amp; IF(BMNC &gt; WNCMIN .AND. BMNC &lt; WNCMAX) THEN CU = 1.-XSF &amp; IF(BMNC &lt; WNCMIN) THEN CU = 1.</t>
        </r>
      </text>
    </comment>
    <comment ref="D158" authorId="1" shapeId="0" xr:uid="{00000000-0006-0000-0500-000093000000}">
      <text>
        <r>
          <rPr>
            <sz val="9"/>
            <color indexed="81"/>
            <rFont val="Tahoma"/>
            <family val="2"/>
          </rPr>
          <t>XU = CS * CU * VMU</t>
        </r>
      </text>
    </comment>
    <comment ref="D159" authorId="1" shapeId="0" xr:uid="{00000000-0006-0000-0500-000094000000}">
      <text>
        <r>
          <rPr>
            <sz val="9"/>
            <color indexed="81"/>
            <rFont val="Tahoma"/>
            <family val="2"/>
          </rPr>
          <t>DMDNH3MX = MIN(WNH3(ISL,ISA), XWNH3 * DMDNMAX / (WKMNH3 + XWNH3))</t>
        </r>
      </text>
    </comment>
    <comment ref="E159" authorId="1" shapeId="0" xr:uid="{00000000-0006-0000-0500-000095000000}">
      <text>
        <r>
          <rPr>
            <sz val="9"/>
            <color indexed="81"/>
            <rFont val="Tahoma"/>
            <family val="2"/>
          </rPr>
          <t>DMDN = DMDNH3MX + DMDNO2MX + DMDNO3MX</t>
        </r>
      </text>
    </comment>
    <comment ref="D160" authorId="1" shapeId="0" xr:uid="{00000000-0006-0000-0500-000096000000}">
      <text>
        <r>
          <rPr>
            <sz val="9"/>
            <color indexed="81"/>
            <rFont val="Tahoma"/>
            <family val="2"/>
          </rPr>
          <t>DMDNO2MX = MIN(WNO2(ISL,ISA), XWNO2 * DMDNMAX / (WKMNO2 + XWNO2))</t>
        </r>
      </text>
    </comment>
    <comment ref="E160" authorId="1" shapeId="0" xr:uid="{00000000-0006-0000-0500-000097000000}">
      <text>
        <r>
          <rPr>
            <sz val="9"/>
            <color indexed="81"/>
            <rFont val="Tahoma"/>
            <family val="2"/>
          </rPr>
          <t>DMDN = DMDNH3MX + DMDNO2MX + DMDNO3MX</t>
        </r>
      </text>
    </comment>
    <comment ref="D161" authorId="1" shapeId="0" xr:uid="{00000000-0006-0000-0500-000098000000}">
      <text>
        <r>
          <rPr>
            <sz val="9"/>
            <color indexed="81"/>
            <rFont val="Tahoma"/>
            <family val="2"/>
          </rPr>
          <t>DMDNO3MX = MIN(WNO3(ISL,ISA), XWNO3 * DMDNMAX / (WKMNO3 + XWNO3))</t>
        </r>
      </text>
    </comment>
    <comment ref="E161" authorId="1" shapeId="0" xr:uid="{00000000-0006-0000-0500-000099000000}">
      <text>
        <r>
          <rPr>
            <sz val="9"/>
            <color indexed="81"/>
            <rFont val="Tahoma"/>
            <family val="2"/>
          </rPr>
          <t>DMDN = DMDNH3MX + DMDNO2MX + DMDNO3MX</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3" authorId="0" shapeId="0" xr:uid="{00000000-0006-0000-0600-000001000000}">
      <text>
        <r>
          <rPr>
            <sz val="9"/>
            <color indexed="81"/>
            <rFont val="Tahoma"/>
            <family val="2"/>
          </rPr>
          <t>Type the file name and extension (i.e. FILENAME.DAT)</t>
        </r>
      </text>
    </comment>
    <comment ref="A5" authorId="0" shapeId="0" xr:uid="{00000000-0006-0000-0600-000002000000}">
      <text>
        <r>
          <rPr>
            <sz val="9"/>
            <color indexed="81"/>
            <rFont val="Tahoma"/>
            <family val="2"/>
          </rPr>
          <t>Equipment number  (cols.2-5 ) (Range: 1-inf)</t>
        </r>
      </text>
    </comment>
    <comment ref="B5" authorId="0" shapeId="0" xr:uid="{00000000-0006-0000-0600-000003000000}">
      <text>
        <r>
          <rPr>
            <sz val="9"/>
            <color indexed="81"/>
            <rFont val="Tahoma"/>
            <family val="2"/>
          </rPr>
          <t xml:space="preserve">Tillage/Equipment operation name. (cols.7-14) </t>
        </r>
      </text>
    </comment>
    <comment ref="C5" authorId="0" shapeId="0" xr:uid="{00000000-0006-0000-0600-000004000000}">
      <text>
        <r>
          <rPr>
            <sz val="9"/>
            <color indexed="81"/>
            <rFont val="Tahoma"/>
            <family val="2"/>
          </rPr>
          <t>Power code. (Range: 1- 5) (cols. 16-19)</t>
        </r>
      </text>
    </comment>
    <comment ref="D5" authorId="0" shapeId="0" xr:uid="{00000000-0006-0000-0600-000005000000}">
      <text>
        <r>
          <rPr>
            <sz val="9"/>
            <color indexed="81"/>
            <rFont val="Tahoma"/>
            <family val="2"/>
          </rPr>
          <t>Purchase price ($) (cols. 20-27) (Range: 0- 999999)</t>
        </r>
      </text>
    </comment>
    <comment ref="E5" authorId="0" shapeId="0" xr:uid="{00000000-0006-0000-0600-000006000000}">
      <text>
        <r>
          <rPr>
            <sz val="9"/>
            <color indexed="81"/>
            <rFont val="Tahoma"/>
            <family val="2"/>
          </rPr>
          <t>Initial list price in current ($) (cols. 28-35) (Range: 0- 999999)</t>
        </r>
      </text>
    </comment>
    <comment ref="F5" authorId="0" shapeId="0" xr:uid="{00000000-0006-0000-0600-000007000000}">
      <text>
        <r>
          <rPr>
            <sz val="9"/>
            <color indexed="81"/>
            <rFont val="Tahoma"/>
            <family val="2"/>
          </rPr>
          <t>Annual use (h) (cols. 36-43) (Range: 0- 8760)</t>
        </r>
      </text>
    </comment>
    <comment ref="G5" authorId="0" shapeId="0" xr:uid="{00000000-0006-0000-0600-000008000000}">
      <text>
        <r>
          <rPr>
            <sz val="9"/>
            <color indexed="81"/>
            <rFont val="Tahoma"/>
            <family val="2"/>
          </rPr>
          <t>Life of equip (h) (cols. 44-51) (Range: 0- 999999)</t>
        </r>
      </text>
    </comment>
    <comment ref="H5" authorId="0" shapeId="0" xr:uid="{00000000-0006-0000-0600-000009000000}">
      <text>
        <r>
          <rPr>
            <sz val="9"/>
            <color indexed="81"/>
            <rFont val="Tahoma"/>
            <family val="2"/>
          </rPr>
          <t>Power of unit (KW) (cols. 52-59) (Range: 0- 900)</t>
        </r>
      </text>
    </comment>
    <comment ref="I5" authorId="0" shapeId="0" xr:uid="{00000000-0006-0000-0600-00000A000000}">
      <text>
        <r>
          <rPr>
            <sz val="9"/>
            <color indexed="81"/>
            <rFont val="Tahoma"/>
            <family val="2"/>
          </rPr>
          <t>Width of pass (m) (cols. 60-67) (Range: 0- 50)</t>
        </r>
      </text>
    </comment>
    <comment ref="J5" authorId="0" shapeId="0" xr:uid="{00000000-0006-0000-0600-00000B000000}">
      <text>
        <r>
          <rPr>
            <sz val="9"/>
            <color indexed="81"/>
            <rFont val="Tahoma"/>
            <family val="2"/>
          </rPr>
          <t>Operating speed (km/h) (cols. 68-75) (Range: 0- 200)</t>
        </r>
      </text>
    </comment>
    <comment ref="K5" authorId="0" shapeId="0" xr:uid="{00000000-0006-0000-0600-00000C000000}">
      <text>
        <r>
          <rPr>
            <sz val="9"/>
            <color indexed="81"/>
            <rFont val="Tahoma"/>
            <family val="2"/>
          </rPr>
          <t>Repair cost coef 1 (cols. 76-83) (Range: 0-1)</t>
        </r>
      </text>
    </comment>
    <comment ref="L5" authorId="0" shapeId="0" xr:uid="{00000000-0006-0000-0600-00000D000000}">
      <text>
        <r>
          <rPr>
            <sz val="9"/>
            <color indexed="81"/>
            <rFont val="Tahoma"/>
            <family val="2"/>
          </rPr>
          <t>Repair cost coef 2 (cols. 84-91) (Range: 0-5)</t>
        </r>
      </text>
    </comment>
    <comment ref="M5" authorId="0" shapeId="0" xr:uid="{00000000-0006-0000-0600-00000E000000}">
      <text>
        <r>
          <rPr>
            <sz val="9"/>
            <color indexed="81"/>
            <rFont val="Tahoma"/>
            <family val="2"/>
          </rPr>
          <t>Lubricant factor (cols. 92-99) (Range: 0-1)</t>
        </r>
      </text>
    </comment>
    <comment ref="N5" authorId="0" shapeId="0" xr:uid="{00000000-0006-0000-0600-00000F000000}">
      <text>
        <r>
          <rPr>
            <sz val="9"/>
            <color indexed="81"/>
            <rFont val="Tahoma"/>
            <family val="2"/>
          </rPr>
          <t>Fuel consumption multiplier (cols. 100-107) (Range: 0-1)</t>
        </r>
      </text>
    </comment>
    <comment ref="O5" authorId="0" shapeId="0" xr:uid="{00000000-0006-0000-0600-000010000000}">
      <text>
        <r>
          <rPr>
            <sz val="9"/>
            <color indexed="81"/>
            <rFont val="Tahoma"/>
            <family val="2"/>
          </rPr>
          <t>Remaining farm value parm 1 (cols. 108-115) (Range: 0-2)</t>
        </r>
      </text>
    </comment>
    <comment ref="P5" authorId="0" shapeId="0" xr:uid="{00000000-0006-0000-0600-000011000000}">
      <text>
        <r>
          <rPr>
            <sz val="9"/>
            <color indexed="81"/>
            <rFont val="Tahoma"/>
            <family val="2"/>
          </rPr>
          <t>Remaining farm value parm 2 (cols. 116-123) (Range: 0-2)</t>
        </r>
      </text>
    </comment>
    <comment ref="Q5" authorId="0" shapeId="0" xr:uid="{00000000-0006-0000-0600-000012000000}">
      <text>
        <r>
          <rPr>
            <sz val="9"/>
            <color indexed="81"/>
            <rFont val="Tahoma"/>
            <family val="2"/>
          </rPr>
          <t>Machine efficiency (cols. 124-131) (Range: 0-1)</t>
        </r>
      </text>
    </comment>
    <comment ref="R5" authorId="0" shapeId="0" xr:uid="{00000000-0006-0000-0600-000013000000}">
      <text>
        <r>
          <rPr>
            <sz val="9"/>
            <color indexed="81"/>
            <rFont val="Tahoma"/>
            <family val="2"/>
          </rPr>
          <t>Annual real interest rate ($/$) (cols. 132-139) (Range 0.001 – 0.15)</t>
        </r>
      </text>
    </comment>
    <comment ref="S5" authorId="0" shapeId="0" xr:uid="{00000000-0006-0000-0600-000014000000}">
      <text>
        <r>
          <rPr>
            <sz val="9"/>
            <color indexed="81"/>
            <rFont val="Tahoma"/>
            <family val="2"/>
          </rPr>
          <t>Mixing efficiency (cols. 140-147) (Range: 0-1)</t>
        </r>
      </text>
    </comment>
    <comment ref="T5" authorId="0" shapeId="0" xr:uid="{00000000-0006-0000-0600-000015000000}">
      <text>
        <r>
          <rPr>
            <sz val="9"/>
            <color indexed="81"/>
            <rFont val="Tahoma"/>
            <family val="2"/>
          </rPr>
          <t>Random surface roughness created by tillage operation in mm. (cols. 148-155) (Range: 0-100)</t>
        </r>
      </text>
    </comment>
    <comment ref="U5" authorId="0" shapeId="0" xr:uid="{00000000-0006-0000-0600-000016000000}">
      <text>
        <r>
          <rPr>
            <sz val="9"/>
            <color indexed="81"/>
            <rFont val="Tahoma"/>
            <family val="2"/>
          </rPr>
          <t>Tillage depth in mm. (cols. 156-163) (Range: -2000 to 500)</t>
        </r>
      </text>
    </comment>
    <comment ref="V5" authorId="0" shapeId="0" xr:uid="{00000000-0006-0000-0600-000017000000}">
      <text>
        <r>
          <rPr>
            <sz val="9"/>
            <color indexed="81"/>
            <rFont val="Tahoma"/>
            <family val="2"/>
          </rPr>
          <t>Ridge height in mm (cols. 164-171) (Range: 0-1000)</t>
        </r>
      </text>
    </comment>
    <comment ref="W5" authorId="0" shapeId="0" xr:uid="{00000000-0006-0000-0600-000018000000}">
      <text>
        <r>
          <rPr>
            <sz val="9"/>
            <color indexed="81"/>
            <rFont val="Tahoma"/>
            <family val="2"/>
          </rPr>
          <t>Ridge interval in m (cols. 172-179) (Range: 0-200)</t>
        </r>
      </text>
    </comment>
    <comment ref="X5" authorId="0" shapeId="0" xr:uid="{00000000-0006-0000-0600-000019000000}">
      <text>
        <r>
          <rPr>
            <sz val="9"/>
            <color indexed="81"/>
            <rFont val="Tahoma"/>
            <family val="2"/>
          </rPr>
          <t>Height of furrow dikes in mm. (blank if dikes are not used)  (cols. 180-187) (Range: 0-1000)</t>
        </r>
      </text>
    </comment>
    <comment ref="Y5" authorId="0" shapeId="0" xr:uid="{00000000-0006-0000-0600-00001A000000}">
      <text>
        <r>
          <rPr>
            <sz val="9"/>
            <color indexed="81"/>
            <rFont val="Tahoma"/>
            <family val="2"/>
          </rPr>
          <t>Distance between furrow dikes in m. (blank if dikes are not used) (cols. 188-195) (Range: 0-200)</t>
        </r>
      </text>
    </comment>
    <comment ref="Z5" authorId="0" shapeId="0" xr:uid="{00000000-0006-0000-0600-00001B000000}">
      <text>
        <r>
          <rPr>
            <sz val="9"/>
            <color indexed="81"/>
            <rFont val="Tahoma"/>
            <family val="2"/>
          </rPr>
          <t>Operation Code (cols. 196-203) (Range: 0-26)
0  Plow, cultivate, other
1  Kill crop
2  Harvest without kill
3  Harvest once without kill
4  Tractor
5  Plant in rows
6  Plant with drill
7  Apply pesticide
8  Irrigate
9  Fertilize
10 Bagging and Ties (cotton)
11 Ginning
12 Hauling
13 Drying
14 Burn
15 Puddle 
16 Destroy puddle 
17 Builds furrow dikes 
18 Destroys furrow dikes
19 Start grazing
20 Stop grazing
21 Scrape manure from pens
22 Auto mow
23 Plastic cover
24 Remove plastic cover
25 Stop drainage system flow
26 Resume drainage flow
27 Lime application / Mulching</t>
        </r>
      </text>
    </comment>
    <comment ref="AA5" authorId="0" shapeId="0" xr:uid="{00000000-0006-0000-0600-00001C000000}">
      <text>
        <r>
          <rPr>
            <sz val="9"/>
            <color indexed="81"/>
            <rFont val="Tahoma"/>
            <family val="2"/>
          </rPr>
          <t>Harvest efficiency (0-1) or Pesticide application efficiency. (cols. 204-211) (Range: 0-1)</t>
        </r>
      </text>
    </comment>
    <comment ref="AB5" authorId="0" shapeId="0" xr:uid="{00000000-0006-0000-0600-00001D000000}">
      <text>
        <r>
          <rPr>
            <sz val="9"/>
            <color indexed="81"/>
            <rFont val="Tahoma"/>
            <family val="2"/>
          </rPr>
          <t xml:space="preserve">Override Harvest Index for Forage and Root Crops (cols. 212-219) </t>
        </r>
      </text>
    </comment>
    <comment ref="AC5" authorId="0" shapeId="0" xr:uid="{00000000-0006-0000-0600-00001E000000}">
      <text>
        <r>
          <rPr>
            <sz val="9"/>
            <color indexed="81"/>
            <rFont val="Tahoma"/>
            <family val="2"/>
          </rPr>
          <t>Fraction of soil compacted (cols. 220-227) (Range: 0-1)</t>
        </r>
      </text>
    </comment>
    <comment ref="AD5" authorId="0" shapeId="0" xr:uid="{00000000-0006-0000-0600-00001F000000}">
      <text>
        <r>
          <rPr>
            <sz val="9"/>
            <color indexed="81"/>
            <rFont val="Tahoma"/>
            <family val="2"/>
          </rPr>
          <t>Fraction plant population reduced by operation. (cols. 228-235) (Range: 0-1)</t>
        </r>
      </text>
    </comment>
    <comment ref="AE5" authorId="0" shapeId="0" xr:uid="{00000000-0006-0000-0600-000020000000}">
      <text>
        <r>
          <rPr>
            <sz val="9"/>
            <color indexed="81"/>
            <rFont val="Tahoma"/>
            <family val="2"/>
          </rPr>
          <t>Carbon Emission. (cols. 236-243) (Range: 0-9999)</t>
        </r>
      </text>
    </comment>
    <comment ref="AF5" authorId="0" shapeId="0" xr:uid="{00000000-0006-0000-0600-000021000000}">
      <text>
        <r>
          <rPr>
            <sz val="9"/>
            <color indexed="81"/>
            <rFont val="Tahoma"/>
            <family val="2"/>
          </rPr>
          <t>STIR value for operation. (cols. 244-251) (Range:0-200)</t>
        </r>
      </text>
    </comment>
    <comment ref="AG5" authorId="0" shapeId="0" xr:uid="{00000000-0006-0000-0600-000022000000}">
      <text>
        <r>
          <rPr>
            <sz val="9"/>
            <color indexed="81"/>
            <rFont val="Tahoma"/>
            <family val="2"/>
          </rPr>
          <t>Description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3" authorId="0" shapeId="0" xr:uid="{00000000-0006-0000-0700-000001000000}">
      <text>
        <r>
          <rPr>
            <sz val="9"/>
            <color indexed="81"/>
            <rFont val="Tahoma"/>
            <family val="2"/>
          </rPr>
          <t>Type the file name and extension (i.e. FILENAME.DAT)</t>
        </r>
      </text>
    </comment>
    <comment ref="A5" authorId="0" shapeId="0" xr:uid="{00000000-0006-0000-0700-000002000000}">
      <text>
        <r>
          <rPr>
            <sz val="9"/>
            <color indexed="81"/>
            <rFont val="Tahoma"/>
            <family val="2"/>
          </rPr>
          <t>Crop Number. (cols. 2-5)</t>
        </r>
      </text>
    </comment>
    <comment ref="B5" authorId="0" shapeId="0" xr:uid="{00000000-0006-0000-0700-000003000000}">
      <text>
        <r>
          <rPr>
            <sz val="9"/>
            <color indexed="81"/>
            <rFont val="Tahoma"/>
            <family val="2"/>
          </rPr>
          <t>Crop Name.  (cols. 7-10)</t>
        </r>
      </text>
    </comment>
    <comment ref="C5" authorId="0" shapeId="0" xr:uid="{00000000-0006-0000-0700-000004000000}">
      <text>
        <r>
          <rPr>
            <sz val="9"/>
            <color indexed="81"/>
            <rFont val="Tahoma"/>
            <family val="2"/>
          </rPr>
          <t>Biomass-Energy Ratio (CO2=330ppm).  (cols. 11-18)</t>
        </r>
      </text>
    </comment>
    <comment ref="D5" authorId="0" shapeId="0" xr:uid="{00000000-0006-0000-0700-000005000000}">
      <text>
        <r>
          <rPr>
            <sz val="9"/>
            <color indexed="81"/>
            <rFont val="Tahoma"/>
            <family val="2"/>
          </rPr>
          <t>Harvest index.  (cols. 19-26)</t>
        </r>
      </text>
    </comment>
    <comment ref="E5" authorId="0" shapeId="0" xr:uid="{00000000-0006-0000-0700-000006000000}">
      <text>
        <r>
          <rPr>
            <sz val="9"/>
            <color indexed="81"/>
            <rFont val="Tahoma"/>
            <family val="2"/>
          </rPr>
          <t>Optimal temperature for plant growth.  (cols. 27-34)</t>
        </r>
      </text>
    </comment>
    <comment ref="F5" authorId="0" shapeId="0" xr:uid="{00000000-0006-0000-0700-000007000000}">
      <text>
        <r>
          <rPr>
            <sz val="9"/>
            <color indexed="81"/>
            <rFont val="Tahoma"/>
            <family val="2"/>
          </rPr>
          <t>Minimum temperature for plant growth.  (cols. 35-42)</t>
        </r>
      </text>
    </comment>
    <comment ref="G5" authorId="0" shapeId="0" xr:uid="{00000000-0006-0000-0700-000008000000}">
      <text>
        <r>
          <rPr>
            <sz val="9"/>
            <color indexed="81"/>
            <rFont val="Tahoma"/>
            <family val="2"/>
          </rPr>
          <t>Maximum potential leaf area index.  (cols. 43-50)</t>
        </r>
      </text>
    </comment>
    <comment ref="H5" authorId="0" shapeId="0" xr:uid="{00000000-0006-0000-0700-000009000000}">
      <text>
        <r>
          <rPr>
            <sz val="9"/>
            <color indexed="81"/>
            <rFont val="Tahoma"/>
            <family val="2"/>
          </rPr>
          <t>Fraction of growing season when leaf area declines.  (cols. 51-58)</t>
        </r>
      </text>
    </comment>
    <comment ref="I5" authorId="0" shapeId="0" xr:uid="{00000000-0006-0000-0700-00000A000000}">
      <text>
        <r>
          <rPr>
            <sz val="9"/>
            <color indexed="81"/>
            <rFont val="Tahoma"/>
            <family val="2"/>
          </rPr>
          <t>First point on optimal leaf area development curve.  (cols. 59-66)</t>
        </r>
      </text>
    </comment>
    <comment ref="J5" authorId="0" shapeId="0" xr:uid="{00000000-0006-0000-0700-00000B000000}">
      <text>
        <r>
          <rPr>
            <sz val="9"/>
            <color indexed="81"/>
            <rFont val="Tahoma"/>
            <family val="2"/>
          </rPr>
          <t>Second point on optimal leaf area development curve.  (cols. 67-74)</t>
        </r>
      </text>
    </comment>
    <comment ref="K5" authorId="0" shapeId="0" xr:uid="{00000000-0006-0000-0700-00000C000000}">
      <text>
        <r>
          <rPr>
            <sz val="9"/>
            <color indexed="81"/>
            <rFont val="Tahoma"/>
            <family val="2"/>
          </rPr>
          <t>Leaf area index decline rate parameter. (cols. 75-82)</t>
        </r>
      </text>
    </comment>
    <comment ref="L5" authorId="0" shapeId="0" xr:uid="{00000000-0006-0000-0700-00000D000000}">
      <text>
        <r>
          <rPr>
            <sz val="9"/>
            <color indexed="81"/>
            <rFont val="Tahoma"/>
            <family val="2"/>
          </rPr>
          <t>Biomass-energy ratio decline rate parameter.  (cols. 83-90)</t>
        </r>
      </text>
    </comment>
    <comment ref="M5" authorId="0" shapeId="0" xr:uid="{00000000-0006-0000-0700-00000E000000}">
      <text>
        <r>
          <rPr>
            <sz val="9"/>
            <color indexed="81"/>
            <rFont val="Tahoma"/>
            <family val="2"/>
          </rPr>
          <t>Aluminum tolerance index   (cols. 91-98)</t>
        </r>
      </text>
    </comment>
    <comment ref="N5" authorId="0" shapeId="0" xr:uid="{00000000-0006-0000-0700-00000F000000}">
      <text>
        <r>
          <rPr>
            <sz val="9"/>
            <color indexed="81"/>
            <rFont val="Tahoma"/>
            <family val="2"/>
          </rPr>
          <t>Maximum Stomatal Conductance.  (cols. 99-106)</t>
        </r>
      </text>
    </comment>
    <comment ref="O5" authorId="0" shapeId="0" xr:uid="{00000000-0006-0000-0700-000010000000}">
      <text>
        <r>
          <rPr>
            <sz val="9"/>
            <color indexed="81"/>
            <rFont val="Tahoma"/>
            <family val="2"/>
          </rPr>
          <t>Critical aeration factor. (cols. 107-114)</t>
        </r>
      </text>
    </comment>
    <comment ref="P5" authorId="0" shapeId="0" xr:uid="{00000000-0006-0000-0700-000011000000}">
      <text>
        <r>
          <rPr>
            <sz val="9"/>
            <color indexed="81"/>
            <rFont val="Tahoma"/>
            <family val="2"/>
          </rPr>
          <t>Seeding rate.  (cols. 115-122)</t>
        </r>
      </text>
    </comment>
    <comment ref="Q5" authorId="0" shapeId="0" xr:uid="{00000000-0006-0000-0700-000012000000}">
      <text>
        <r>
          <rPr>
            <sz val="9"/>
            <color indexed="81"/>
            <rFont val="Tahoma"/>
            <family val="2"/>
          </rPr>
          <t>Maximum crop height  (cols. 123-130)</t>
        </r>
      </text>
    </comment>
    <comment ref="R5" authorId="0" shapeId="0" xr:uid="{00000000-0006-0000-0700-000013000000}">
      <text>
        <r>
          <rPr>
            <sz val="9"/>
            <color indexed="81"/>
            <rFont val="Tahoma"/>
            <family val="2"/>
          </rPr>
          <t>Maximum root depth   (cols. 131-138)</t>
        </r>
      </text>
    </comment>
    <comment ref="S5" authorId="0" shapeId="0" xr:uid="{00000000-0006-0000-0700-000014000000}">
      <text>
        <r>
          <rPr>
            <sz val="9"/>
            <color indexed="81"/>
            <rFont val="Tahoma"/>
            <family val="2"/>
          </rPr>
          <t>CO2 Concentration /Resulting WA value (Split Variable). (cols. 139-146)</t>
        </r>
      </text>
    </comment>
    <comment ref="T5" authorId="0" shapeId="0" xr:uid="{00000000-0006-0000-0700-000015000000}">
      <text>
        <r>
          <rPr>
            <sz val="9"/>
            <color indexed="81"/>
            <rFont val="Tahoma"/>
            <family val="2"/>
          </rPr>
          <t>Fraction of nitrogen in yield. (cols. 147-154)</t>
        </r>
      </text>
    </comment>
    <comment ref="U5" authorId="0" shapeId="0" xr:uid="{00000000-0006-0000-0700-000016000000}">
      <text>
        <r>
          <rPr>
            <sz val="9"/>
            <color indexed="81"/>
            <rFont val="Tahoma"/>
            <family val="2"/>
          </rPr>
          <t>Fraction of phosphorus in yield.   (cols. 155-162)</t>
        </r>
      </text>
    </comment>
    <comment ref="V5" authorId="0" shapeId="0" xr:uid="{00000000-0006-0000-0700-000017000000}">
      <text>
        <r>
          <rPr>
            <sz val="9"/>
            <color indexed="81"/>
            <rFont val="Tahoma"/>
            <family val="2"/>
          </rPr>
          <t>Fraction of potassium in yield.  (cols. 163-170)</t>
        </r>
      </text>
    </comment>
    <comment ref="W5" authorId="0" shapeId="0" xr:uid="{00000000-0006-0000-0700-000018000000}">
      <text>
        <r>
          <rPr>
            <sz val="9"/>
            <color indexed="81"/>
            <rFont val="Tahoma"/>
            <family val="2"/>
          </rPr>
          <t>Lower limit of harvest index.  (cols. 171-178)</t>
        </r>
      </text>
    </comment>
    <comment ref="X5" authorId="0" shapeId="0" xr:uid="{00000000-0006-0000-0700-000019000000}">
      <text>
        <r>
          <rPr>
            <sz val="9"/>
            <color indexed="81"/>
            <rFont val="Tahoma"/>
            <family val="2"/>
          </rPr>
          <t>Pest (insects  and disease) factor.    (cols. 179-186)</t>
        </r>
      </text>
    </comment>
    <comment ref="Y5" authorId="0" shapeId="0" xr:uid="{00000000-0006-0000-0700-00001A000000}">
      <text>
        <r>
          <rPr>
            <sz val="9"/>
            <color indexed="81"/>
            <rFont val="Tahoma"/>
            <family val="2"/>
          </rPr>
          <t>Seed cost ($ kg-1).  (cols. 187-194)</t>
        </r>
      </text>
    </comment>
    <comment ref="Z5" authorId="0" shapeId="0" xr:uid="{00000000-0006-0000-0700-00001B000000}">
      <text>
        <r>
          <rPr>
            <sz val="9"/>
            <color indexed="81"/>
            <rFont val="Tahoma"/>
            <family val="2"/>
          </rPr>
          <t>Price for yield ($ t-1).  (cols. 195-202)</t>
        </r>
      </text>
    </comment>
    <comment ref="AA5" authorId="0" shapeId="0" xr:uid="{00000000-0006-0000-0700-00001C000000}">
      <text>
        <r>
          <rPr>
            <sz val="9"/>
            <color indexed="81"/>
            <rFont val="Tahoma"/>
            <family val="2"/>
          </rPr>
          <t>Price for forage yield ($ t-1).  (cols. 203-210)</t>
        </r>
      </text>
    </comment>
    <comment ref="AB5" authorId="0" shapeId="0" xr:uid="{00000000-0006-0000-0700-00001D000000}">
      <text>
        <r>
          <rPr>
            <sz val="9"/>
            <color indexed="81"/>
            <rFont val="Tahoma"/>
            <family val="2"/>
          </rPr>
          <t>Fraction water in yield.  (cols. 211-218)</t>
        </r>
      </text>
    </comment>
    <comment ref="AC5" authorId="0" shapeId="0" xr:uid="{00000000-0006-0000-0700-00001E000000}">
      <text>
        <r>
          <rPr>
            <sz val="9"/>
            <color indexed="81"/>
            <rFont val="Tahoma"/>
            <family val="2"/>
          </rPr>
          <t>Nitrogen uptake parameter (N fraction in plant at emergence). (cols. 219-226)</t>
        </r>
      </text>
    </comment>
    <comment ref="AD5" authorId="0" shapeId="0" xr:uid="{00000000-0006-0000-0700-00001F000000}">
      <text>
        <r>
          <rPr>
            <sz val="9"/>
            <color indexed="81"/>
            <rFont val="Tahoma"/>
            <family val="2"/>
          </rPr>
          <t>Nitrogen uptake parameter (N fraction in plant at 0.5 maturity). (cols. 227-234)</t>
        </r>
      </text>
    </comment>
    <comment ref="AE5" authorId="0" shapeId="0" xr:uid="{00000000-0006-0000-0700-000020000000}">
      <text>
        <r>
          <rPr>
            <sz val="9"/>
            <color indexed="81"/>
            <rFont val="Tahoma"/>
            <family val="2"/>
          </rPr>
          <t>Nitrogen uptake parameter (N fraction in plant at maturity).    (cols. 235-242)</t>
        </r>
      </text>
    </comment>
    <comment ref="AF5" authorId="0" shapeId="0" xr:uid="{00000000-0006-0000-0700-000021000000}">
      <text>
        <r>
          <rPr>
            <sz val="9"/>
            <color indexed="81"/>
            <rFont val="Tahoma"/>
            <family val="2"/>
          </rPr>
          <t>Phosphorus uptake parameter (P fraction in plant at emergence). (cols. 243-250)</t>
        </r>
      </text>
    </comment>
    <comment ref="AG5" authorId="0" shapeId="0" xr:uid="{00000000-0006-0000-0700-000022000000}">
      <text>
        <r>
          <rPr>
            <sz val="9"/>
            <color indexed="81"/>
            <rFont val="Tahoma"/>
            <family val="2"/>
          </rPr>
          <t>Phosphorus uptake parameter (P fraction in plant at 0.5 maturity). (cols. 251-258)</t>
        </r>
      </text>
    </comment>
    <comment ref="AH5" authorId="0" shapeId="0" xr:uid="{00000000-0006-0000-0700-000023000000}">
      <text>
        <r>
          <rPr>
            <sz val="9"/>
            <color indexed="81"/>
            <rFont val="Tahoma"/>
            <family val="2"/>
          </rPr>
          <t>Phosphorus uptake parameter (P fraction in plant at maturity). (cols. 259-266)</t>
        </r>
      </text>
    </comment>
    <comment ref="AI5" authorId="0" shapeId="0" xr:uid="{00000000-0006-0000-0700-000024000000}">
      <text>
        <r>
          <rPr>
            <sz val="9"/>
            <color indexed="81"/>
            <rFont val="Tahoma"/>
            <family val="2"/>
          </rPr>
          <t>Potassium uptake parameter (K fraction in plant at emergence) (cols. 267-274)</t>
        </r>
      </text>
    </comment>
    <comment ref="AJ5" authorId="0" shapeId="0" xr:uid="{00000000-0006-0000-0700-000025000000}">
      <text>
        <r>
          <rPr>
            <sz val="9"/>
            <color indexed="81"/>
            <rFont val="Tahoma"/>
            <family val="2"/>
          </rPr>
          <t>Potassium uptake parameter (K fraction in plant at0.5 maturity. (cols. 275-282)</t>
        </r>
      </text>
    </comment>
    <comment ref="AK5" authorId="0" shapeId="0" xr:uid="{00000000-0006-0000-0700-000026000000}">
      <text>
        <r>
          <rPr>
            <sz val="9"/>
            <color indexed="81"/>
            <rFont val="Tahoma"/>
            <family val="2"/>
          </rPr>
          <t>Potassium uptake parameter (K fraction in plant at maturity  (cols. 283-290)</t>
        </r>
      </text>
    </comment>
    <comment ref="AL5" authorId="0" shapeId="0" xr:uid="{00000000-0006-0000-0700-000027000000}">
      <text>
        <r>
          <rPr>
            <sz val="9"/>
            <color indexed="81"/>
            <rFont val="Tahoma"/>
            <family val="2"/>
          </rPr>
          <t>Wind erosion factor for standing live.  (cols. 291-298)</t>
        </r>
      </text>
    </comment>
    <comment ref="AM5" authorId="0" shapeId="0" xr:uid="{00000000-0006-0000-0700-000028000000}">
      <text>
        <r>
          <rPr>
            <sz val="9"/>
            <color indexed="81"/>
            <rFont val="Tahoma"/>
            <family val="2"/>
          </rPr>
          <t>Wind erosion factor for standing dead.  (cols. 299-306)</t>
        </r>
      </text>
    </comment>
    <comment ref="AN5" authorId="0" shapeId="0" xr:uid="{00000000-0006-0000-0700-000029000000}">
      <text>
        <r>
          <rPr>
            <sz val="9"/>
            <color indexed="81"/>
            <rFont val="Tahoma"/>
            <family val="2"/>
          </rPr>
          <t>Wind erosion factor for flat residue.  (cols. 307-314)</t>
        </r>
      </text>
    </comment>
    <comment ref="AO5" authorId="0" shapeId="0" xr:uid="{00000000-0006-0000-0700-00002A000000}">
      <text>
        <r>
          <rPr>
            <sz val="9"/>
            <color indexed="81"/>
            <rFont val="Tahoma"/>
            <family val="2"/>
          </rPr>
          <t>Crop category number:  (cols. 315-322)
1  Warm season annual legume
2  Cold season annual legume
3  Perennial legume
4  Warm season annual
5  Cold season annual
6  Perennial
7  Evergreen Tree crop
8  Deciduous Tree crop
9  Cotton
10 Leguminous Tree Crop
11 Unpalatable</t>
        </r>
      </text>
    </comment>
    <comment ref="AP5" authorId="0" shapeId="0" xr:uid="{00000000-0006-0000-0700-00002B000000}">
      <text>
        <r>
          <rPr>
            <sz val="9"/>
            <color indexed="81"/>
            <rFont val="Tahoma"/>
            <family val="2"/>
          </rPr>
          <t>First point on frost damage curve.  (cols. 323-330)</t>
        </r>
      </text>
    </comment>
    <comment ref="AQ5" authorId="0" shapeId="0" xr:uid="{00000000-0006-0000-0700-00002C000000}">
      <text>
        <r>
          <rPr>
            <sz val="9"/>
            <color indexed="81"/>
            <rFont val="Tahoma"/>
            <family val="2"/>
          </rPr>
          <t>Second point on frost damage curve.  (cols. 331-338)</t>
        </r>
      </text>
    </comment>
    <comment ref="AR5" authorId="0" shapeId="0" xr:uid="{00000000-0006-0000-0700-00002D000000}">
      <text>
        <r>
          <rPr>
            <sz val="9"/>
            <color indexed="81"/>
            <rFont val="Tahoma"/>
            <family val="2"/>
          </rPr>
          <t>Parm relating vapor pressure deficit to WA.  (cols. 339-346)</t>
        </r>
      </text>
    </comment>
    <comment ref="AS5" authorId="0" shapeId="0" xr:uid="{00000000-0006-0000-0700-00002E000000}">
      <text>
        <r>
          <rPr>
            <sz val="9"/>
            <color indexed="81"/>
            <rFont val="Tahoma"/>
            <family val="2"/>
          </rPr>
          <t>Threshold VPD (KPA)  (cols. 347-354)</t>
        </r>
      </text>
    </comment>
    <comment ref="AT5" authorId="0" shapeId="0" xr:uid="{00000000-0006-0000-0700-00002F000000}">
      <text>
        <r>
          <rPr>
            <sz val="9"/>
            <color indexed="81"/>
            <rFont val="Tahoma"/>
            <family val="2"/>
          </rPr>
          <t>VPD value (KPA)    (cols. 355-362)</t>
        </r>
      </text>
    </comment>
    <comment ref="AU5" authorId="0" shapeId="0" xr:uid="{00000000-0006-0000-0700-000030000000}">
      <text>
        <r>
          <rPr>
            <sz val="9"/>
            <color indexed="81"/>
            <rFont val="Tahoma"/>
            <family val="2"/>
          </rPr>
          <t>Fraction of root weight at emergence. (cols. 363-370)</t>
        </r>
      </text>
    </comment>
    <comment ref="AV5" authorId="0" shapeId="0" xr:uid="{00000000-0006-0000-0700-000031000000}">
      <text>
        <r>
          <rPr>
            <sz val="9"/>
            <color indexed="81"/>
            <rFont val="Tahoma"/>
            <family val="2"/>
          </rPr>
          <t>Fraction of root weight at maturity. (cols. 371-378)</t>
        </r>
      </text>
    </comment>
    <comment ref="AW5" authorId="0" shapeId="0" xr:uid="{00000000-0006-0000-0700-000032000000}">
      <text>
        <r>
          <rPr>
            <sz val="9"/>
            <color indexed="81"/>
            <rFont val="Tahoma"/>
            <family val="2"/>
          </rPr>
          <t>Heat Units required for Germination.  (cols. 379-386)</t>
        </r>
      </text>
    </comment>
    <comment ref="AX5" authorId="0" shapeId="0" xr:uid="{00000000-0006-0000-0700-000033000000}">
      <text>
        <r>
          <rPr>
            <sz val="9"/>
            <color indexed="81"/>
            <rFont val="Tahoma"/>
            <family val="2"/>
          </rPr>
          <t>Plant Population for Crops &amp; Grass-1st Point on curve. (cols. 387-394)</t>
        </r>
      </text>
    </comment>
    <comment ref="AY5" authorId="0" shapeId="0" xr:uid="{00000000-0006-0000-0700-000034000000}">
      <text>
        <r>
          <rPr>
            <sz val="9"/>
            <color indexed="81"/>
            <rFont val="Tahoma"/>
            <family val="2"/>
          </rPr>
          <t>Plant Population for Crops &amp; Grass - 2nd Point on curve. (cols. 395-402)</t>
        </r>
      </text>
    </comment>
    <comment ref="AZ5" authorId="0" shapeId="0" xr:uid="{00000000-0006-0000-0700-000035000000}">
      <text>
        <r>
          <rPr>
            <sz val="9"/>
            <color indexed="81"/>
            <rFont val="Tahoma"/>
            <family val="2"/>
          </rPr>
          <t>Salinity affect on yield  (cols. 403-410)</t>
        </r>
      </text>
    </comment>
    <comment ref="BA5" authorId="0" shapeId="0" xr:uid="{00000000-0006-0000-0700-000036000000}">
      <text>
        <r>
          <rPr>
            <sz val="9"/>
            <color indexed="81"/>
            <rFont val="Tahoma"/>
            <family val="2"/>
          </rPr>
          <t>Salinity threshold  (cols. 411-418)</t>
        </r>
      </text>
    </comment>
    <comment ref="BB5" authorId="0" shapeId="0" xr:uid="{00000000-0006-0000-0700-000037000000}">
      <text>
        <r>
          <rPr>
            <sz val="9"/>
            <color indexed="81"/>
            <rFont val="Tahoma"/>
            <family val="2"/>
          </rPr>
          <t>Lignin fraction in plant at 0.5 maturity  (cols. 419-426)</t>
        </r>
      </text>
    </comment>
    <comment ref="BC5" authorId="0" shapeId="0" xr:uid="{00000000-0006-0000-0700-000038000000}">
      <text>
        <r>
          <rPr>
            <sz val="9"/>
            <color indexed="81"/>
            <rFont val="Tahoma"/>
            <family val="2"/>
          </rPr>
          <t>Lignin fraction in plant at full maturity  (cols. 427-434)</t>
        </r>
      </text>
    </comment>
    <comment ref="BD5" authorId="0" shapeId="0" xr:uid="{00000000-0006-0000-0700-000039000000}">
      <text>
        <r>
          <rPr>
            <sz val="9"/>
            <color indexed="81"/>
            <rFont val="Tahoma"/>
            <family val="2"/>
          </rPr>
          <t>Water use conversion to biomass (t/mm)  (cols. 435-442)</t>
        </r>
      </text>
    </comment>
    <comment ref="BE5" authorId="0" shapeId="0" xr:uid="{00000000-0006-0000-0700-00003A000000}">
      <text>
        <r>
          <rPr>
            <sz val="9"/>
            <color indexed="81"/>
            <rFont val="Tahoma"/>
            <family val="2"/>
          </rPr>
          <t>Fraction turnout for cotton  (cols. 443-450)</t>
        </r>
      </text>
    </comment>
    <comment ref="BF5" authorId="0" shapeId="0" xr:uid="{00000000-0006-0000-0700-00003B000000}">
      <text>
        <r>
          <rPr>
            <sz val="9"/>
            <color indexed="81"/>
            <rFont val="Tahoma"/>
            <family val="2"/>
          </rPr>
          <t>Fraction lint for cotton  (cols. 451-458)</t>
        </r>
      </text>
    </comment>
    <comment ref="BG5" authorId="0" shapeId="0" xr:uid="{00000000-0006-0000-0700-00003C000000}">
      <text>
        <r>
          <rPr>
            <sz val="9"/>
            <color indexed="81"/>
            <rFont val="Tahoma"/>
            <family val="2"/>
          </rPr>
          <t>Full name of crop</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800-000001000000}">
      <text>
        <r>
          <rPr>
            <sz val="9"/>
            <color indexed="81"/>
            <rFont val="Tahoma"/>
            <family val="2"/>
          </rPr>
          <t>Type the file name and extension (i.e. FILENAME.DAT)</t>
        </r>
      </text>
    </comment>
    <comment ref="A5" authorId="1" shapeId="0" xr:uid="{00000000-0006-0000-0800-000002000000}">
      <text>
        <r>
          <rPr>
            <sz val="9"/>
            <color indexed="81"/>
            <rFont val="Tahoma"/>
            <family val="2"/>
          </rPr>
          <t>1-I = Fertilizer ID number | (cols. 2-5)</t>
        </r>
      </text>
    </comment>
    <comment ref="B5" authorId="1" shapeId="0" xr:uid="{00000000-0006-0000-0800-000003000000}">
      <text>
        <r>
          <rPr>
            <sz val="9"/>
            <color indexed="81"/>
            <rFont val="Tahoma"/>
            <family val="2"/>
          </rPr>
          <t>2 - FTNM = Fertilizer name | A descriptive name that usually includes the N-P-K analysis or the type of manure. (cols. 7-14)</t>
        </r>
      </text>
    </comment>
    <comment ref="C5" authorId="1" shapeId="0" xr:uid="{00000000-0006-0000-0800-000004000000}">
      <text>
        <r>
          <rPr>
            <sz val="9"/>
            <color indexed="81"/>
            <rFont val="Tahoma"/>
            <family val="2"/>
          </rPr>
          <t>3 - FN = Mineral N fraction | Fraction of nitrogen in the fertilizer which is in the mineral form. (cols. 15-22)</t>
        </r>
      </text>
    </comment>
    <comment ref="D5" authorId="1" shapeId="0" xr:uid="{00000000-0006-0000-0800-000005000000}">
      <text>
        <r>
          <rPr>
            <sz val="9"/>
            <color indexed="81"/>
            <rFont val="Tahoma"/>
            <family val="2"/>
          </rPr>
          <t>4 - FP = Mineral P fraction | Fraction phosphorus in the fertilizer which is in the mineral form. (cols. 23-30)</t>
        </r>
      </text>
    </comment>
    <comment ref="E5" authorId="1" shapeId="0" xr:uid="{00000000-0006-0000-0800-000006000000}">
      <text>
        <r>
          <rPr>
            <sz val="9"/>
            <color indexed="81"/>
            <rFont val="Tahoma"/>
            <family val="2"/>
          </rPr>
          <t xml:space="preserve">5 - FK = Mineral K fraction | Fraction of potassium in the fertilizer which is in the mineral form. (cols. 31-38)
</t>
        </r>
      </text>
    </comment>
    <comment ref="F5" authorId="1" shapeId="0" xr:uid="{00000000-0006-0000-0800-000007000000}">
      <text>
        <r>
          <rPr>
            <sz val="9"/>
            <color indexed="81"/>
            <rFont val="Tahoma"/>
            <family val="2"/>
          </rPr>
          <t xml:space="preserve">6 - FNO = Organic N fraction | This applies to organic fertilizers such as manures.  This number must be obtained from an analysis test of the product.  The amount is reported as a fraction. (cols. 39-46)
</t>
        </r>
      </text>
    </comment>
    <comment ref="G5" authorId="1" shapeId="0" xr:uid="{00000000-0006-0000-0800-000008000000}">
      <text>
        <r>
          <rPr>
            <sz val="9"/>
            <color indexed="81"/>
            <rFont val="Tahoma"/>
            <family val="2"/>
          </rPr>
          <t xml:space="preserve">7 - FPO = Organic P fraction | This applies to organic fertilizers such as manures.   This number must be obtained from an analysis test of the product.  The amount is reported as a fraction. (cols. 47-54)
</t>
        </r>
      </text>
    </comment>
    <comment ref="H5" authorId="1" shapeId="0" xr:uid="{00000000-0006-0000-0800-000009000000}">
      <text>
        <r>
          <rPr>
            <sz val="9"/>
            <color indexed="81"/>
            <rFont val="Tahoma"/>
            <family val="2"/>
          </rPr>
          <t>8 - FNH3 = Ammonia N fraction | The fraction of nitrogen in the fertilizer that is in the ammonia (NH3) form. (cols. 55-62)</t>
        </r>
      </text>
    </comment>
    <comment ref="I5" authorId="1" shapeId="0" xr:uid="{00000000-0006-0000-0800-00000A000000}">
      <text>
        <r>
          <rPr>
            <sz val="9"/>
            <color indexed="81"/>
            <rFont val="Tahoma"/>
            <family val="2"/>
          </rPr>
          <t xml:space="preserve">9 - FOC = Organic C fraction | Organic carbon = organic matter / 1.72. (cols. 63-70)
</t>
        </r>
      </text>
    </comment>
    <comment ref="J5" authorId="1" shapeId="0" xr:uid="{00000000-0006-0000-0800-00000B000000}">
      <text>
        <r>
          <rPr>
            <sz val="9"/>
            <color indexed="81"/>
            <rFont val="Tahoma"/>
            <family val="2"/>
          </rPr>
          <t xml:space="preserve">10 - FSLT = Salt fraction | Amount of salt in fertilizer. (cols. 71-78) 
</t>
        </r>
      </text>
    </comment>
    <comment ref="K5" authorId="1" shapeId="0" xr:uid="{00000000-0006-0000-0800-00000C000000}">
      <text>
        <r>
          <rPr>
            <sz val="9"/>
            <color indexed="81"/>
            <rFont val="Tahoma"/>
            <family val="2"/>
          </rPr>
          <t>11 - FCST = Cost of Fertilizer ($/kg) | Used for economic analyses only. (cols. 79-86)</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900-000001000000}">
      <text>
        <r>
          <rPr>
            <sz val="9"/>
            <color indexed="81"/>
            <rFont val="Tahoma"/>
            <family val="2"/>
          </rPr>
          <t>Type the file name and extension (i.e. FILENAME.DAT)</t>
        </r>
      </text>
    </comment>
    <comment ref="A5" authorId="1" shapeId="0" xr:uid="{00000000-0006-0000-0900-000002000000}">
      <text>
        <r>
          <rPr>
            <sz val="9"/>
            <color indexed="81"/>
            <rFont val="Tahoma"/>
            <family val="2"/>
          </rPr>
          <t xml:space="preserve">1 - J1 : Pesticide ID number  (cols. 1-5)
</t>
        </r>
      </text>
    </comment>
    <comment ref="B5" authorId="1" shapeId="0" xr:uid="{00000000-0006-0000-0900-000003000000}">
      <text>
        <r>
          <rPr>
            <sz val="9"/>
            <color indexed="81"/>
            <rFont val="Tahoma"/>
            <family val="2"/>
          </rPr>
          <t>2 - PSTN : Pesticide name.  Common or brand name of the pesticide. (cols. 7-22)</t>
        </r>
      </text>
    </comment>
    <comment ref="C5" authorId="1" shapeId="0" xr:uid="{00000000-0006-0000-0900-000004000000}">
      <text>
        <r>
          <rPr>
            <sz val="9"/>
            <color indexed="81"/>
            <rFont val="Tahoma"/>
            <family val="2"/>
          </rPr>
          <t xml:space="preserve">3 - PSOL : Pesticide solubility in ppm.  The amount of the pesticide product which can dissolve in water. (ppm) (cols. 23-34)
</t>
        </r>
      </text>
    </comment>
    <comment ref="D5" authorId="1" shapeId="0" xr:uid="{00000000-0006-0000-0900-000005000000}">
      <text>
        <r>
          <rPr>
            <sz val="9"/>
            <color indexed="81"/>
            <rFont val="Tahoma"/>
            <family val="2"/>
          </rPr>
          <t>4 - PHLS : Pesticide half life in soil in days. The time that it takes for the pesticide product concentration in the soil to be reduced by half. (days) (cols. 35-42)</t>
        </r>
      </text>
    </comment>
    <comment ref="E5" authorId="1" shapeId="0" xr:uid="{00000000-0006-0000-0900-000006000000}">
      <text>
        <r>
          <rPr>
            <sz val="9"/>
            <color indexed="81"/>
            <rFont val="Tahoma"/>
            <family val="2"/>
          </rPr>
          <t xml:space="preserve">5 - PHLF : Pesticide half life in foliage in days. The time that it takes for the pesticide product concentration on the foliage to be reduced by half. Degradation occurs through microbial activity and/or sunlight. (days) (cols. 43-50)
</t>
        </r>
      </text>
    </comment>
    <comment ref="F5" authorId="1" shapeId="0" xr:uid="{00000000-0006-0000-0900-000007000000}">
      <text>
        <r>
          <rPr>
            <sz val="9"/>
            <color indexed="81"/>
            <rFont val="Tahoma"/>
            <family val="2"/>
          </rPr>
          <t xml:space="preserve">6 - PWOF : Pesticide wash off fraction.  Percentage of the pesticide product that is applied to foliage that is washed off into  the soil. (%) (cols. 51-58)
</t>
        </r>
      </text>
    </comment>
    <comment ref="G5" authorId="1" shapeId="0" xr:uid="{00000000-0006-0000-0900-000008000000}">
      <text>
        <r>
          <rPr>
            <sz val="9"/>
            <color indexed="81"/>
            <rFont val="Tahoma"/>
            <family val="2"/>
          </rPr>
          <t xml:space="preserve">7 - PKOC : Pesticide organic C absorption coefficient. Amount of pesticide products attached to  the soil divided by the amount of the pesticide product in solution, normalized by organic carbon % in the soil. (cols. 59-68)
</t>
        </r>
      </text>
    </comment>
    <comment ref="H5" authorId="1" shapeId="0" xr:uid="{00000000-0006-0000-0900-000009000000}">
      <text>
        <r>
          <rPr>
            <sz val="9"/>
            <color indexed="81"/>
            <rFont val="Tahoma"/>
            <family val="2"/>
          </rPr>
          <t xml:space="preserve">8 - PCST : Pesticide cost in $/KG. Used for economic analyses only. (cols. 69-76)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Jaehak Jeong</author>
  </authors>
  <commentList>
    <comment ref="A5" authorId="0" shapeId="0" xr:uid="{00000000-0006-0000-0A00-000001000000}">
      <text>
        <r>
          <rPr>
            <sz val="9"/>
            <color indexed="81"/>
            <rFont val="Tahoma"/>
            <family val="2"/>
          </rPr>
          <t>Type the file name only. The extension will be assign from cell E4.
Leave blank if not new</t>
        </r>
      </text>
    </comment>
    <comment ref="A16" authorId="1" shapeId="0" xr:uid="{00000000-0006-0000-0A00-000002000000}">
      <text>
        <r>
          <rPr>
            <sz val="9"/>
            <color indexed="81"/>
            <rFont val="Tahoma"/>
            <family val="2"/>
          </rPr>
          <t>JX (1) Year of operation (cols. 1-3) (Range: 1-100)</t>
        </r>
      </text>
    </comment>
    <comment ref="B16" authorId="1" shapeId="0" xr:uid="{00000000-0006-0000-0A00-000003000000}">
      <text>
        <r>
          <rPr>
            <sz val="9"/>
            <color indexed="81"/>
            <rFont val="Tahoma"/>
            <family val="2"/>
          </rPr>
          <t>JX (2) Month of operation (cols. 4-6) (Range: 1-12)</t>
        </r>
      </text>
    </comment>
    <comment ref="C16" authorId="1" shapeId="0" xr:uid="{00000000-0006-0000-0A00-000004000000}">
      <text>
        <r>
          <rPr>
            <sz val="9"/>
            <color indexed="81"/>
            <rFont val="Tahoma"/>
            <family val="2"/>
          </rPr>
          <t>JX (3) Day of operation (cols. 7-9) (Range: 1-31)</t>
        </r>
      </text>
    </comment>
    <comment ref="D16" authorId="2" shapeId="0" xr:uid="{ECC1A433-7AC4-40B9-B929-76ED8C712D5C}">
      <text>
        <r>
          <rPr>
            <sz val="9"/>
            <color indexed="81"/>
            <rFont val="Tahoma"/>
            <family val="2"/>
          </rPr>
          <t>Select Tillage ID from TILL.DAT table</t>
        </r>
      </text>
    </comment>
    <comment ref="E16" authorId="2" shapeId="0" xr:uid="{E3E8719C-BA15-4CC3-9926-B3C32B48EAF4}">
      <text>
        <r>
          <rPr>
            <sz val="9"/>
            <color indexed="81"/>
            <rFont val="Tahoma"/>
            <family val="2"/>
          </rPr>
          <t>ID = 0 is not found on TILL.DAT table</t>
        </r>
      </text>
    </comment>
    <comment ref="F16" authorId="2" shapeId="0" xr:uid="{778C2FA4-29A0-45B4-BB38-58A48E5BAE25}">
      <text>
        <r>
          <rPr>
            <sz val="9"/>
            <color indexed="81"/>
            <rFont val="Tahoma"/>
            <family val="2"/>
          </rPr>
          <t>Type: Perennial | Name: Range</t>
        </r>
      </text>
    </comment>
    <comment ref="G16" authorId="2" shapeId="0" xr:uid="{76235E5D-B592-4880-9E63-6C4DEC80BD57}">
      <text>
        <r>
          <rPr>
            <sz val="9"/>
            <color indexed="81"/>
            <rFont val="Tahoma"/>
            <family val="2"/>
          </rPr>
          <t>Enter: LYR - Time plant-harvest | XMTU - Time plant-maturity | Pest ID (PEST.DAT) | Fert ID (FERT.DAT)</t>
        </r>
      </text>
    </comment>
    <comment ref="H16" authorId="2" shapeId="0" xr:uid="{C9A86814-BC90-4B7A-BDB5-8530FC0F1482}">
      <text>
        <r>
          <rPr>
            <sz val="9"/>
            <color indexed="81"/>
            <rFont val="Tahoma"/>
            <family val="2"/>
          </rPr>
          <t>Enter: PHU | Pest App (kg/ha) | Irr App (mm) | Fert App (kg/ha) | Stock Rate (ha/an) | Lime App (t/ha)</t>
        </r>
      </text>
    </comment>
    <comment ref="I16" authorId="0" shapeId="0" xr:uid="{00000000-0006-0000-0A00-00000A000000}">
      <text>
        <r>
          <rPr>
            <sz val="9"/>
            <color indexed="81"/>
            <rFont val="Tahoma"/>
            <family val="2"/>
          </rPr>
          <t xml:space="preserve">Type: Fertilize | Fertilizer application rate in kg/ha. </t>
        </r>
      </text>
    </comment>
    <comment ref="J16" authorId="1" shapeId="0" xr:uid="{00000000-0006-0000-0A00-00000B000000}">
      <text>
        <r>
          <rPr>
            <sz val="9"/>
            <color indexed="81"/>
            <rFont val="Tahoma"/>
            <family val="2"/>
          </rPr>
          <t xml:space="preserve">Automatic Irrigation Trigger. Can override subarea file (Range: -1000 to 1000)
Automatic irrigation, the water stress factor is set:
  0 manual irrigation or model uses BIR set in subarea file
  0 – 1.0 Plant water stress factor.  
  1.0  Does not allow water stress
  &lt; 0.0 Plant available water deficit in root zone (number is in mm must be negative)
  &gt; 1.0 Soil water tension in top 200mm (Absolute number in kilopascals)           
  -1000 Sets water deficit high enough that only manual irrigations will occur
(cols. 46-53) 
</t>
        </r>
      </text>
    </comment>
    <comment ref="K16" authorId="1" shapeId="0" xr:uid="{00000000-0006-0000-0A00-00000C000000}">
      <text>
        <r>
          <rPr>
            <sz val="9"/>
            <color indexed="81"/>
            <rFont val="Tahoma"/>
            <family val="2"/>
          </rPr>
          <t xml:space="preserve">Runoff vol/vol irrigation water applied. (Range: 0-1)
The irrigation runoff ratio specifies the fraction of each irrigation application that is lost to runoff.
Setting the runoff fraction (EFI) within the operation schedule overrides the subarea file.  
(cols. 54-61) </t>
        </r>
      </text>
    </comment>
    <comment ref="L16" authorId="1" shapeId="0" xr:uid="{00000000-0006-0000-0A00-00000D000000}">
      <text>
        <r>
          <rPr>
            <sz val="9"/>
            <color indexed="81"/>
            <rFont val="Tahoma"/>
            <family val="2"/>
          </rPr>
          <t>1 Plant population for planting operation only (plants/m2 or plants/ha if plants/m2 &lt; 1.; e.g. trees) (Range: 0-500)
2 Factor to adjust automatic irrigation volume (FIRG*F). 
(cols. 62-69)</t>
        </r>
      </text>
    </comment>
    <comment ref="M16" authorId="1" shapeId="0" xr:uid="{00000000-0006-0000-0A00-00000E000000}">
      <text>
        <r>
          <rPr>
            <sz val="9"/>
            <color indexed="81"/>
            <rFont val="Tahoma"/>
            <family val="2"/>
          </rPr>
          <t>Maximum annual N fertilizer applied to a crop  (Range: 0 - 1000)
(cols. 70-77)</t>
        </r>
      </text>
    </comment>
    <comment ref="N16" authorId="1" shapeId="0" xr:uid="{00000000-0006-0000-0A00-00000F000000}">
      <text>
        <r>
          <rPr>
            <sz val="9"/>
            <color indexed="81"/>
            <rFont val="Tahoma"/>
            <family val="2"/>
          </rPr>
          <t xml:space="preserve">Heat unit scheduling. Time of operation as fraction of growing season (Range: 0-1.5)
Heat unit scheduling can be used to schedule operations at a particular stage of growth.  
(cols. 78-85)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5" authorId="0" shapeId="0" xr:uid="{00000000-0006-0000-0C00-000001000000}">
      <text>
        <r>
          <rPr>
            <sz val="9"/>
            <color indexed="81"/>
            <rFont val="Tahoma"/>
            <family val="2"/>
          </rPr>
          <t>Type the file name only. The extension will be assign from cell E4.
Leave blank if not new</t>
        </r>
      </text>
    </comment>
    <comment ref="A9" authorId="1" shapeId="0" xr:uid="{00000000-0006-0000-0C00-000002000000}">
      <text>
        <r>
          <rPr>
            <sz val="9"/>
            <color indexed="81"/>
            <rFont val="Tahoma"/>
            <family val="2"/>
          </rPr>
          <t>Soil albedo (fraction) (cols.1-8 ) (Range: 0-1)</t>
        </r>
      </text>
    </comment>
    <comment ref="C9" authorId="1" shapeId="0" xr:uid="{00000000-0006-0000-0C00-000003000000}">
      <text>
        <r>
          <rPr>
            <sz val="9"/>
            <color indexed="81"/>
            <rFont val="Tahoma"/>
            <family val="2"/>
          </rPr>
          <t>Soil hydrologic group (1=A, 2=B, 3=C, or 4=D). (cols. 9-16) (Range: 1-4)</t>
        </r>
      </text>
    </comment>
    <comment ref="E9" authorId="1" shapeId="0" xr:uid="{00000000-0006-0000-0C00-000004000000}">
      <text>
        <r>
          <rPr>
            <sz val="9"/>
            <color indexed="81"/>
            <rFont val="Tahoma"/>
            <family val="2"/>
          </rPr>
          <t>Initial Soil Water Content (cols. 17-24) (Range: 0-1)</t>
        </r>
      </text>
    </comment>
    <comment ref="A10" authorId="0" shapeId="0" xr:uid="{00000000-0006-0000-0C00-000005000000}">
      <text>
        <r>
          <rPr>
            <b/>
            <sz val="9"/>
            <color indexed="81"/>
            <rFont val="Tahoma"/>
            <family val="2"/>
          </rPr>
          <t>::</t>
        </r>
        <r>
          <rPr>
            <sz val="9"/>
            <color indexed="81"/>
            <rFont val="Tahoma"/>
            <family val="2"/>
          </rPr>
          <t xml:space="preserve">
Maximum number of soil layers after splitting (cols. 1-8) (Range: 3-10)</t>
        </r>
      </text>
    </comment>
    <comment ref="C10" authorId="0" shapeId="0" xr:uid="{00000000-0006-0000-0C00-000006000000}">
      <text>
        <r>
          <rPr>
            <b/>
            <sz val="9"/>
            <color indexed="81"/>
            <rFont val="Tahoma"/>
            <family val="2"/>
          </rPr>
          <t>::</t>
        </r>
        <r>
          <rPr>
            <sz val="9"/>
            <color indexed="81"/>
            <rFont val="Tahoma"/>
            <family val="2"/>
          </rPr>
          <t xml:space="preserve">
Soil weathering code. (cols. 9-16) (Range: 0-4)
0 Calcareous and non-calcareous soils without weathering information.
1 Non CaCO3 slightly weathered.
2 Non CaCO3 moderately weathered.
3 Non CaCO3 highly weathered.
4 Input Phosphorus sorption ratio (PSP) or active + stable mineral P (kg/ha)</t>
        </r>
      </text>
    </comment>
    <comment ref="E10" authorId="0" shapeId="0" xr:uid="{00000000-0006-0000-0C00-000007000000}">
      <text>
        <r>
          <rPr>
            <b/>
            <sz val="9"/>
            <color indexed="81"/>
            <rFont val="Tahoma"/>
            <family val="2"/>
          </rPr>
          <t>::</t>
        </r>
        <r>
          <rPr>
            <sz val="9"/>
            <color indexed="81"/>
            <rFont val="Tahoma"/>
            <family val="2"/>
          </rPr>
          <t xml:space="preserve">
Number of Years of Cultivation at Start of Simulation (cols. 17-24) (Range: 0-300)</t>
        </r>
      </text>
    </comment>
    <comment ref="G10" authorId="0" shapeId="0" xr:uid="{00000000-0006-0000-0C00-000008000000}">
      <text>
        <r>
          <rPr>
            <b/>
            <sz val="9"/>
            <color indexed="81"/>
            <rFont val="Tahoma"/>
            <family val="2"/>
          </rPr>
          <t>::</t>
        </r>
        <r>
          <rPr>
            <sz val="9"/>
            <color indexed="81"/>
            <rFont val="Tahoma"/>
            <family val="2"/>
          </rPr>
          <t xml:space="preserve">
Soil Grouping (cols. 25-32) (Range: 1-3)
1 Kaolinitic soil group.
2 Mixed soil group.
3 Smectitic soil group.</t>
        </r>
      </text>
    </comment>
    <comment ref="I10" authorId="0" shapeId="0" xr:uid="{00000000-0006-0000-0C00-000009000000}">
      <text>
        <r>
          <rPr>
            <b/>
            <sz val="9"/>
            <color indexed="81"/>
            <rFont val="Tahoma"/>
            <family val="2"/>
          </rPr>
          <t>::</t>
        </r>
        <r>
          <rPr>
            <sz val="9"/>
            <color indexed="81"/>
            <rFont val="Tahoma"/>
            <family val="2"/>
          </rPr>
          <t xml:space="preserve">
Minimum Thickness of Maximum Layer (m) (cols. 33-40) (Range: 0.01-0.25) Default to 0.1 m</t>
        </r>
      </text>
    </comment>
    <comment ref="K10" authorId="0" shapeId="0" xr:uid="{00000000-0006-0000-0C00-00000A000000}">
      <text>
        <r>
          <rPr>
            <b/>
            <sz val="9"/>
            <color indexed="81"/>
            <rFont val="Tahoma"/>
            <family val="2"/>
          </rPr>
          <t>::</t>
        </r>
        <r>
          <rPr>
            <sz val="9"/>
            <color indexed="81"/>
            <rFont val="Tahoma"/>
            <family val="2"/>
          </rPr>
          <t xml:space="preserve">
Minimum profile thickness (cols. 41-48) (Range: 0.05-0.25)
</t>
        </r>
      </text>
    </comment>
    <comment ref="M10" authorId="0" shapeId="0" xr:uid="{00000000-0006-0000-0C00-00000B000000}">
      <text>
        <r>
          <rPr>
            <b/>
            <sz val="9"/>
            <color indexed="81"/>
            <rFont val="Tahoma"/>
            <family val="2"/>
          </rPr>
          <t>::</t>
        </r>
        <r>
          <rPr>
            <sz val="9"/>
            <color indexed="81"/>
            <rFont val="Tahoma"/>
            <family val="2"/>
          </rPr>
          <t xml:space="preserve">
Minimum layer thickness for beginning simulation layer. (cols. 49-56) (Range: 0.05-0.25)</t>
        </r>
      </text>
    </comment>
    <comment ref="O10" authorId="0" shapeId="0" xr:uid="{00000000-0006-0000-0C00-00000C000000}">
      <text>
        <r>
          <rPr>
            <b/>
            <sz val="9"/>
            <color indexed="81"/>
            <rFont val="Tahoma"/>
            <family val="2"/>
          </rPr>
          <t>::</t>
        </r>
        <r>
          <rPr>
            <sz val="9"/>
            <color indexed="81"/>
            <rFont val="Tahoma"/>
            <family val="2"/>
          </rPr>
          <t xml:space="preserve">
Fraction of Org C in biomass Pool (cols. 57-64) (Range: 0.03 – 0.05)</t>
        </r>
      </text>
    </comment>
    <comment ref="Q10" authorId="0" shapeId="0" xr:uid="{00000000-0006-0000-0C00-00000D000000}">
      <text>
        <r>
          <rPr>
            <b/>
            <sz val="9"/>
            <color indexed="81"/>
            <rFont val="Tahoma"/>
            <family val="2"/>
          </rPr>
          <t>::</t>
        </r>
        <r>
          <rPr>
            <sz val="9"/>
            <color indexed="81"/>
            <rFont val="Tahoma"/>
            <family val="2"/>
          </rPr>
          <t xml:space="preserve">
Fraction of Org C in passive Pool (cols. 65-72) (Range: 0.3 – 0.7)
</t>
        </r>
      </text>
    </comment>
    <comment ref="S10" authorId="0" shapeId="0" xr:uid="{00000000-0006-0000-0C00-00000E000000}">
      <text>
        <r>
          <rPr>
            <b/>
            <sz val="9"/>
            <color indexed="81"/>
            <rFont val="Tahoma"/>
            <family val="2"/>
          </rPr>
          <t>::</t>
        </r>
        <r>
          <rPr>
            <sz val="9"/>
            <color indexed="81"/>
            <rFont val="Tahoma"/>
            <family val="2"/>
          </rPr>
          <t xml:space="preserve">
Code written automatically by .SOT (NOT USER INPUTTED) (cols. 73-80)</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2" authorId="0" shapeId="0" xr:uid="{00000000-0006-0000-0D00-000001000000}">
      <text>
        <r>
          <rPr>
            <sz val="9"/>
            <color indexed="81"/>
            <rFont val="Tahoma"/>
            <family val="2"/>
          </rPr>
          <t>Type the file name and extension (i.e. FILENAME.DAT)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2" authorId="0" shapeId="0" xr:uid="{00000000-0006-0000-0E00-000001000000}">
      <text>
        <r>
          <rPr>
            <sz val="9"/>
            <color indexed="81"/>
            <rFont val="Tahoma"/>
            <family val="2"/>
          </rPr>
          <t>Type the file name and extension (i.e. FILENAME.DAT)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0F00-000001000000}">
      <text>
        <r>
          <rPr>
            <sz val="9"/>
            <color indexed="81"/>
            <rFont val="Tahoma"/>
            <family val="2"/>
          </rPr>
          <t>Type the file name and extension (i.e. FILENAME.DAT)</t>
        </r>
      </text>
    </comment>
    <comment ref="E4" authorId="1" shapeId="0" xr:uid="{00000000-0006-0000-0F00-000002000000}">
      <text>
        <r>
          <rPr>
            <sz val="9"/>
            <color indexed="81"/>
            <rFont val="Tahoma"/>
            <family val="2"/>
          </rPr>
          <t>Important: Don't use spaces in your comments</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1000-000001000000}">
      <text>
        <r>
          <rPr>
            <sz val="9"/>
            <color indexed="81"/>
            <rFont val="Tahoma"/>
            <family val="2"/>
          </rPr>
          <t>Type the file name and extension (i.e. FILENAME.DAT)</t>
        </r>
      </text>
    </comment>
    <comment ref="E4" authorId="1" shapeId="0" xr:uid="{00000000-0006-0000-1000-000002000000}">
      <text>
        <r>
          <rPr>
            <sz val="9"/>
            <color indexed="81"/>
            <rFont val="Tahoma"/>
            <family val="2"/>
          </rPr>
          <t>Important: Don't use spaces in your comments</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1100-000001000000}">
      <text>
        <r>
          <rPr>
            <sz val="9"/>
            <color indexed="81"/>
            <rFont val="Tahoma"/>
            <family val="2"/>
          </rPr>
          <t>Type the file name and extension (i.e. FILENAME.DAT)</t>
        </r>
      </text>
    </comment>
    <comment ref="E4" authorId="1" shapeId="0" xr:uid="{00000000-0006-0000-1100-000002000000}">
      <text>
        <r>
          <rPr>
            <sz val="9"/>
            <color indexed="81"/>
            <rFont val="Tahoma"/>
            <family val="2"/>
          </rPr>
          <t>Important: Don't use spaces in your comments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1200-000001000000}">
      <text>
        <r>
          <rPr>
            <sz val="9"/>
            <color indexed="81"/>
            <rFont val="Tahoma"/>
            <family val="2"/>
          </rPr>
          <t>Type the file name and extension must strart with APEXCONT (i.e. APEXCONT*.DAT)</t>
        </r>
      </text>
    </comment>
    <comment ref="A13" authorId="1" shapeId="0" xr:uid="{00000000-0006-0000-1200-000002000000}">
      <text>
        <r>
          <rPr>
            <sz val="9"/>
            <color indexed="81"/>
            <rFont val="Tahoma"/>
            <family val="2"/>
          </rPr>
          <t>If Penman or Penmand-Monteith is used for PET</t>
        </r>
      </text>
    </comment>
    <comment ref="A14" authorId="1" shapeId="0" xr:uid="{00000000-0006-0000-1200-000003000000}">
      <text>
        <r>
          <rPr>
            <sz val="9"/>
            <color indexed="81"/>
            <rFont val="Tahoma"/>
            <family val="2"/>
          </rPr>
          <t>= 1 Gives satisfactory results
= 0 If unknown</t>
        </r>
      </text>
    </comment>
    <comment ref="A15" authorId="1" shapeId="0" xr:uid="{00000000-0006-0000-1200-000004000000}">
      <text>
        <r>
          <rPr>
            <sz val="9"/>
            <color indexed="81"/>
            <rFont val="Tahoma"/>
            <family val="2"/>
          </rPr>
          <t xml:space="preserve">Non-zero value overrides the CO2 in APEXCONT.DAT </t>
        </r>
      </text>
    </comment>
    <comment ref="A16" authorId="1" shapeId="0" xr:uid="{00000000-0006-0000-1200-000005000000}">
      <text>
        <r>
          <rPr>
            <sz val="9"/>
            <color indexed="81"/>
            <rFont val="Tahoma"/>
            <family val="2"/>
          </rPr>
          <t xml:space="preserve">Non-zero value overrides the CQNX in APEXCONT.DAT </t>
        </r>
      </text>
    </comment>
    <comment ref="A17" authorId="1" shapeId="0" xr:uid="{00000000-0006-0000-1200-000006000000}">
      <text>
        <r>
          <rPr>
            <sz val="9"/>
            <color indexed="81"/>
            <rFont val="Tahoma"/>
            <family val="2"/>
          </rPr>
          <t xml:space="preserve">Non-zero value overrides the RFNX in APEXCONT.DAT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Jaehak Jeong</author>
  </authors>
  <commentList>
    <comment ref="A2" authorId="0" shapeId="0" xr:uid="{00000000-0006-0000-1300-000001000000}">
      <text>
        <r>
          <rPr>
            <sz val="9"/>
            <color indexed="81"/>
            <rFont val="Tahoma"/>
            <family val="2"/>
          </rPr>
          <t>Type the file name and extension (i.e. FILENAME.DAT)</t>
        </r>
      </text>
    </comment>
    <comment ref="A4" authorId="1" shapeId="0" xr:uid="{00000000-0006-0000-1300-000002000000}">
      <text>
        <r>
          <rPr>
            <sz val="9"/>
            <color indexed="81"/>
            <rFont val="Tahoma"/>
            <family val="2"/>
          </rPr>
          <t>· Right justified
· 4 spaces each
· 20 per line
· Select by number
· Leave blank for standard output
· Enter -1 to omit all accumulated variables</t>
        </r>
      </text>
    </comment>
    <comment ref="A16" authorId="1" shapeId="0" xr:uid="{00000000-0006-0000-1300-000003000000}">
      <text>
        <r>
          <rPr>
            <sz val="9"/>
            <color indexed="81"/>
            <rFont val="Tahoma"/>
            <family val="2"/>
          </rPr>
          <t>· Right justified
· 4 spaces each
· Select by number 
· Leave blank for standard output
· Enter -1 to omit all state variables</t>
        </r>
      </text>
    </comment>
    <comment ref="C16" authorId="1" shapeId="0" xr:uid="{00000000-0006-0000-1300-000004000000}">
      <text>
        <r>
          <rPr>
            <b/>
            <sz val="9"/>
            <color indexed="81"/>
            <rFont val="Tahoma"/>
            <family val="2"/>
          </rPr>
          <t xml:space="preserve">Select up to 17 variables from this list (input number):  </t>
        </r>
        <r>
          <rPr>
            <sz val="9"/>
            <color indexed="81"/>
            <rFont val="Tahoma"/>
            <family val="2"/>
          </rPr>
          <t xml:space="preserve">        
1  ZNMA  Mineral N in NH3 form in root zone (kg/ha)    
2  ZNMN  Mineral N in NO3 form in root zone (kg/ha)    
3  ZQP  Soluble P in root zone (kg/ha)    
4  UNM  Plant N uptake (kg/ha)    
5  UPM  Plant P uptake (kg/ha)    
6  RZSW  Soil water content in root zone (mm)    
7  WTBL  Water table depth (m)    
8  GWST  Ground water storage (mm)    
9  STDO  Initial Standing dead plant residue from old crops (t/ha)  
10  RSD  Crop residue on the soil surface and below (t/ha)    
11  RSVQ  Reservoir storage (mm)    
12  RSVY  Sediment contained in reservoir (t/ha)    
13  RSSA  Reservoir surface area (sq. ha)    
14  SWLT  Water content of surface litter (mm)    
15  SNO  Water content of snow (mm)    
16  RSDM  Manure present on soil surface (t/ha)    
17  GWSN  Nitrogen contained in ground water (kg/ha) </t>
        </r>
      </text>
    </comment>
    <comment ref="C18" authorId="2" shapeId="0" xr:uid="{F85AECB1-E02E-4739-B2B0-715397915A42}">
      <text>
        <r>
          <rPr>
            <sz val="9"/>
            <color indexed="81"/>
            <rFont val="Tahoma"/>
            <charset val="1"/>
          </rPr>
          <t>Variable: SRAD | Unit: MJ/m2 | Description: Solar Radiation</t>
        </r>
      </text>
    </comment>
    <comment ref="A20" authorId="1" shapeId="0" xr:uid="{00000000-0006-0000-1300-000005000000}">
      <text>
        <r>
          <rPr>
            <sz val="9"/>
            <color indexed="81"/>
            <rFont val="Tahoma"/>
            <family val="2"/>
          </rPr>
          <t>· Leave blank for standard output
· Up to 40 variables
· Right justified
· 4 spaces each
· 20 per row
· Select by number</t>
        </r>
      </text>
    </comment>
    <comment ref="H22" authorId="2" shapeId="0" xr:uid="{338B7367-681E-4D06-8C64-DC6571CE6090}">
      <text>
        <r>
          <rPr>
            <sz val="9"/>
            <color indexed="81"/>
            <rFont val="Tahoma"/>
            <family val="2"/>
          </rPr>
          <t>Variable: YMNU | Unit: kg/ha | Description: Manure erosion</t>
        </r>
      </text>
    </comment>
    <comment ref="I22" authorId="2" shapeId="0" xr:uid="{A0DED365-C847-4328-BFCE-AE1828A0C5DD}">
      <text>
        <r>
          <rPr>
            <sz val="9"/>
            <color indexed="81"/>
            <rFont val="Tahoma"/>
            <family val="2"/>
          </rPr>
          <t>Variable: QPU | Unit: kg/ha | Description: Soluble P reach outflow of manure</t>
        </r>
      </text>
    </comment>
    <comment ref="J22" authorId="2" shapeId="0" xr:uid="{F8B45508-3BF4-4A5A-9596-2A10173FF38B}">
      <text>
        <r>
          <rPr>
            <sz val="9"/>
            <color indexed="81"/>
            <rFont val="Tahoma"/>
            <family val="2"/>
          </rPr>
          <t>Variable: QC | Unit: kg/ha | Description: Carbon in runoff</t>
        </r>
      </text>
    </comment>
    <comment ref="K22" authorId="2" shapeId="0" xr:uid="{4A5B6C91-59C6-486E-99D1-3F29CCBD88A2}">
      <text>
        <r>
          <rPr>
            <sz val="9"/>
            <color indexed="81"/>
            <rFont val="Tahoma"/>
            <family val="2"/>
          </rPr>
          <t>Variable: YC | Unit: kg/ha | Description: Carbon loss with sediment</t>
        </r>
      </text>
    </comment>
    <comment ref="A25" authorId="1" shapeId="0" xr:uid="{00000000-0006-0000-1300-000006000000}">
      <text>
        <r>
          <rPr>
            <sz val="9"/>
            <color indexed="81"/>
            <rFont val="Tahoma"/>
            <family val="2"/>
          </rPr>
          <t>· Select from KA list above
· Leave blank for standard output
· Enter -1 to omit all accumulated variables
· Up to 40 variables
· Right justified
· 4 spaces each
· 20 per row</t>
        </r>
      </text>
    </comment>
    <comment ref="B85" authorId="1" shapeId="0" xr:uid="{00000000-0006-0000-1300-000007000000}">
      <text>
        <r>
          <rPr>
            <sz val="9"/>
            <color indexed="81"/>
            <rFont val="Tahoma"/>
            <family val="2"/>
          </rPr>
          <t>MSO + 1 : SOT=SUBAREA FINAL SOIL TABLE FOR USE IN OTHER RUNS (MSO=49)</t>
        </r>
      </text>
    </comment>
    <comment ref="W147" authorId="1" shapeId="0" xr:uid="{00000000-0006-0000-1300-000008000000}">
      <text>
        <r>
          <rPr>
            <sz val="9"/>
            <color indexed="81"/>
            <rFont val="Tahoma"/>
            <family val="2"/>
          </rPr>
          <t>(set in Parm 93)</t>
        </r>
      </text>
    </comment>
    <comment ref="W148" authorId="1" shapeId="0" xr:uid="{00000000-0006-0000-1300-000009000000}">
      <text>
        <r>
          <rPr>
            <sz val="9"/>
            <color indexed="81"/>
            <rFont val="Tahoma"/>
            <family val="2"/>
          </rPr>
          <t>(set in Parm 94)</t>
        </r>
      </text>
    </comment>
  </commentList>
</comments>
</file>

<file path=xl/sharedStrings.xml><?xml version="1.0" encoding="utf-8"?>
<sst xmlns="http://schemas.openxmlformats.org/spreadsheetml/2006/main" count="4202" uniqueCount="3236">
  <si>
    <t>FSITE</t>
  </si>
  <si>
    <t>FSUBA</t>
  </si>
  <si>
    <t>FWPM</t>
  </si>
  <si>
    <t>FWIND</t>
  </si>
  <si>
    <t>FCROP</t>
  </si>
  <si>
    <t>FTILL</t>
  </si>
  <si>
    <t>FPEST</t>
  </si>
  <si>
    <t>FFERT</t>
  </si>
  <si>
    <t>FSOIL</t>
  </si>
  <si>
    <t>FOPSC</t>
  </si>
  <si>
    <t>FTR55</t>
  </si>
  <si>
    <t>FPARM</t>
  </si>
  <si>
    <t>FMLRN</t>
  </si>
  <si>
    <t>FPRNT</t>
  </si>
  <si>
    <t>FHERD</t>
  </si>
  <si>
    <t>Description</t>
  </si>
  <si>
    <t>Equation parameters and coefficients</t>
  </si>
  <si>
    <t>Includes the control data for printing select output variables in the sections of the APEX0806.out file and other summary files.</t>
  </si>
  <si>
    <t>A list of daily weather stations and their corresponding latitude and longitude values ordered by weather station number which can be used in creating runs.</t>
  </si>
  <si>
    <t>Rows of data organized by run name and numbers identifying site, weather station, wind station and subarea files needed for each run</t>
  </si>
  <si>
    <t>Control file—specifies run length, option selections, defaults, etc.  This input data does not change between runs included in APEXRUN.dat.</t>
  </si>
  <si>
    <t>Includes input data that characterize each subarea.</t>
  </si>
  <si>
    <t>Includes input data that characterize each soil.</t>
  </si>
  <si>
    <t>Includes input data that characterizes crop growth for over 100 crops.</t>
  </si>
  <si>
    <t>Includes input data that characterizes tillage equipment.</t>
  </si>
  <si>
    <t>Includes input data that characterizes numerous pesticides.</t>
  </si>
  <si>
    <t>Includes input data that characterizes numerous fertilizers.</t>
  </si>
  <si>
    <t>List of file names and descriptions associated with APEX files</t>
  </si>
  <si>
    <t>Field</t>
  </si>
  <si>
    <t>Variable</t>
  </si>
  <si>
    <t>ASTN</t>
  </si>
  <si>
    <t>ISIT</t>
  </si>
  <si>
    <t>IWPN</t>
  </si>
  <si>
    <t>IWND</t>
  </si>
  <si>
    <t>ISUB</t>
  </si>
  <si>
    <t>ISOL</t>
  </si>
  <si>
    <t>IRFT</t>
  </si>
  <si>
    <t>NBYR</t>
  </si>
  <si>
    <t>IYR</t>
  </si>
  <si>
    <t>IMO</t>
  </si>
  <si>
    <t>IDA</t>
  </si>
  <si>
    <t>IPD</t>
  </si>
  <si>
    <t>NGN</t>
  </si>
  <si>
    <t>IGN</t>
  </si>
  <si>
    <t>IGSD</t>
  </si>
  <si>
    <t>LPYR</t>
  </si>
  <si>
    <t>IET</t>
  </si>
  <si>
    <t>ISCN</t>
  </si>
  <si>
    <t>ITYP</t>
  </si>
  <si>
    <t>ISTA</t>
  </si>
  <si>
    <t>IHUS</t>
  </si>
  <si>
    <t>NVCN</t>
  </si>
  <si>
    <t>INFL</t>
  </si>
  <si>
    <t>MASP</t>
  </si>
  <si>
    <t>IERT</t>
  </si>
  <si>
    <t>LBP</t>
  </si>
  <si>
    <t>NUPC</t>
  </si>
  <si>
    <t>MNUL</t>
  </si>
  <si>
    <t>LPD</t>
  </si>
  <si>
    <t>MSCP</t>
  </si>
  <si>
    <t>ISLF</t>
  </si>
  <si>
    <t>NAQ</t>
  </si>
  <si>
    <t>IHY</t>
  </si>
  <si>
    <t>ICO2</t>
  </si>
  <si>
    <t>ISW</t>
  </si>
  <si>
    <t>IGMX</t>
  </si>
  <si>
    <t>IDIR</t>
  </si>
  <si>
    <t>IMW</t>
  </si>
  <si>
    <t>IOX</t>
  </si>
  <si>
    <t>IDNT</t>
  </si>
  <si>
    <t>IAZM</t>
  </si>
  <si>
    <t>IPAT</t>
  </si>
  <si>
    <t>IHRD</t>
  </si>
  <si>
    <t>IWTB</t>
  </si>
  <si>
    <t>NSTP</t>
  </si>
  <si>
    <t>ISAP</t>
  </si>
  <si>
    <t>RFN</t>
  </si>
  <si>
    <t>CO2</t>
  </si>
  <si>
    <t>CQN</t>
  </si>
  <si>
    <t>PSTX</t>
  </si>
  <si>
    <t>YWI</t>
  </si>
  <si>
    <t>BTA</t>
  </si>
  <si>
    <t>EXPK</t>
  </si>
  <si>
    <t>QG</t>
  </si>
  <si>
    <t>QCF</t>
  </si>
  <si>
    <t>CHSO</t>
  </si>
  <si>
    <t>BWD</t>
  </si>
  <si>
    <t>FCW</t>
  </si>
  <si>
    <t>GWSO</t>
  </si>
  <si>
    <t>RFTO</t>
  </si>
  <si>
    <t>RFPO</t>
  </si>
  <si>
    <t>SATO</t>
  </si>
  <si>
    <t>FL</t>
  </si>
  <si>
    <t>FW</t>
  </si>
  <si>
    <t>ANG</t>
  </si>
  <si>
    <t>UXP</t>
  </si>
  <si>
    <t>DIAM</t>
  </si>
  <si>
    <t>ACW</t>
  </si>
  <si>
    <t>GZL0</t>
  </si>
  <si>
    <t>RTN0</t>
  </si>
  <si>
    <t>BXCT</t>
  </si>
  <si>
    <t>BYCT</t>
  </si>
  <si>
    <t>DTHY</t>
  </si>
  <si>
    <t>QTH</t>
  </si>
  <si>
    <t>STND</t>
  </si>
  <si>
    <t>DRV</t>
  </si>
  <si>
    <t>PCO0</t>
  </si>
  <si>
    <t>RCC0</t>
  </si>
  <si>
    <t>CSLT</t>
  </si>
  <si>
    <t>|-----TILL------|</t>
  </si>
  <si>
    <t>#</t>
  </si>
  <si>
    <t>NAME</t>
  </si>
  <si>
    <t>PCD</t>
  </si>
  <si>
    <t>PRIC</t>
  </si>
  <si>
    <t>PLST</t>
  </si>
  <si>
    <t>HRY</t>
  </si>
  <si>
    <t>HRL</t>
  </si>
  <si>
    <t>PWR</t>
  </si>
  <si>
    <t>WDT</t>
  </si>
  <si>
    <t>SPD</t>
  </si>
  <si>
    <t>RC1</t>
  </si>
  <si>
    <t>RC2</t>
  </si>
  <si>
    <t>XLB</t>
  </si>
  <si>
    <t>FCM</t>
  </si>
  <si>
    <t>VR1</t>
  </si>
  <si>
    <t>VR2</t>
  </si>
  <si>
    <t>EFM</t>
  </si>
  <si>
    <t>RTI</t>
  </si>
  <si>
    <t>EMX</t>
  </si>
  <si>
    <t>RR</t>
  </si>
  <si>
    <t>TLD</t>
  </si>
  <si>
    <t>RHT</t>
  </si>
  <si>
    <t>RIN</t>
  </si>
  <si>
    <t>DKH</t>
  </si>
  <si>
    <t>DKI</t>
  </si>
  <si>
    <t>IHC</t>
  </si>
  <si>
    <t>HE</t>
  </si>
  <si>
    <t>ORHI</t>
  </si>
  <si>
    <t>FRCP</t>
  </si>
  <si>
    <t>FPOP</t>
  </si>
  <si>
    <t>CFEM</t>
  </si>
  <si>
    <t>STIR</t>
  </si>
  <si>
    <t>EQP</t>
  </si>
  <si>
    <t>CROP</t>
  </si>
  <si>
    <t>WA</t>
  </si>
  <si>
    <t>HI</t>
  </si>
  <si>
    <t>TOP</t>
  </si>
  <si>
    <t>TBS</t>
  </si>
  <si>
    <t>DMLA</t>
  </si>
  <si>
    <t>DLAI</t>
  </si>
  <si>
    <t>DLAP1</t>
  </si>
  <si>
    <t>DLAP2</t>
  </si>
  <si>
    <t>RLAD</t>
  </si>
  <si>
    <t>RBMD</t>
  </si>
  <si>
    <t>ALT</t>
  </si>
  <si>
    <t>GSI</t>
  </si>
  <si>
    <t>CAF</t>
  </si>
  <si>
    <t>SDW</t>
  </si>
  <si>
    <t>HMX</t>
  </si>
  <si>
    <t>RDMX</t>
  </si>
  <si>
    <t>WAC2</t>
  </si>
  <si>
    <t>CNY</t>
  </si>
  <si>
    <t>CPY</t>
  </si>
  <si>
    <t>CKY</t>
  </si>
  <si>
    <t>WSYF</t>
  </si>
  <si>
    <t>PST</t>
  </si>
  <si>
    <t>COSD</t>
  </si>
  <si>
    <t>PRYG</t>
  </si>
  <si>
    <t>PRYF</t>
  </si>
  <si>
    <t>WCY</t>
  </si>
  <si>
    <t>BN1</t>
  </si>
  <si>
    <t>BN2</t>
  </si>
  <si>
    <t>BN3</t>
  </si>
  <si>
    <t>BP1</t>
  </si>
  <si>
    <t>BP2</t>
  </si>
  <si>
    <t>BP3</t>
  </si>
  <si>
    <t>BK1</t>
  </si>
  <si>
    <t>BK2</t>
  </si>
  <si>
    <t>BK3</t>
  </si>
  <si>
    <t>BW1</t>
  </si>
  <si>
    <t>BW2</t>
  </si>
  <si>
    <t>BW3</t>
  </si>
  <si>
    <t>IDC</t>
  </si>
  <si>
    <t>FRST1</t>
  </si>
  <si>
    <t>FRST2</t>
  </si>
  <si>
    <t>WAVP</t>
  </si>
  <si>
    <t>VPTH</t>
  </si>
  <si>
    <t>VPD2</t>
  </si>
  <si>
    <t>RWPC1</t>
  </si>
  <si>
    <t>RWPC2</t>
  </si>
  <si>
    <t>GMHU</t>
  </si>
  <si>
    <t>PPLP1</t>
  </si>
  <si>
    <t>PPLP2</t>
  </si>
  <si>
    <t>STX1</t>
  </si>
  <si>
    <t>STX2</t>
  </si>
  <si>
    <t>BLG1</t>
  </si>
  <si>
    <t>BLG2</t>
  </si>
  <si>
    <t>WUB</t>
  </si>
  <si>
    <t>FTO</t>
  </si>
  <si>
    <t>FLT</t>
  </si>
  <si>
    <t>I</t>
  </si>
  <si>
    <t>FTNM</t>
  </si>
  <si>
    <t>FN</t>
  </si>
  <si>
    <t>FP</t>
  </si>
  <si>
    <t>FK</t>
  </si>
  <si>
    <t>FNO</t>
  </si>
  <si>
    <t>FPO</t>
  </si>
  <si>
    <t>FNH3</t>
  </si>
  <si>
    <t>FOC</t>
  </si>
  <si>
    <t>FSLT</t>
  </si>
  <si>
    <t>FCST</t>
  </si>
  <si>
    <t>J1</t>
  </si>
  <si>
    <t>PSTN</t>
  </si>
  <si>
    <t>PSOL</t>
  </si>
  <si>
    <t>PHLS</t>
  </si>
  <si>
    <t>PHLF</t>
  </si>
  <si>
    <t>PWOF</t>
  </si>
  <si>
    <t>PKOC</t>
  </si>
  <si>
    <t>PCST</t>
  </si>
  <si>
    <t>Variable #</t>
  </si>
  <si>
    <t>Variable Name</t>
  </si>
  <si>
    <t>Variable Description</t>
  </si>
  <si>
    <t>Units</t>
  </si>
  <si>
    <t>TMX</t>
  </si>
  <si>
    <t>Maximum temperature</t>
  </si>
  <si>
    <t>TMN</t>
  </si>
  <si>
    <t>Minimum temperature</t>
  </si>
  <si>
    <t>SRAD</t>
  </si>
  <si>
    <t>Solar Radiation</t>
  </si>
  <si>
    <r>
      <t>MJ/m</t>
    </r>
    <r>
      <rPr>
        <vertAlign val="superscript"/>
        <sz val="10"/>
        <color theme="1"/>
        <rFont val="Times New Roman"/>
        <family val="1"/>
      </rPr>
      <t>2</t>
    </r>
  </si>
  <si>
    <t>PRCP</t>
  </si>
  <si>
    <t>Precipitation</t>
  </si>
  <si>
    <t>mm</t>
  </si>
  <si>
    <t>SNOF</t>
  </si>
  <si>
    <t>Snow fall</t>
  </si>
  <si>
    <t>SNOM</t>
  </si>
  <si>
    <t>Snow melt</t>
  </si>
  <si>
    <t>WSPD</t>
  </si>
  <si>
    <t>Wind velocity</t>
  </si>
  <si>
    <t>m/s</t>
  </si>
  <si>
    <t>RHUM</t>
  </si>
  <si>
    <t>Relative humidity</t>
  </si>
  <si>
    <t>VPD</t>
  </si>
  <si>
    <t>Vapor pressure deficit</t>
  </si>
  <si>
    <t>kPa</t>
  </si>
  <si>
    <t>PET</t>
  </si>
  <si>
    <t>Potential evaporation</t>
  </si>
  <si>
    <t>ET</t>
  </si>
  <si>
    <t>Evapotranspiration</t>
  </si>
  <si>
    <t>EP</t>
  </si>
  <si>
    <t>Transpiration</t>
  </si>
  <si>
    <t>Q</t>
  </si>
  <si>
    <t>Annual Surface Runoff</t>
  </si>
  <si>
    <t>CN</t>
  </si>
  <si>
    <t>SCS runoff curve number</t>
  </si>
  <si>
    <t>SSF</t>
  </si>
  <si>
    <t>Lateral subsurface flow</t>
  </si>
  <si>
    <t>PRK</t>
  </si>
  <si>
    <t>Percolation below the root zone</t>
  </si>
  <si>
    <t>QDR</t>
  </si>
  <si>
    <t>Flow from a drainage system</t>
  </si>
  <si>
    <t>IRGA</t>
  </si>
  <si>
    <t>Irrigation water applied</t>
  </si>
  <si>
    <t>QIN</t>
  </si>
  <si>
    <t>Inflow to the root zone from the water table</t>
  </si>
  <si>
    <t>TLGE</t>
  </si>
  <si>
    <t>Lagoon evaporation</t>
  </si>
  <si>
    <t>TLGW</t>
  </si>
  <si>
    <t>Water wash to lagoon</t>
  </si>
  <si>
    <t>TLGQ</t>
  </si>
  <si>
    <t>Runoff to lagoon</t>
  </si>
  <si>
    <t>TLGF</t>
  </si>
  <si>
    <t>Lagoon overflow</t>
  </si>
  <si>
    <t>EI</t>
  </si>
  <si>
    <t>Rainfall energy factor</t>
  </si>
  <si>
    <t>C</t>
  </si>
  <si>
    <t>Average water erosion/crop management factor</t>
  </si>
  <si>
    <t>USLE</t>
  </si>
  <si>
    <t>Soil loss from water erosion using USLE</t>
  </si>
  <si>
    <t>t/ha</t>
  </si>
  <si>
    <t>MUSL</t>
  </si>
  <si>
    <t>Soil loss from water erosion using MUSLE</t>
  </si>
  <si>
    <t>AOF</t>
  </si>
  <si>
    <t>Soil loss from water erosion using Onstad-Foster</t>
  </si>
  <si>
    <t>MUSS</t>
  </si>
  <si>
    <t>Soil erosion-water</t>
  </si>
  <si>
    <t>MUST</t>
  </si>
  <si>
    <t>Soil loss from water erosion using modified MUSLE</t>
  </si>
  <si>
    <t>RUS2</t>
  </si>
  <si>
    <t>Soil loss from water erosion using RUSLE2</t>
  </si>
  <si>
    <t>WK1</t>
  </si>
  <si>
    <t>Wind erosion soil erodibility factor</t>
  </si>
  <si>
    <t>RHTT</t>
  </si>
  <si>
    <t>Ridge Height</t>
  </si>
  <si>
    <t>RRUF</t>
  </si>
  <si>
    <t>Random roughness of soil</t>
  </si>
  <si>
    <t>RGRF</t>
  </si>
  <si>
    <t>Wind erosion ridge roughness factor</t>
  </si>
  <si>
    <t>YWND</t>
  </si>
  <si>
    <t>Soil erosion –wind</t>
  </si>
  <si>
    <t>YN</t>
  </si>
  <si>
    <t>Sediment transported N from subarea or reach</t>
  </si>
  <si>
    <t>kg/ha</t>
  </si>
  <si>
    <t>QN</t>
  </si>
  <si>
    <t>Nitrogen in runoff</t>
  </si>
  <si>
    <t>SSFN</t>
  </si>
  <si>
    <t>Amount of mineral nitrogen lost in the horizontal movement of water in the soil from subarea or reach</t>
  </si>
  <si>
    <t>PRKN</t>
  </si>
  <si>
    <t>Mineral N loss in percolate</t>
  </si>
  <si>
    <t>GMN</t>
  </si>
  <si>
    <t>Nitrogen mineralized</t>
  </si>
  <si>
    <t>DN</t>
  </si>
  <si>
    <t>N loss by denitrification</t>
  </si>
  <si>
    <t>NFIX</t>
  </si>
  <si>
    <t>N fixed by leguminous crops</t>
  </si>
  <si>
    <t>NMN</t>
  </si>
  <si>
    <t>N mineralized from stable organic matter</t>
  </si>
  <si>
    <t>NITR</t>
  </si>
  <si>
    <t>Nitrification</t>
  </si>
  <si>
    <t>AVOL</t>
  </si>
  <si>
    <t>Nitrogen volatilization</t>
  </si>
  <si>
    <t>QDRN</t>
  </si>
  <si>
    <t>Soluble N in drainage outflow`</t>
  </si>
  <si>
    <t>YP</t>
  </si>
  <si>
    <t>P loss with sediment</t>
  </si>
  <si>
    <t>QP</t>
  </si>
  <si>
    <t>Phosphorus in runoff</t>
  </si>
  <si>
    <t>MNP</t>
  </si>
  <si>
    <t>P mineralized</t>
  </si>
  <si>
    <t>PRKP</t>
  </si>
  <si>
    <t>Phosphorus loss in percolate</t>
  </si>
  <si>
    <t>ER</t>
  </si>
  <si>
    <t>Enrichment ratio</t>
  </si>
  <si>
    <t>Organic Nitrogen fertilizer (animal waste)</t>
  </si>
  <si>
    <t>FNMN</t>
  </si>
  <si>
    <t>Nitrate N fertilizer</t>
  </si>
  <si>
    <t>FNMA</t>
  </si>
  <si>
    <t>Ammonium N fertilizer</t>
  </si>
  <si>
    <t>Organic Phosphorus (actual P) of manure</t>
  </si>
  <si>
    <t>FPL</t>
  </si>
  <si>
    <t>Mineral P fertilizer applied</t>
  </si>
  <si>
    <t>LIME</t>
  </si>
  <si>
    <t>Limestone applied (CaCO3 equivalent)</t>
  </si>
  <si>
    <t>TMP</t>
  </si>
  <si>
    <t>Temperature in second soil layer</t>
  </si>
  <si>
    <t>SW10</t>
  </si>
  <si>
    <t>Ratio soil water/wilting point in top 10mm</t>
  </si>
  <si>
    <t>LGMI</t>
  </si>
  <si>
    <t>Manure input to lagoon</t>
  </si>
  <si>
    <t>LGMO</t>
  </si>
  <si>
    <t>Manure output from lagoon</t>
  </si>
  <si>
    <t>EPP</t>
  </si>
  <si>
    <t>Potential plant evaporation</t>
  </si>
  <si>
    <t>RSQI</t>
  </si>
  <si>
    <t>Reservoir inflow</t>
  </si>
  <si>
    <t>RSQO</t>
  </si>
  <si>
    <t>Reservoir outflow</t>
  </si>
  <si>
    <t>RSEV</t>
  </si>
  <si>
    <t>Reservoir volume</t>
  </si>
  <si>
    <t>RSLK</t>
  </si>
  <si>
    <t>Reservoir leakage (goes into ground water)</t>
  </si>
  <si>
    <t>RSYI</t>
  </si>
  <si>
    <t>Reservoir sediment inflow</t>
  </si>
  <si>
    <t>tonne</t>
  </si>
  <si>
    <t>RSYO</t>
  </si>
  <si>
    <t>Reservoir sediment outflow</t>
  </si>
  <si>
    <t>RSYD</t>
  </si>
  <si>
    <t>Reservoir sediment deposition</t>
  </si>
  <si>
    <t>DPRK</t>
  </si>
  <si>
    <t>Deep percolation</t>
  </si>
  <si>
    <t>RSSF</t>
  </si>
  <si>
    <t>Return subsurface flow</t>
  </si>
  <si>
    <t>RSDC</t>
  </si>
  <si>
    <t>carbon contained in crop residue</t>
  </si>
  <si>
    <t>RSPC</t>
  </si>
  <si>
    <t>CO2 respiration</t>
  </si>
  <si>
    <t>PRKC</t>
  </si>
  <si>
    <t>Carbon leached from root zone</t>
  </si>
  <si>
    <t>QC</t>
  </si>
  <si>
    <t>Carbon in runoff</t>
  </si>
  <si>
    <t>YC</t>
  </si>
  <si>
    <t>Carbon loss with sediment</t>
  </si>
  <si>
    <t>RSDA</t>
  </si>
  <si>
    <t>Residue added in any form</t>
  </si>
  <si>
    <t>QFP</t>
  </si>
  <si>
    <t>Amount of flow into floodplain</t>
  </si>
  <si>
    <t>RSFN</t>
  </si>
  <si>
    <t>Subarea soluble N yield in return flow</t>
  </si>
  <si>
    <t>MAP</t>
  </si>
  <si>
    <t>Manure applied to subarea</t>
  </si>
  <si>
    <t>BUNL</t>
  </si>
  <si>
    <t>N burn loss</t>
  </si>
  <si>
    <t>QRF</t>
  </si>
  <si>
    <t>Quick return flow</t>
  </si>
  <si>
    <t>QRFN</t>
  </si>
  <si>
    <t>Soluble N in quick return flow</t>
  </si>
  <si>
    <t>RFIC</t>
  </si>
  <si>
    <t>Rainfall interception</t>
  </si>
  <si>
    <t>RSBK</t>
  </si>
  <si>
    <t>Reservoir back water</t>
  </si>
  <si>
    <t>CPVH</t>
  </si>
  <si>
    <t>Pipe flow horizontal</t>
  </si>
  <si>
    <t>YMNU</t>
  </si>
  <si>
    <t>Manure erosion</t>
  </si>
  <si>
    <t>SNOU</t>
  </si>
  <si>
    <t>N in scraping manure</t>
  </si>
  <si>
    <t>SPOU</t>
  </si>
  <si>
    <t>P in scraping manure</t>
  </si>
  <si>
    <t>DNMO</t>
  </si>
  <si>
    <t>Deposition of mineral N at watershed outlet</t>
  </si>
  <si>
    <t>DPMO</t>
  </si>
  <si>
    <t>Deposition of mineral P at watershed outlet</t>
  </si>
  <si>
    <t>DEMR</t>
  </si>
  <si>
    <t>Dust emission rate</t>
  </si>
  <si>
    <t>P10D</t>
  </si>
  <si>
    <t>Dust emission with &lt;10 micron particle size</t>
  </si>
  <si>
    <t>SSFI</t>
  </si>
  <si>
    <t>Subsurface flow from subarea above</t>
  </si>
  <si>
    <t>DPKN</t>
  </si>
  <si>
    <t>Deep percolation of N out of groundwater</t>
  </si>
  <si>
    <t>CPVV</t>
  </si>
  <si>
    <t>Pipe flow vertical</t>
  </si>
  <si>
    <t>FPF</t>
  </si>
  <si>
    <t>Floodplain infiltration</t>
  </si>
  <si>
    <t>mm/h</t>
  </si>
  <si>
    <t>Organic C fraction in fertilizer</t>
  </si>
  <si>
    <t>RFV</t>
  </si>
  <si>
    <t>SCOU</t>
  </si>
  <si>
    <t>Carbon in manure scraped from feedlot</t>
  </si>
  <si>
    <t>DEPC</t>
  </si>
  <si>
    <t>Carbon deposited in routing reach</t>
  </si>
  <si>
    <t>DECR</t>
  </si>
  <si>
    <t>Residue decay</t>
  </si>
  <si>
    <t>PSOQ</t>
  </si>
  <si>
    <t>Point source flow volume</t>
  </si>
  <si>
    <t>PSON</t>
  </si>
  <si>
    <t>Point source soluble N load</t>
  </si>
  <si>
    <t>PSOP</t>
  </si>
  <si>
    <t>Point source soluble P load</t>
  </si>
  <si>
    <t>RUSL</t>
  </si>
  <si>
    <t>Soil erosion by water estimated with RUSLE</t>
  </si>
  <si>
    <t>QPU</t>
  </si>
  <si>
    <t>Soluble P reach outflow of manure</t>
  </si>
  <si>
    <t>FALF</t>
  </si>
  <si>
    <t>Leaf fall</t>
  </si>
  <si>
    <t>IRDL</t>
  </si>
  <si>
    <t>Irrigation Distribution loss</t>
  </si>
  <si>
    <t>QRP</t>
  </si>
  <si>
    <t>Reservoir release rate</t>
  </si>
  <si>
    <t>mm/day</t>
  </si>
  <si>
    <t>YRP</t>
  </si>
  <si>
    <t>Sediment outflow from reservoir</t>
  </si>
  <si>
    <t>t/ha/day</t>
  </si>
  <si>
    <t>YNRP</t>
  </si>
  <si>
    <t>Particulate N in reservoir outflow</t>
  </si>
  <si>
    <t>YPRP</t>
  </si>
  <si>
    <t>Particulate P in reservoir outflow</t>
  </si>
  <si>
    <t>QNRP</t>
  </si>
  <si>
    <t>Soluble N outflow from ponds</t>
  </si>
  <si>
    <t>QPRP</t>
  </si>
  <si>
    <t>Soluble P outflow from ponds</t>
  </si>
  <si>
    <t>WYLD</t>
  </si>
  <si>
    <t>Water yield</t>
  </si>
  <si>
    <t>YPM</t>
  </si>
  <si>
    <t>Total mineral phosphorus loss</t>
  </si>
  <si>
    <t>YPO</t>
  </si>
  <si>
    <t>Total organic phosphorus loss</t>
  </si>
  <si>
    <t>SW</t>
  </si>
  <si>
    <t>Soil water in total profile</t>
  </si>
  <si>
    <t>PSOY</t>
  </si>
  <si>
    <t>Point source sediment pesticide load</t>
  </si>
  <si>
    <t>t/day</t>
  </si>
  <si>
    <t>PQPS</t>
  </si>
  <si>
    <t>Point source soluble pesticide load</t>
  </si>
  <si>
    <t>g/day</t>
  </si>
  <si>
    <t>PYPS</t>
  </si>
  <si>
    <t>Point source adsorbed pesticide load</t>
  </si>
  <si>
    <t>MUSI</t>
  </si>
  <si>
    <t>Soil erosion by water estimated with Modified MUSLE</t>
  </si>
  <si>
    <t>QI</t>
  </si>
  <si>
    <t>Inflow to reservoir</t>
  </si>
  <si>
    <r>
      <t>m</t>
    </r>
    <r>
      <rPr>
        <vertAlign val="superscript"/>
        <sz val="10"/>
        <color theme="1"/>
        <rFont val="Times New Roman"/>
        <family val="1"/>
      </rPr>
      <t>3</t>
    </r>
  </si>
  <si>
    <t>QARS</t>
  </si>
  <si>
    <t>RFRA</t>
  </si>
  <si>
    <t>Amount of rainfall that falls on reservoir surface</t>
  </si>
  <si>
    <t>DN2</t>
  </si>
  <si>
    <t>Loss of dinitrogen gas</t>
  </si>
  <si>
    <t>SLTI</t>
  </si>
  <si>
    <t>Salt in irrigation water</t>
  </si>
  <si>
    <t>SLTQ</t>
  </si>
  <si>
    <t>Salt in runoff</t>
  </si>
  <si>
    <t>SLTS</t>
  </si>
  <si>
    <t>Salt in lateral subsurface flow</t>
  </si>
  <si>
    <t>SLTF</t>
  </si>
  <si>
    <t>Salt in fertilizer</t>
  </si>
  <si>
    <t>SLTV</t>
  </si>
  <si>
    <t>Salt percolated out of root zone</t>
  </si>
  <si>
    <t>YNWN</t>
  </si>
  <si>
    <t>N loss in wind erosion</t>
  </si>
  <si>
    <t>YPWN</t>
  </si>
  <si>
    <t>P loss in wind erosion</t>
  </si>
  <si>
    <t>YCWN</t>
  </si>
  <si>
    <t>Carbon loss in wind erosion</t>
  </si>
  <si>
    <t>PSO3</t>
  </si>
  <si>
    <t>Nitrate contribution from point source</t>
  </si>
  <si>
    <t>PSSP</t>
  </si>
  <si>
    <t>Soluble P contribution from point source</t>
  </si>
  <si>
    <t>YWKS</t>
  </si>
  <si>
    <t>Wind erosion using Manhattan Kansas model</t>
  </si>
  <si>
    <t>CBUR</t>
  </si>
  <si>
    <t>Carbon loss from burning crop residue or forest</t>
  </si>
  <si>
    <t>GRZD</t>
  </si>
  <si>
    <t>Grazing duration</t>
  </si>
  <si>
    <t>days</t>
  </si>
  <si>
    <t>QRFP</t>
  </si>
  <si>
    <t>Phosphorus loss in quick return flow</t>
  </si>
  <si>
    <t>QDRP</t>
  </si>
  <si>
    <t>Phosphorus loss through drainage system</t>
  </si>
  <si>
    <t>YTHS</t>
  </si>
  <si>
    <t>YWTH</t>
  </si>
  <si>
    <t>line 12-14:</t>
  </si>
  <si>
    <t>KFL</t>
  </si>
  <si>
    <t>Output table selection</t>
  </si>
  <si>
    <r>
      <t xml:space="preserve">Files names are </t>
    </r>
    <r>
      <rPr>
        <i/>
        <sz val="12"/>
        <color theme="1"/>
        <rFont val="Times New Roman"/>
        <family val="1"/>
      </rPr>
      <t>runname</t>
    </r>
    <r>
      <rPr>
        <sz val="12"/>
        <color theme="1"/>
        <rFont val="Times New Roman"/>
        <family val="1"/>
      </rPr>
      <t xml:space="preserve">.* where  </t>
    </r>
    <r>
      <rPr>
        <i/>
        <sz val="12"/>
        <color theme="1"/>
        <rFont val="Times New Roman"/>
        <family val="1"/>
      </rPr>
      <t>runname</t>
    </r>
    <r>
      <rPr>
        <sz val="12"/>
        <color theme="1"/>
        <rFont val="Times New Roman"/>
        <family val="1"/>
      </rPr>
      <t xml:space="preserve"> refers to run # (ASTN)  and  * takes on file name ext. </t>
    </r>
  </si>
  <si>
    <t>line 1-5:</t>
  </si>
  <si>
    <t>KA</t>
  </si>
  <si>
    <r>
      <t>Output variable ID number (accumulated and average values)</t>
    </r>
    <r>
      <rPr>
        <sz val="12"/>
        <color theme="1"/>
        <rFont val="Times New Roman"/>
        <family val="1"/>
      </rPr>
      <t>.</t>
    </r>
  </si>
  <si>
    <t xml:space="preserve">Select up to 60 items from Table 2.9 below. </t>
  </si>
  <si>
    <t>line 6:</t>
  </si>
  <si>
    <t>JC</t>
  </si>
  <si>
    <r>
      <t>Output variable ID number (concentration variables)</t>
    </r>
    <r>
      <rPr>
        <sz val="12"/>
        <color theme="1"/>
        <rFont val="Times New Roman"/>
        <family val="1"/>
      </rPr>
      <t xml:space="preserve">. </t>
    </r>
  </si>
  <si>
    <t>Select up to 4 variables from table below, e.g.:</t>
  </si>
  <si>
    <t>line 7:</t>
  </si>
  <si>
    <t>KS</t>
  </si>
  <si>
    <r>
      <t>Output variable ID (monthly state variables).</t>
    </r>
    <r>
      <rPr>
        <sz val="12"/>
        <color theme="1"/>
        <rFont val="Times New Roman"/>
        <family val="1"/>
      </rPr>
      <t xml:space="preserve"> </t>
    </r>
  </si>
  <si>
    <t>Select up to 17 variables from this list (input number):</t>
  </si>
  <si>
    <t>line 8-9:</t>
  </si>
  <si>
    <t>KD</t>
  </si>
  <si>
    <r>
      <t>Output variable ID (daily output variables)</t>
    </r>
    <r>
      <rPr>
        <sz val="12"/>
        <color theme="1"/>
        <rFont val="Times New Roman"/>
        <family val="1"/>
      </rPr>
      <t xml:space="preserve">. </t>
    </r>
  </si>
  <si>
    <t>Select variables from Table 2.9 below.</t>
  </si>
  <si>
    <t>line 10-11:</t>
  </si>
  <si>
    <t>KY</t>
  </si>
  <si>
    <r>
      <t>Annual output variable ID (accumulated and average values).</t>
    </r>
    <r>
      <rPr>
        <sz val="12"/>
        <color theme="1"/>
        <rFont val="Times New Roman"/>
        <family val="1"/>
      </rPr>
      <t xml:space="preserve"> </t>
    </r>
  </si>
  <si>
    <t>Select variables from the standard table (Table 2.9) below</t>
  </si>
  <si>
    <t>OUT</t>
  </si>
  <si>
    <t>STANDARD OUTPUT FILE</t>
  </si>
  <si>
    <t>MAN</t>
  </si>
  <si>
    <t>SPECIAL MANURE MANAGEMENT SUMMARY FILE</t>
  </si>
  <si>
    <t>SUS</t>
  </si>
  <si>
    <t>SUBAREA SUMMARY FILE</t>
  </si>
  <si>
    <t>ASA</t>
  </si>
  <si>
    <t>ANNUAL SUBAREA FILE</t>
  </si>
  <si>
    <t>SWT</t>
  </si>
  <si>
    <t>WATERSHED OUTPUT TO SWAT</t>
  </si>
  <si>
    <t>DPS</t>
  </si>
  <si>
    <t>DAILY SUBAREA PESTICIDE FILE</t>
  </si>
  <si>
    <t>MSA</t>
  </si>
  <si>
    <t>MONTHLY SUBAREA FILE</t>
  </si>
  <si>
    <t>AWP</t>
  </si>
  <si>
    <t>ANNUAL CEAP FILE</t>
  </si>
  <si>
    <t>DHY</t>
  </si>
  <si>
    <t>DAILY SUBAREA HYDROLOGY FILE</t>
  </si>
  <si>
    <t>WSS</t>
  </si>
  <si>
    <t>WATERSHED SUMMARY FILE</t>
  </si>
  <si>
    <t>SAD</t>
  </si>
  <si>
    <t>DAILY SUBAREA FILE</t>
  </si>
  <si>
    <t>HYC</t>
  </si>
  <si>
    <t>DRS</t>
  </si>
  <si>
    <t>DAILY RESERVOIR FILE</t>
  </si>
  <si>
    <t>MWS</t>
  </si>
  <si>
    <t>MONTHLY WATERSHED FILE</t>
  </si>
  <si>
    <t>DWS</t>
  </si>
  <si>
    <t>DAILY WATERSHED OUTLET FILE</t>
  </si>
  <si>
    <t>AWS</t>
  </si>
  <si>
    <t>ANNUAL WATERSHED OUTLET FILE</t>
  </si>
  <si>
    <t>DGZ</t>
  </si>
  <si>
    <t>DAILY GRAZING</t>
  </si>
  <si>
    <t>DUX</t>
  </si>
  <si>
    <t>DAILY MANURE APPLICATION</t>
  </si>
  <si>
    <t>DDD</t>
  </si>
  <si>
    <t>DAILY DUST DISTRIBUTION</t>
  </si>
  <si>
    <t>ACN</t>
  </si>
  <si>
    <t>ANNUAL SOIL ORGANIC C &amp; N TABLE</t>
  </si>
  <si>
    <t>DCN</t>
  </si>
  <si>
    <t>DAILY SOIL ORGANIC C &amp; N TABLE</t>
  </si>
  <si>
    <t>SCX</t>
  </si>
  <si>
    <t>SUMMARY SOIL ORGANIC C &amp; N TABLE</t>
  </si>
  <si>
    <t>ACY</t>
  </si>
  <si>
    <t>ANNUAL SUBAREA CROP YIELD</t>
  </si>
  <si>
    <t>EFR</t>
  </si>
  <si>
    <t>RUNOFF EVENT FLOOD ROUTING</t>
  </si>
  <si>
    <t>EHY</t>
  </si>
  <si>
    <t>RUNOFF EVENT HYDROGRAPHS</t>
  </si>
  <si>
    <t>APS</t>
  </si>
  <si>
    <t>ANNUAL SUBAREA/WATERSHED PESTICIDE</t>
  </si>
  <si>
    <t>MSW</t>
  </si>
  <si>
    <t>MONTHLY OUTPUT TO SWAT</t>
  </si>
  <si>
    <t>DPW</t>
  </si>
  <si>
    <t>DAILY WATERSHED PESTICIDE FILE</t>
  </si>
  <si>
    <t>SPS</t>
  </si>
  <si>
    <t>PESTICIDE SUBAREA SUMMARY</t>
  </si>
  <si>
    <t>ACO</t>
  </si>
  <si>
    <t>ANNUAL COST</t>
  </si>
  <si>
    <t>SWN</t>
  </si>
  <si>
    <t>SAO</t>
  </si>
  <si>
    <t>SPECIAL SUBAREA FILE FOR GIS</t>
  </si>
  <si>
    <t>RCH</t>
  </si>
  <si>
    <t>SPECIAL REACH FILE FOR GIS</t>
  </si>
  <si>
    <t>ERX</t>
  </si>
  <si>
    <t>ERROR FILE</t>
  </si>
  <si>
    <t>DMR</t>
  </si>
  <si>
    <t>STR</t>
  </si>
  <si>
    <t>CONTINUOUS HYDROGRAPHS(DTHY) AT WATERSHED OUTLET</t>
  </si>
  <si>
    <t>SUMMARY OF SUBAREAS &amp; WATERSHED FOR NRCS ST AR TOOL</t>
  </si>
  <si>
    <t>DAILY WATERSHED NUTRIENT &amp; SEDIMENT CONC NRCS MRBI</t>
  </si>
  <si>
    <t>SPECIAL WATERSHED SUMMARY FOR NRCS FARM PLAN NING</t>
  </si>
  <si>
    <t>MPS</t>
  </si>
  <si>
    <t>MRO</t>
  </si>
  <si>
    <t>MNT</t>
  </si>
  <si>
    <t>MNC</t>
  </si>
  <si>
    <t>MHD</t>
  </si>
  <si>
    <t>MBS</t>
  </si>
  <si>
    <t>MFT</t>
  </si>
  <si>
    <t>MPO</t>
  </si>
  <si>
    <t>MHP</t>
  </si>
  <si>
    <t>MHX</t>
  </si>
  <si>
    <t>0 gives no output, KFL &gt; 0 gives output for selected files; there are 43 possible output files, this line has 20 variable fields, variable space.  For example:</t>
  </si>
  <si>
    <t xml:space="preserve">4 columns wide.  So for a desired file, enter a 1, right justified, in the appropriate </t>
  </si>
  <si>
    <t>File</t>
  </si>
  <si>
    <t>Name</t>
  </si>
  <si>
    <t>1 | 0</t>
  </si>
  <si>
    <t>*.EXT</t>
  </si>
  <si>
    <t>|&lt;-</t>
  </si>
  <si>
    <t>SCRP1(30)</t>
  </si>
  <si>
    <t>Not used</t>
  </si>
  <si>
    <t>SCRP1(29)</t>
  </si>
  <si>
    <t>SCRP1(28)</t>
  </si>
  <si>
    <t>SCRP1(27)</t>
  </si>
  <si>
    <t>SCRP1(26)</t>
  </si>
  <si>
    <t>SCRP1(25)</t>
  </si>
  <si>
    <t>SCRP1(24)</t>
  </si>
  <si>
    <t>SCRP1(23)</t>
  </si>
  <si>
    <t>SCRP1(22)</t>
  </si>
  <si>
    <t>SCRP1(21)</t>
  </si>
  <si>
    <t>SCRP1(20)</t>
  </si>
  <si>
    <t>SCRP1(19)</t>
  </si>
  <si>
    <t>SCRP1(18)</t>
  </si>
  <si>
    <t>SCRP1(17)</t>
  </si>
  <si>
    <t>SCRP1(16)</t>
  </si>
  <si>
    <t>SCRP1(15)</t>
  </si>
  <si>
    <t>SCRP1(14)</t>
  </si>
  <si>
    <t>SCRP1(13)</t>
  </si>
  <si>
    <t>SCRP1(12)</t>
  </si>
  <si>
    <t>SCRP1(11)</t>
  </si>
  <si>
    <t>SCRP1(10)</t>
  </si>
  <si>
    <t>SCRP1(9)</t>
  </si>
  <si>
    <t>SCRP1(8)</t>
  </si>
  <si>
    <t>SCRP1(7)</t>
  </si>
  <si>
    <t>SCRP1(6)</t>
  </si>
  <si>
    <t>SCRP1(5)</t>
  </si>
  <si>
    <t>SCRP1(4)</t>
  </si>
  <si>
    <t>SCRP1(3)</t>
  </si>
  <si>
    <t>SCRP1(2)</t>
  </si>
  <si>
    <t>SCRP1(1)</t>
  </si>
  <si>
    <t>S-curve parameter definitions</t>
  </si>
  <si>
    <t>SCRP1</t>
  </si>
  <si>
    <t>PARM definitions</t>
  </si>
  <si>
    <t>PARM(n)</t>
  </si>
  <si>
    <t xml:space="preserve">LINE 31    </t>
  </si>
  <si>
    <t>LINE 32</t>
  </si>
  <si>
    <t>LINE 33</t>
  </si>
  <si>
    <t>LINE 34</t>
  </si>
  <si>
    <t>LINE 35</t>
  </si>
  <si>
    <t>LINE 36</t>
  </si>
  <si>
    <t>LINE 37</t>
  </si>
  <si>
    <t>LINE 38</t>
  </si>
  <si>
    <t>LINE 39</t>
  </si>
  <si>
    <t>LINE 40</t>
  </si>
  <si>
    <t>LINE 41</t>
  </si>
  <si>
    <t>COIR</t>
  </si>
  <si>
    <t>COL</t>
  </si>
  <si>
    <t>FULP</t>
  </si>
  <si>
    <t>WAGE</t>
  </si>
  <si>
    <t xml:space="preserve">                                              </t>
  </si>
  <si>
    <t>LINES 31-39     FORMAT:  TEN (10) FIELDS OF EIGHT (8) COLUMNS PER FIELD INCLUDING UP TO TWO (2) DECIMAL PLACES (FLOATING)</t>
  </si>
  <si>
    <t>ID</t>
  </si>
  <si>
    <t>File Name</t>
  </si>
  <si>
    <t>DAY</t>
  </si>
  <si>
    <t>File Name:</t>
  </si>
  <si>
    <t>Description:</t>
  </si>
  <si>
    <t>LUN</t>
  </si>
  <si>
    <t>Land use number from NRCS Land Use-Hydrologic Soil Group Table 
(cols. 1-4)  (Range: 1-35)</t>
  </si>
  <si>
    <t>IAUI</t>
  </si>
  <si>
    <t>IAUF</t>
  </si>
  <si>
    <t>Auto Irrigation # (cols. 5-8)  (Range: 1-open). Default is operation #500.</t>
  </si>
  <si>
    <t>IAMF</t>
  </si>
  <si>
    <t>ISPF</t>
  </si>
  <si>
    <t>ILQF</t>
  </si>
  <si>
    <t>IAUL</t>
  </si>
  <si>
    <t>YEAR</t>
  </si>
  <si>
    <t xml:space="preserve">MONTH </t>
  </si>
  <si>
    <t>TILLAGE</t>
  </si>
  <si>
    <t>MACHINE</t>
  </si>
  <si>
    <t>CROP ID</t>
  </si>
  <si>
    <t>OPV1</t>
  </si>
  <si>
    <t>OPV2</t>
  </si>
  <si>
    <t>OPV3</t>
  </si>
  <si>
    <t>OPV4</t>
  </si>
  <si>
    <t>OPV5</t>
  </si>
  <si>
    <t>OPV6</t>
  </si>
  <si>
    <t>OPV7</t>
  </si>
  <si>
    <t>OPV0</t>
  </si>
  <si>
    <t>Auto Commercial Fertilizer # (cols. 9-12)  (Range: 1-open). Default is operation #261.</t>
  </si>
  <si>
    <t>Auto Manure Deposition by Animals # (cols. 13-16)  (Range: 1-open). Default is operation #268.</t>
  </si>
  <si>
    <t>Auto Solid Manure Application # (cols. 17-20)  (Range: 1-open). Default is operation #266.</t>
  </si>
  <si>
    <t>Auto Liquid Manure Application # (cols. 21-24)  (Range: 1-open). Default is operation #265.</t>
  </si>
  <si>
    <t>Auto Lime Application # (cols. 25-28)  (Range: 1-open). Default is operation #267.</t>
  </si>
  <si>
    <t>Subarea ID number (cols. 1-8; INTEGER)</t>
  </si>
  <si>
    <t>Description of the subarea (cols. 9-28; ALPHA)</t>
  </si>
  <si>
    <t>Feeding area</t>
  </si>
  <si>
    <t>Manure application area (Range: -10000 to 10000)</t>
  </si>
  <si>
    <t>CN-CN2 code  (Range: 0-4)</t>
  </si>
  <si>
    <t>Input daily weather station number</t>
  </si>
  <si>
    <t>Point source number</t>
  </si>
  <si>
    <t>Outflow release method (Range: 0-10000)</t>
  </si>
  <si>
    <t>Land Use Number (Range: 1-35)</t>
  </si>
  <si>
    <t>Minimum Interval between Auto Mow (days) (Range: 0-365)</t>
  </si>
  <si>
    <t>Water content of snow on ground at start of simulation</t>
  </si>
  <si>
    <t>Initial standing dead crop residue t/ha. (Range: 0-1000)</t>
  </si>
  <si>
    <t>Azimuth Orientation of Land Slope (degrees clockwise from North)</t>
  </si>
  <si>
    <t xml:space="preserve">Watershed (drainage) area Size is in (ha).  </t>
  </si>
  <si>
    <t xml:space="preserve">Distance from outlet to most distant point on watershed (Channel length) </t>
  </si>
  <si>
    <t xml:space="preserve">Depth of the channel in meters. </t>
  </si>
  <si>
    <t xml:space="preserve">Mainstream channel slope (m/m).  </t>
  </si>
  <si>
    <t xml:space="preserve">Manning’s N for channel.  </t>
  </si>
  <si>
    <t xml:space="preserve">Average Upland Slope in m/m. </t>
  </si>
  <si>
    <t xml:space="preserve">Average Upland Slope Length in m.  </t>
  </si>
  <si>
    <t xml:space="preserve">Manning’s N for Upland  </t>
  </si>
  <si>
    <t>Fraction of floodplain flow. (Range: 0-1)</t>
  </si>
  <si>
    <t>Fraction of Subarea which is Urban. (Range:  0-1)</t>
  </si>
  <si>
    <t xml:space="preserve">Channel Length of Routing Reach in km </t>
  </si>
  <si>
    <t xml:space="preserve">Channel Depth of Routing Reach in meters. </t>
  </si>
  <si>
    <t xml:space="preserve">Bottom Width of Channel of Routing Reach in meters </t>
  </si>
  <si>
    <t xml:space="preserve">Top Width of Channel of Routing Reach in meters </t>
  </si>
  <si>
    <t xml:space="preserve">Channel Slope of Routing Reach in m/m.  </t>
  </si>
  <si>
    <t xml:space="preserve">Channel Manning’s N of Routing Reach </t>
  </si>
  <si>
    <t>USLE Crop Management Channel (C) Factor (Range is 0.0001 - 0.6)</t>
  </si>
  <si>
    <t>USLE Erodibility Channel (K) Factor ( Range is 0.0001 - 0.5)</t>
  </si>
  <si>
    <t xml:space="preserve">Floodplain length  Length of buffer/ floodplain in km.  </t>
  </si>
  <si>
    <t xml:space="preserve">Elevation at emergency spillway (meters) </t>
  </si>
  <si>
    <t xml:space="preserve">Total reservoir surface area at emergency spillway elevation (RSEE)  in ha.  </t>
  </si>
  <si>
    <t xml:space="preserve">Elevation at principal spillway (m)  </t>
  </si>
  <si>
    <t xml:space="preserve">Total reservoir surface area at principal spillway elevation (RSEP) in ha. </t>
  </si>
  <si>
    <t xml:space="preserve">Volume at principal spillway elevation in mm.  </t>
  </si>
  <si>
    <t xml:space="preserve">Initial reservoir volumes in mm.  </t>
  </si>
  <si>
    <t xml:space="preserve">Average principal spillway release rate in days. </t>
  </si>
  <si>
    <t xml:space="preserve">Initial sediment concentration in reservoirs in ppm  </t>
  </si>
  <si>
    <t xml:space="preserve">Normal sediment concentration in reservoirs in ppm.  </t>
  </si>
  <si>
    <t xml:space="preserve">Hydraulic conductivity of reservoir bottoms in mm/h.  </t>
  </si>
  <si>
    <t>Time for Sediment Concentrations to Return to Normal (Range: 0-365)</t>
  </si>
  <si>
    <t xml:space="preserve">Bulk density of sediment in reservoir (t/m3)  </t>
  </si>
  <si>
    <t>Fraction of subarea controlled by ponds. (Range: 0-1)</t>
  </si>
  <si>
    <t>Fraction of the Subarea controlled by Buffers. (Range: 0-1)</t>
  </si>
  <si>
    <t xml:space="preserve">Buffer Flow Length (m) </t>
  </si>
  <si>
    <t>Rigidity of  Irrigation Code  (Range: 0-1)</t>
  </si>
  <si>
    <t>Minimum application interval for automatic irrigation. (Range: 0-365)</t>
  </si>
  <si>
    <t>Minimum fertilizer application interval for auto option (Range: 0-365)</t>
  </si>
  <si>
    <t>Liming Code    (Range: 0-1)</t>
  </si>
  <si>
    <t>Furrow Dike Code (Range: 0-1)</t>
  </si>
  <si>
    <t xml:space="preserve">Fertigation Fertilizer from Lagoon.   </t>
  </si>
  <si>
    <t xml:space="preserve">Automatic Solid Manure Application from Feeding Area Stock Pile.   </t>
  </si>
  <si>
    <t xml:space="preserve">Automatic Solid Manure Application </t>
  </si>
  <si>
    <t xml:space="preserve">Water stress factor to trigger automatic irrigation.   </t>
  </si>
  <si>
    <t>Runoff Vol/Vol Irrigation Water Applied. (Range: 0-1)</t>
  </si>
  <si>
    <t xml:space="preserve">Maximum annual irrigation volume in mm.  </t>
  </si>
  <si>
    <t>Minimum single application volume in mm.</t>
  </si>
  <si>
    <t xml:space="preserve">N stress factor to trigger auto fertilization.   </t>
  </si>
  <si>
    <t xml:space="preserve">Maximum annual N fertilizer applied    </t>
  </si>
  <si>
    <t>Time requirement for drainage system to end plant stress in days. (Range: 0-365)</t>
  </si>
  <si>
    <t>Furrow Dike Safety Factor (Range: 0-1)</t>
  </si>
  <si>
    <t>Erosion control practice factor. (Range: 0-10)</t>
  </si>
  <si>
    <t>Fraction of Subarea controlled by lagoon. (Range: 0-1)</t>
  </si>
  <si>
    <t>Lagoon Volume Ratio  (Range: 0-1)</t>
  </si>
  <si>
    <t>Time to Reduce Lagoon Storage From Maximum to Normal  (Range: 0-365)</t>
  </si>
  <si>
    <t xml:space="preserve">Ratio Liquid/Total Manure Produced in this Feedlot Subarea.  </t>
  </si>
  <si>
    <t>Safety factor for lagoon design. (Range: 0-1)</t>
  </si>
  <si>
    <t>Feeding Area Stock Pile Auto Solid Manure Application Rate.  (kg/ha)</t>
  </si>
  <si>
    <t>Automatic Manure application rate.</t>
  </si>
  <si>
    <t>Factor to Adjust Automatic Irrigation Volume</t>
  </si>
  <si>
    <t>Herd(s) Eligible for Grazing this Crop (cols. 1-4)  (Range: 0-10)</t>
  </si>
  <si>
    <t>Herd(s) Eligible for Grazing this Crop  (cols. 37-40)  (Range: 0-10)</t>
  </si>
  <si>
    <t>Irrigation Code (Range: 0-5)</t>
  </si>
  <si>
    <t>Herd(s) Eligible for Grazing this Crop (4 spaces)  (Range: 0-10)</t>
  </si>
  <si>
    <t xml:space="preserve">Lagoon Input From Wash Water (AvG  0.15) (Range: 0-1) (m3/animal unit/day). </t>
  </si>
  <si>
    <t>Runoff volume from reservoir catchment area at emergency spillway elevation (mm)</t>
  </si>
  <si>
    <t xml:space="preserve">Reach Floodplain width ((WSA) X 10000) / (RFPL) X 1000)) (m).  </t>
  </si>
  <si>
    <t>Clockwise Angle of Field Length from North (Range: 0-360)</t>
  </si>
  <si>
    <t>Field Width in kilometers. (Range: 0.001-12)</t>
  </si>
  <si>
    <t>Field Length in kilometers. (Range: 0.001-12)</t>
  </si>
  <si>
    <t>Y Coordinate(Latitude) of subarea centroid. Negative south. (Range: -90 to 90)</t>
  </si>
  <si>
    <t>X Coordinate(Longitude) of subarea centroid. Negative west. (Range: -180 to 180)</t>
  </si>
  <si>
    <t>Extension:</t>
  </si>
  <si>
    <t>Longitude</t>
  </si>
  <si>
    <t>Latitude</t>
  </si>
  <si>
    <t>Y = x/[x+exp (b1-b2*x)]</t>
  </si>
  <si>
    <t>x3</t>
  </si>
  <si>
    <t>x4</t>
  </si>
  <si>
    <t>x1</t>
  </si>
  <si>
    <t>x2</t>
  </si>
  <si>
    <t>xx</t>
  </si>
  <si>
    <t>x6</t>
  </si>
  <si>
    <t>x5</t>
  </si>
  <si>
    <t>x</t>
  </si>
  <si>
    <t>Max</t>
  </si>
  <si>
    <t>SCRP1 =</t>
  </si>
  <si>
    <t>SCRP2 =</t>
  </si>
  <si>
    <t>SOL</t>
  </si>
  <si>
    <t>SALB:</t>
  </si>
  <si>
    <t>HSG:</t>
  </si>
  <si>
    <t>FFC:</t>
  </si>
  <si>
    <t>RFPK:</t>
  </si>
  <si>
    <t>RFTT:</t>
  </si>
  <si>
    <t>GWMX:</t>
  </si>
  <si>
    <t>GWST:</t>
  </si>
  <si>
    <t>WTBL:</t>
  </si>
  <si>
    <t>WTMX:</t>
  </si>
  <si>
    <t>WTMN:</t>
  </si>
  <si>
    <t>XCC:</t>
  </si>
  <si>
    <t>FHP:</t>
  </si>
  <si>
    <t>FBM:</t>
  </si>
  <si>
    <t>ZTK:</t>
  </si>
  <si>
    <t>ZF:</t>
  </si>
  <si>
    <t>ZQT:</t>
  </si>
  <si>
    <t>XIDK:</t>
  </si>
  <si>
    <t>RTN1:</t>
  </si>
  <si>
    <t>XIDS:</t>
  </si>
  <si>
    <t>TSLA:</t>
  </si>
  <si>
    <t>Onward, one column of data per soil layer (up to 10 layers)</t>
  </si>
  <si>
    <t>Z:</t>
  </si>
  <si>
    <t>BD:</t>
  </si>
  <si>
    <t>UW:</t>
  </si>
  <si>
    <t>FC:</t>
  </si>
  <si>
    <t>SAN :</t>
  </si>
  <si>
    <t>SIL :</t>
  </si>
  <si>
    <t>PH:</t>
  </si>
  <si>
    <t>SMB :</t>
  </si>
  <si>
    <t>WOC :</t>
  </si>
  <si>
    <t>CAC :</t>
  </si>
  <si>
    <t>CEC :</t>
  </si>
  <si>
    <t>ROK :</t>
  </si>
  <si>
    <t>CNDS:</t>
  </si>
  <si>
    <t>SSF :</t>
  </si>
  <si>
    <t>RSD :</t>
  </si>
  <si>
    <t>BDD :</t>
  </si>
  <si>
    <t>PSP :</t>
  </si>
  <si>
    <t>SATC:</t>
  </si>
  <si>
    <t>HCL :</t>
  </si>
  <si>
    <t>WPO :</t>
  </si>
  <si>
    <t>ECND:</t>
  </si>
  <si>
    <t>STFR:</t>
  </si>
  <si>
    <t>CPRV:</t>
  </si>
  <si>
    <t>CPRH:</t>
  </si>
  <si>
    <t>WLS :</t>
  </si>
  <si>
    <t>WLM :</t>
  </si>
  <si>
    <t>WLSL:</t>
  </si>
  <si>
    <t>WLSC:</t>
  </si>
  <si>
    <t>WLMC:</t>
  </si>
  <si>
    <t>WLSLC:</t>
  </si>
  <si>
    <t>WLSLNC:</t>
  </si>
  <si>
    <t>WBMC:</t>
  </si>
  <si>
    <t>WHSC:</t>
  </si>
  <si>
    <t>WHPC:</t>
  </si>
  <si>
    <t>WLSN:</t>
  </si>
  <si>
    <t>WLMN:</t>
  </si>
  <si>
    <t>WBMN:</t>
  </si>
  <si>
    <t>WHSN:</t>
  </si>
  <si>
    <t>WHPN:</t>
  </si>
  <si>
    <t>General soil properties (Common to all horizons)</t>
  </si>
  <si>
    <t># LAYER:</t>
  </si>
  <si>
    <t>Descrition:</t>
  </si>
  <si>
    <t xml:space="preserve">   Depth from the soil surface to the bottom of the layer (m) (Range: 0.01-10)</t>
  </si>
  <si>
    <t xml:space="preserve">   Moist Bulk Density (Range: 0.5-2.5)(t/m3) ρb = MS/VT.Bulk density values should fall between 1.1 and 1.9 Mg/m3.</t>
  </si>
  <si>
    <t xml:space="preserve">   Soil water content at wilting point (Range: 0.01-.5) Soil water content at 1500 KPa or -15 bars (m/m) (0 if unknown).</t>
  </si>
  <si>
    <t xml:space="preserve">   Soil Water Content at field capacity (Range: 0.1-0.6) Soil water content at 33 KPa or -1/3 bars (m/m) (0 if unknown).</t>
  </si>
  <si>
    <t xml:space="preserve">   Sand Content (Range: 1-99) The percentage of soil particles which have a diameter between 2.0 and 0.05 mm.</t>
  </si>
  <si>
    <t xml:space="preserve">   Silt Content (Range: 1-99) The percentage of soil particles which have an equivalent diameter between 0.05 and 0.002 mm.</t>
  </si>
  <si>
    <t xml:space="preserve">   Initial organic N Concentration (Range: 100-5000) APEX will initialize levels of organic nitrogen. (g N/Mg or ppm) (0 if unknown).</t>
  </si>
  <si>
    <t xml:space="preserve">   Soil pH. (Range: 3-9) The pH of a solution in equilibrium with soil. </t>
  </si>
  <si>
    <t xml:space="preserve">   Sum of Bases (Range: 0-150) The sum of bases (Ca++, K+, etc.) on the cation exchange complex. (cmol/kg) (0 if unknown).</t>
  </si>
  <si>
    <t xml:space="preserve">   Organic carbon concentration (%).(Range: 0.1-10)</t>
  </si>
  <si>
    <t xml:space="preserve">   Calcium carbonate content of soil (%) (Range: 0-99) (Blank if unknown).</t>
  </si>
  <si>
    <t xml:space="preserve">   Cation exchange capacity (Range: 0-150) (cmol/kg) (0 if unknown).</t>
  </si>
  <si>
    <t xml:space="preserve">   Coarse fragment content (Range: 0-99) The percent of the sample which has a particle diameter &gt; 2 mm. (fraction) (0 if unknown).</t>
  </si>
  <si>
    <t xml:space="preserve">   Initial soluble N concentration (Range: 0.01-500) (g/Mg) (0 if unknown).</t>
  </si>
  <si>
    <t xml:space="preserve">   Initial soluble P concentration (Range: 0.01-500) (g/Mg) (0 if unknown).</t>
  </si>
  <si>
    <t xml:space="preserve">   Crop residue (Range: 0-20) The amount of biomass left in/on the soil from previous crops. (t/ha), (0 if unknown).</t>
  </si>
  <si>
    <t xml:space="preserve">   Dry Bulk density (oven dry) (Range: 0-2.0) Density of the soil after oven drying (t/m3). (0 if unknown)</t>
  </si>
  <si>
    <t xml:space="preserve">   Phosphorus sorption ratio. (Range: 0-0.9) The fraction of phosphorus adsorbed on soil particle surfaces (0 if unknown)</t>
  </si>
  <si>
    <t xml:space="preserve">   Saturated conductivity (Range: 0.00001-100) Rate at which water passes through the soil layer, when saturated. (mm/h). (0 if unknown)</t>
  </si>
  <si>
    <t xml:space="preserve">   Lateral hydraulic conductivity (Range: 0.00001-10) (mm/h) (0 if unknown).</t>
  </si>
  <si>
    <t xml:space="preserve">   Initial organic P concentration (Range: 50-1000) (dry weight basis) (g/t) (0 if unknown).</t>
  </si>
  <si>
    <t xml:space="preserve">   Exchangeable K Concentration (Range: 0-200) (g/t)</t>
  </si>
  <si>
    <t xml:space="preserve">   Electrical Conductivity (Range: 0-50) Conductivity of electricity through water or an extract of soil (mmho/cm)</t>
  </si>
  <si>
    <t xml:space="preserve">   Fraction of Storage Interacting With Nitrate Leaching (Range: 0.05-1) (0 if unknown)</t>
  </si>
  <si>
    <t xml:space="preserve">   Initial Soil Water Storage (Range: 0.001-1) Fraction of field capacity initially available at the start of the simulation.</t>
  </si>
  <si>
    <t xml:space="preserve">   Fraction inflow partitioned to vertical crack or pipe flow (Range: 0-0.5) (0 if unknown).</t>
  </si>
  <si>
    <t xml:space="preserve">   Fraction inflow partitioned to horizontal crack or pipe flow (Range: 0-0.5) (0 if unknown).</t>
  </si>
  <si>
    <t xml:space="preserve">   Structural litter (Range: 0-10000) contains all the lignin from plant residues and roots, fixed C/N ratio (kg/ha) (0 if unknown)</t>
  </si>
  <si>
    <t xml:space="preserve">   Metabolic litter (Range: 0-10000) Readily decomposable and water soluble organic matter. (kg/ha) (0 if unknown)</t>
  </si>
  <si>
    <t xml:space="preserve">   Lignin Content of Structural Litter (Range: 0-10000) (kg/ha) (0 if unknown)</t>
  </si>
  <si>
    <t xml:space="preserve">   Carbon Content of Structural Litter (Range: 0-10000) (kg/ha) (0 if unknown)</t>
  </si>
  <si>
    <t xml:space="preserve">   Carbon Content of Metabolic Litter (Range: 0-10000) (kg/ha) (0 if unknown)</t>
  </si>
  <si>
    <t xml:space="preserve">   Carbon Content of Lignin of Structural Litter (Range: 0-10000) (kg/ha) (0 if unknown)</t>
  </si>
  <si>
    <t xml:space="preserve">   Nitrogen Content of Lignin of Structural Litter (Range: 0-10000) (kg/ha) (0 if unknown)</t>
  </si>
  <si>
    <t xml:space="preserve">   Carbon Content of Biomass (Range: 0-10000) (kg/ha) (0 if unknown)</t>
  </si>
  <si>
    <t xml:space="preserve">   Carbon Content Slow Humus (Range: 0-10000) (kg/ha) (0 if unknown)</t>
  </si>
  <si>
    <t xml:space="preserve">   Carbon Content of Passive Humus (Range: 0-10000) (kg/ha) (0 if unknown)</t>
  </si>
  <si>
    <t xml:space="preserve">   Nitrogen Content of Structural Litter (Range: 0-10000) (kg/ha) (0 if unknown)</t>
  </si>
  <si>
    <t xml:space="preserve">   Nitrogen Content of Metabolic Litter (Range: 0-10000) (kg/ha) (0 if unknown)</t>
  </si>
  <si>
    <t xml:space="preserve">   Nitrogen Content of Biomass (Range: 0-10000) (kg/ha) (0 if unknown)</t>
  </si>
  <si>
    <t xml:space="preserve">   Nitrogen Content of Slow Humus (Range: 0-10000) (kg/ha) (0 if unknown)</t>
  </si>
  <si>
    <t xml:space="preserve">   Nitrogen Content of Passive Humus (Range: 0-10000) (kg/ha) (0 if unknown)</t>
  </si>
  <si>
    <t>Not enabled</t>
  </si>
  <si>
    <t>Owner ID #</t>
  </si>
  <si>
    <t>Shortcuts:</t>
  </si>
  <si>
    <t>Shift + Ctrl + G</t>
  </si>
  <si>
    <t>Shift + Ctrl + B</t>
  </si>
  <si>
    <r>
      <t xml:space="preserve">  Comes </t>
    </r>
    <r>
      <rPr>
        <b/>
        <sz val="11"/>
        <color theme="1"/>
        <rFont val="Calibri"/>
        <family val="2"/>
        <scheme val="minor"/>
      </rPr>
      <t>B</t>
    </r>
    <r>
      <rPr>
        <sz val="11"/>
        <color theme="1"/>
        <rFont val="Calibri"/>
        <family val="2"/>
        <scheme val="minor"/>
      </rPr>
      <t>ack home page (This Tab) from any other tab</t>
    </r>
  </si>
  <si>
    <r>
      <t xml:space="preserve">  </t>
    </r>
    <r>
      <rPr>
        <b/>
        <sz val="11"/>
        <color theme="1"/>
        <rFont val="Calibri"/>
        <family val="2"/>
        <scheme val="minor"/>
      </rPr>
      <t>G</t>
    </r>
    <r>
      <rPr>
        <sz val="11"/>
        <color theme="1"/>
        <rFont val="Calibri"/>
        <family val="2"/>
        <scheme val="minor"/>
      </rPr>
      <t>oes to selected input file (Active cell)</t>
    </r>
  </si>
  <si>
    <t>TAB #1</t>
  </si>
  <si>
    <t>TAB #2</t>
  </si>
  <si>
    <t>TAB #3</t>
  </si>
  <si>
    <t>TAB #4</t>
  </si>
  <si>
    <t>TAB #5</t>
  </si>
  <si>
    <t>TAB #6</t>
  </si>
  <si>
    <t>TAB #7</t>
  </si>
  <si>
    <t>TAB #8</t>
  </si>
  <si>
    <t>TAB #9</t>
  </si>
  <si>
    <t>TAB #10</t>
  </si>
  <si>
    <t>TAB #11</t>
  </si>
  <si>
    <t>TAB #12</t>
  </si>
  <si>
    <t>TAB #14</t>
  </si>
  <si>
    <t>TAB #15</t>
  </si>
  <si>
    <t>TAB #16</t>
  </si>
  <si>
    <t>TAB #17</t>
  </si>
  <si>
    <t>SHEET #</t>
  </si>
  <si>
    <t>TAB NAME</t>
  </si>
  <si>
    <t>A list of monthly weather stations, ordered by weather station number.  This file also gives the latitude, longitude, state and location of the weather station.</t>
  </si>
  <si>
    <t>A list of wind stations, ordered by wind weather station number. This file also gives the latitude, longitude, state and location of the wind station.</t>
  </si>
  <si>
    <t xml:space="preserve">         DESCRIPTION</t>
  </si>
  <si>
    <t xml:space="preserve">Last date modified: </t>
  </si>
  <si>
    <r>
      <t>APEX_</t>
    </r>
    <r>
      <rPr>
        <b/>
        <sz val="12"/>
        <color theme="1"/>
        <rFont val="Calibri"/>
        <family val="2"/>
        <scheme val="minor"/>
      </rPr>
      <t>FILE.</t>
    </r>
    <r>
      <rPr>
        <sz val="12"/>
        <color theme="1"/>
        <rFont val="Calibri"/>
        <family val="2"/>
        <scheme val="minor"/>
      </rPr>
      <t xml:space="preserve">DAT </t>
    </r>
  </si>
  <si>
    <r>
      <t>APEX_</t>
    </r>
    <r>
      <rPr>
        <b/>
        <sz val="12"/>
        <color theme="1"/>
        <rFont val="Calibri"/>
        <family val="2"/>
        <scheme val="minor"/>
      </rPr>
      <t>RUN</t>
    </r>
    <r>
      <rPr>
        <sz val="12"/>
        <color theme="1"/>
        <rFont val="Calibri"/>
        <family val="2"/>
        <scheme val="minor"/>
      </rPr>
      <t>.DAT</t>
    </r>
  </si>
  <si>
    <r>
      <t>APEX_</t>
    </r>
    <r>
      <rPr>
        <b/>
        <sz val="12"/>
        <color theme="1"/>
        <rFont val="Calibri"/>
        <family val="2"/>
        <scheme val="minor"/>
      </rPr>
      <t>CONT</t>
    </r>
    <r>
      <rPr>
        <sz val="12"/>
        <color theme="1"/>
        <rFont val="Calibri"/>
        <family val="2"/>
        <scheme val="minor"/>
      </rPr>
      <t>.DAT</t>
    </r>
  </si>
  <si>
    <r>
      <rPr>
        <b/>
        <sz val="12"/>
        <color theme="1"/>
        <rFont val="Calibri"/>
        <family val="2"/>
        <scheme val="minor"/>
      </rPr>
      <t>PRNT</t>
    </r>
    <r>
      <rPr>
        <sz val="12"/>
        <color theme="1"/>
        <rFont val="Calibri"/>
        <family val="2"/>
        <scheme val="minor"/>
      </rPr>
      <t>_FILE.DAT</t>
    </r>
  </si>
  <si>
    <r>
      <t>APEX_</t>
    </r>
    <r>
      <rPr>
        <b/>
        <sz val="12"/>
        <color theme="1"/>
        <rFont val="Calibri"/>
        <family val="2"/>
        <scheme val="minor"/>
      </rPr>
      <t>DIM</t>
    </r>
    <r>
      <rPr>
        <sz val="12"/>
        <color theme="1"/>
        <rFont val="Calibri"/>
        <family val="2"/>
        <scheme val="minor"/>
      </rPr>
      <t>.DAT</t>
    </r>
  </si>
  <si>
    <r>
      <rPr>
        <b/>
        <sz val="12"/>
        <color theme="1"/>
        <rFont val="Calibri"/>
        <family val="2"/>
        <scheme val="minor"/>
      </rPr>
      <t>WDLST_</t>
    </r>
    <r>
      <rPr>
        <sz val="12"/>
        <color theme="1"/>
        <rFont val="Calibri"/>
        <family val="2"/>
        <scheme val="minor"/>
      </rPr>
      <t>COM.DAT</t>
    </r>
  </si>
  <si>
    <r>
      <rPr>
        <b/>
        <sz val="12"/>
        <color theme="1"/>
        <rFont val="Calibri"/>
        <family val="2"/>
        <scheme val="minor"/>
      </rPr>
      <t>OPS</t>
    </r>
    <r>
      <rPr>
        <sz val="12"/>
        <color theme="1"/>
        <rFont val="Calibri"/>
        <family val="2"/>
        <scheme val="minor"/>
      </rPr>
      <t>_FILE.OPS</t>
    </r>
  </si>
  <si>
    <r>
      <rPr>
        <b/>
        <sz val="12"/>
        <color theme="1"/>
        <rFont val="Calibri"/>
        <family val="2"/>
        <scheme val="minor"/>
      </rPr>
      <t>WPM1</t>
    </r>
    <r>
      <rPr>
        <sz val="12"/>
        <color theme="1"/>
        <rFont val="Calibri"/>
        <family val="2"/>
        <scheme val="minor"/>
      </rPr>
      <t>_FILE.WP1</t>
    </r>
  </si>
  <si>
    <r>
      <rPr>
        <b/>
        <sz val="12"/>
        <color theme="1"/>
        <rFont val="Calibri"/>
        <family val="2"/>
        <scheme val="minor"/>
      </rPr>
      <t>WIND</t>
    </r>
    <r>
      <rPr>
        <sz val="12"/>
        <color theme="1"/>
        <rFont val="Calibri"/>
        <family val="2"/>
        <scheme val="minor"/>
      </rPr>
      <t>_FILE.WND</t>
    </r>
  </si>
  <si>
    <r>
      <rPr>
        <b/>
        <sz val="12"/>
        <color theme="1"/>
        <rFont val="Calibri"/>
        <family val="2"/>
        <scheme val="minor"/>
      </rPr>
      <t>SUB</t>
    </r>
    <r>
      <rPr>
        <sz val="12"/>
        <color theme="1"/>
        <rFont val="Calibri"/>
        <family val="2"/>
        <scheme val="minor"/>
      </rPr>
      <t>AREA_FILE.SUB</t>
    </r>
  </si>
  <si>
    <r>
      <rPr>
        <b/>
        <sz val="12"/>
        <color theme="1"/>
        <rFont val="Calibri"/>
        <family val="2"/>
        <scheme val="minor"/>
      </rPr>
      <t>SOIL</t>
    </r>
    <r>
      <rPr>
        <sz val="12"/>
        <color theme="1"/>
        <rFont val="Calibri"/>
        <family val="2"/>
        <scheme val="minor"/>
      </rPr>
      <t>_FILE.SOL</t>
    </r>
  </si>
  <si>
    <r>
      <t xml:space="preserve">LINE 1:   </t>
    </r>
    <r>
      <rPr>
        <i/>
        <sz val="10"/>
        <color theme="1"/>
        <rFont val="Times New Roman"/>
        <family val="1"/>
      </rPr>
      <t xml:space="preserve">        FORMAT:  20 FIELDS; Four (4) COLUMNS per FIELD (INTEGER)</t>
    </r>
  </si>
  <si>
    <t>TAB #18</t>
  </si>
  <si>
    <r>
      <rPr>
        <b/>
        <sz val="12"/>
        <color theme="1"/>
        <rFont val="Calibri"/>
        <family val="2"/>
        <scheme val="minor"/>
      </rPr>
      <t>OPSC</t>
    </r>
    <r>
      <rPr>
        <sz val="12"/>
        <color theme="1"/>
        <rFont val="Calibri"/>
        <family val="2"/>
        <scheme val="minor"/>
      </rPr>
      <t>_FILE.SUB</t>
    </r>
  </si>
  <si>
    <t>A list of OPC/OPS files (management files).</t>
  </si>
  <si>
    <t xml:space="preserve">      Note/Description</t>
  </si>
  <si>
    <t>BUF</t>
  </si>
  <si>
    <t>SPECIAL FILE FOR BUFFER STRIPS (APEXBUF.OUT)</t>
  </si>
  <si>
    <t>FSA</t>
  </si>
  <si>
    <t>ANNUAL SUBAREA SPECIAL FSA (VB)</t>
  </si>
  <si>
    <t>SW4</t>
  </si>
  <si>
    <t>DAILY OUTPUT FOR SELECTED COMMAND #'S ICMO(FROM .SIT)</t>
  </si>
  <si>
    <t>FNAME</t>
  </si>
  <si>
    <t>OPSC DATA FILE (OPSC*.DAT)</t>
  </si>
  <si>
    <t>SOILS FILE (FILENAME.SOL)</t>
  </si>
  <si>
    <t>WIND DATA FILE (WIND*.DAT)</t>
  </si>
  <si>
    <t>WEATHER FILES (WPM1*.DAT)</t>
  </si>
  <si>
    <t>DAILY WEATHER LIST FILE (WDLST*.DAT)</t>
  </si>
  <si>
    <t>MANAGEMENT FILE (FILENAME.OPC)</t>
  </si>
  <si>
    <t>DIMENSIONS FILE (APEXDIM.DAT)</t>
  </si>
  <si>
    <t xml:space="preserve">PRINT FILE  (PRINT*.DAT)  </t>
  </si>
  <si>
    <t xml:space="preserve">CONTROL FILE (APEXCONT.DAT)  </t>
  </si>
  <si>
    <t xml:space="preserve">RUN FILE (APEXRUN.DAT)  </t>
  </si>
  <si>
    <t xml:space="preserve">New File Name: </t>
  </si>
  <si>
    <t>&lt; - To create new file (Leave blank otherwise)</t>
  </si>
  <si>
    <t>Operation Code</t>
  </si>
  <si>
    <t>Crop category number</t>
  </si>
  <si>
    <t>Plow, cultivate, other</t>
  </si>
  <si>
    <t>Warm season annual legume</t>
  </si>
  <si>
    <t>Kill crop</t>
  </si>
  <si>
    <t>Cold season annual legume</t>
  </si>
  <si>
    <t>Harvest without kill</t>
  </si>
  <si>
    <t>Perennial legume</t>
  </si>
  <si>
    <t>Harvest once during simulation without kill</t>
  </si>
  <si>
    <t>Warm season annual</t>
  </si>
  <si>
    <t>Tractor</t>
  </si>
  <si>
    <t>Cold season annual</t>
  </si>
  <si>
    <t>Plant in rows</t>
  </si>
  <si>
    <t>Perennial</t>
  </si>
  <si>
    <t>Plant with drill</t>
  </si>
  <si>
    <t>Evergreen Tree crop</t>
  </si>
  <si>
    <t>Apply pesticide</t>
  </si>
  <si>
    <t>Deciduous Tree crop</t>
  </si>
  <si>
    <t>Irrigate</t>
  </si>
  <si>
    <t>Cotton</t>
  </si>
  <si>
    <t>Fertilize</t>
  </si>
  <si>
    <t>Leguminous Tree Crop</t>
  </si>
  <si>
    <t>Bagging and Ties (cotton)</t>
  </si>
  <si>
    <t>Unpalatable</t>
  </si>
  <si>
    <t>Ginning</t>
  </si>
  <si>
    <t>Hauling</t>
  </si>
  <si>
    <t>Drying</t>
  </si>
  <si>
    <t>Burn</t>
  </si>
  <si>
    <t>Puddle</t>
  </si>
  <si>
    <t>Destroy puddle</t>
  </si>
  <si>
    <t>Builds furrow dikes</t>
  </si>
  <si>
    <t>Destroys furrow dikes</t>
  </si>
  <si>
    <t>Start grazing</t>
  </si>
  <si>
    <t>Stop grazing</t>
  </si>
  <si>
    <t>Scrape manure from pens</t>
  </si>
  <si>
    <t>Auto mow</t>
  </si>
  <si>
    <t>Plastic cover</t>
  </si>
  <si>
    <t>Remove plastic cover</t>
  </si>
  <si>
    <t>Stop drainage system flow</t>
  </si>
  <si>
    <t>Resume drainage flow</t>
  </si>
  <si>
    <t>Lime application</t>
  </si>
  <si>
    <t>&lt; - To create new management files (Leave blank otherwise)</t>
  </si>
  <si>
    <t>Saturated Conductivity (Green &amp; Ampt) Adjustment Factor (.01_10.)</t>
  </si>
  <si>
    <t>Floodplain Saturated Conductivity Adjustment Factor (.0001_10.)</t>
  </si>
  <si>
    <t>APEX Folder:</t>
  </si>
  <si>
    <t>Maximum single application volume in mm</t>
  </si>
  <si>
    <t>LVx (HARDPAN).SOL</t>
  </si>
  <si>
    <t xml:space="preserve">File Name:  </t>
  </si>
  <si>
    <t xml:space="preserve">   LINES 1-30     FORMAT:  TWO (2) FIELDS OF EIGHT (8) COLUMNS PER FIELD INCLUDING UP TO THREE (3) DECIMAL PLACES (FLOATING)</t>
  </si>
  <si>
    <t xml:space="preserve">   Description</t>
  </si>
  <si>
    <t xml:space="preserve">   Root growth restriction by rock or coarse soil fragments, The number to the left of the decimal is the % coarse fragments, and the number to the right of the decimal is the fraction of root growth restriction.  </t>
  </si>
  <si>
    <t xml:space="preserve">   Soil evaporation – depth.  Soil evaporation as a function of soil depth . The # to the left of decimal is depth (mm), and the number to the right is fraction of soil evaporation between soil surface and specified depth.  </t>
  </si>
  <si>
    <t xml:space="preserve">   Potential harvest index.  The # to the left of decimal is % of growing season, and the number to the right is fraction of harvest index (drives potential harvest index development as a function of crop maturity).  </t>
  </si>
  <si>
    <t xml:space="preserve">   Runoff curve number.  This is an exception to normal s-curve procedures.  The # to the left of the decimal is soil water content, and the number to the right is curve number.  Soil water fraction taken from SCRP(25,n) to match CN2 and CN3 (average and wet condition runoff curve numbers)</t>
  </si>
  <si>
    <t xml:space="preserve">   Soil Cover Factor.  Estimates soil cover factor used in simulating soil temperature.   The number to the left of the decimal is the total above ground plant material dead and alive (T/ha) and the number to the right is the soil cover factor (fraction).   </t>
  </si>
  <si>
    <t xml:space="preserve">   Soil settling rainfall.  The # to the left of decimal is rainfall-runoff adjusted for soil texture and depth (mm), and the number to the right of the decimal is soil settling fraction caused by rainfall.   </t>
  </si>
  <si>
    <t xml:space="preserve">   Aeration stress – root growth.  The # to the left of decimal is % of soil water storage volume between critical aeration factor and saturation, and the number to the right is % reduction in root growth caused by aeration stress.  Determines the root growth aeration stress factor as a function of soil water content and the critical aeration factor for the crop.</t>
  </si>
  <si>
    <t xml:space="preserve">   N or P deficiency stress – based on plant N or P content.  The # to the left of decimal is % of difference between plant N or P content ratios (ratio of actual potential N or P content).  The number to the right is the N or P stress factor (=0.0 when N or P ratio = 0.5; = 1.0 when N or P ratio  = 1).  Determines the plant stress caused by N or P deficiency.</t>
  </si>
  <si>
    <t xml:space="preserve">   Pest damage – temp, water, cover.  The # to the left of the decimal is average daily minimum temperature adjusted for soil cover and 30 day antecedent rainfall minus runoff.  The number to the right is crop yield reduction by pests expressed as a fraction of the difference between 1.0 and the minimum pest factor (PST crop parameter).   Calculates the pest damage factor as a function of temperature, considering thresholds for 30-day rainfall and above ground plant material.  One of several parameters used to regulate pest growth.  See also parm 9 and 10, PSTX in the control file, and PST in the crop file.</t>
  </si>
  <si>
    <t xml:space="preserve">   Harvest Index – Plant Water Use.  The number to the left of the decimal is the % of actual to potential plant water use during the growing season.  The # to the right is the fraction of actual to potential harvest index.   Calculates the effect of water stress on harvest index as a function of plant water use.</t>
  </si>
  <si>
    <t xml:space="preserve">   P plant use – Soil P concentration.  The # to the left of the decimal is the soil labile P concentration (PPM) and the number to the right is the P available in (kg/ha).  Governs P use by plants as a function of soil P concentration.</t>
  </si>
  <si>
    <t xml:space="preserve">   N volatilization, as a function of NH3 depth in soil.  The # to the left of the decimal is depth at the center of soil layer (mm) and the number to the right is the N volatilization in (kg/ha).  Governs n volatilization as a function of soil depth.</t>
  </si>
  <si>
    <t xml:space="preserve">   Calculates wind erosion vegetative cover factor as a function of above ground plant material.  X = vegetative equivalent (C1*BIOM+C2*STD+C3*RSD).  Where C1, C2, and C3 are coefficients, BIOM is above ground biomass, STD is standing dead plant residue, and RSD is flat residue.  The # to the left of decimal is vegetative equivalent in (T/ha) and the number to the right is wind erosion cover factor (fraction).</t>
  </si>
  <si>
    <t xml:space="preserve">   Calculates soil temperature factor used in regulating microbial processes.  X = soil temperature(C).  The # to the left of the decimal is soil temperature and the number to the right is factor (fraction).</t>
  </si>
  <si>
    <t xml:space="preserve">   Plant population in water erosion C-factor.  The # to the left is plant population in plants per m2 or plants per ha for trees and the number to the right is the water erosion cover factor (fraction) or the fraction of erosion control.  Estimates plant population effect on USLE C-factor.</t>
  </si>
  <si>
    <t xml:space="preserve">   Snowmelt function.  Increases snow melt as a function of time since the last snowfall.  The number to the left of the decimal is the time (days) since the last snowfall, and the number to the right of the decimal is the rate of melt as a function of time.</t>
  </si>
  <si>
    <t xml:space="preserve">   Component of the plant water stress factor based on soil water content. The number to the left of the decimal is the ratio of root zone soil water content to plant available water storage volume, and the number to the right of the decimal is the fraction of plant stress due to water stress.  If Parm 38 = 1 then plant water stress is strictly a function of ET.</t>
  </si>
  <si>
    <t xml:space="preserve">   Adjusts CN2 as a function of upland slope steepness. The number to the left of the decimal is the upland slope (%), and the number to the right of the decimal is the fraction that the curve number is adjusted.</t>
  </si>
  <si>
    <t xml:space="preserve">   Regulates feedlot dust emission based on moisture content of litter.  The number to the left of the decimal is the water in liter/weight of litter, and the number to the right of the decimal is the fraction of dust emission control</t>
  </si>
  <si>
    <t xml:space="preserve">   Simulates oxygen content of soil as a function of depth.  Used in microbial processes of residue decay.  The number to the left of the decimal is the depth to center of each soil layer (m) and the number to the right of the decimal is the adjustment to the oxygen content.  This parameter works in conjunction with Parm 53.  (1 – Parm 53) x SCRP20</t>
  </si>
  <si>
    <t xml:space="preserve">   Distance factor in spatial rainfall generator.  The number to the left of the decimal is the distance from storm center to subarea centroid (km) and the number to the right of the decimal is the fraction of rainfall received at the storm center given distance X.</t>
  </si>
  <si>
    <t xml:space="preserve">   Plant Water Stress – Soil Water Tension.  Governs plant water stress as a function of soil water tension.</t>
  </si>
  <si>
    <t xml:space="preserve">   Estimates plant ground cover as a function of leaf area.  The number to the left of the decimal is the leaf area, and the number to the right of the decimal is the fraction of ground cover.</t>
  </si>
  <si>
    <t xml:space="preserve">   Estimates plant ground cover as a function of standing live biomass.  The number to the left of the decimal is the standing live biomass (t/ha), and the number to the right of the decimal is the fraction of ground cover.</t>
  </si>
  <si>
    <t xml:space="preserve">   Simulates O2 content of the soil as a function of Carbon and Clay content.  This S-curve number is used in microbial processes of residue decay.</t>
  </si>
  <si>
    <t xml:space="preserve">   Not used</t>
  </si>
  <si>
    <t xml:space="preserve">   Exception to normal S-Curve procedure – sets soil water contents coinciding with CN2 and CN3.  </t>
  </si>
  <si>
    <t xml:space="preserve">   Definition, units and/or range.</t>
  </si>
  <si>
    <t xml:space="preserve">   Water storage N leaching (Range is from 0 - 1) fraction of soil porosity that interacts with percolating water as nitrogen leaching occurs.    (cols. 25-32)       </t>
  </si>
  <si>
    <t xml:space="preserve">   Soil water lower limit (Range is from 0 - 1) lower limit of water content in the top 0.5 m soil depth expressed as a fraction of the wilting point water content.  (cols. 33-40)</t>
  </si>
  <si>
    <t xml:space="preserve">   N fixation (Range is from 0 - 1) at 1, fixation is limited by soil water or nitrate content or by crop growth stage. At 0 fixation meets crop nitrogen uptake demand. A combination of the two previously described scenarios is obtained by setting 0 &lt; parm(7) &lt; 1.  (cols. 49-56)</t>
  </si>
  <si>
    <t xml:space="preserve">   Soluble phosphorus runoff coefficient. (0.1m3/t), (Range is from 10 - 20). P concentration in sediment divided by that of the water.  (cols. 57-64)</t>
  </si>
  <si>
    <t xml:space="preserve">   Pest damage moisture threshold, (mm), (Range is from 25 - 150), previous 30-day rainfall minus runoff.  One of several parameters used to regulate pest growth.  See also parm 10, PSTX in the control file, PST in the crop file and SCRP (9).  (cols. 65-72)</t>
  </si>
  <si>
    <t xml:space="preserve">   Exponential coefficient used to account for rainfall intensity on curve number </t>
  </si>
  <si>
    <t xml:space="preserve">   Sediment routing travel time coefficient, (Range is from 0.5 - 10.) brings inflow sediment concentration to transport capacity concentration as a function of travel time and mean particle size.  (cols. 33-40)</t>
  </si>
  <si>
    <t xml:space="preserve">   Estimates drainage system lateral hydraulic conductivity (Range is from 0.1 – 10.0)  Drainage HCL is maximum of Parm 83 * vertical SC and APEX estimate considering drainage time and storage.</t>
  </si>
  <si>
    <t xml:space="preserve">   Coefficient regulating P flux between labile and active pool.  (Range is from 0.0001 – 0.001)  </t>
  </si>
  <si>
    <t xml:space="preserve">   Coefficient regulating P flux between active and stable pool.  (Range is from 0.0001 – 0.001)</t>
  </si>
  <si>
    <t xml:space="preserve">   Exponent of Crop Stress Temperature function  (Range is from 0.8 – 2.0)  Setting this parameter to 1 causes no effect.</t>
  </si>
  <si>
    <r>
      <t xml:space="preserve">|-&gt;   Subarea Type: </t>
    </r>
    <r>
      <rPr>
        <sz val="11"/>
        <color rgb="FFFF0000"/>
        <rFont val="Calibri"/>
        <family val="2"/>
        <scheme val="minor"/>
      </rPr>
      <t>Red</t>
    </r>
    <r>
      <rPr>
        <sz val="11"/>
        <color theme="1"/>
        <rFont val="Calibri"/>
        <family val="2"/>
        <scheme val="minor"/>
      </rPr>
      <t xml:space="preserve"> = Gets water | </t>
    </r>
    <r>
      <rPr>
        <sz val="11"/>
        <color rgb="FF0000FF"/>
        <rFont val="Calibri"/>
        <family val="2"/>
        <scheme val="minor"/>
      </rPr>
      <t>Blue</t>
    </r>
    <r>
      <rPr>
        <sz val="11"/>
        <color theme="1"/>
        <rFont val="Calibri"/>
        <family val="2"/>
        <scheme val="minor"/>
      </rPr>
      <t xml:space="preserve"> = Gives water  …         -&gt;|</t>
    </r>
  </si>
  <si>
    <t/>
  </si>
  <si>
    <t>APEXCONT.DAT</t>
  </si>
  <si>
    <t>CPV0</t>
  </si>
  <si>
    <t>CPH0</t>
  </si>
  <si>
    <t>Subarea ID supplying irrigation water from a reservoir</t>
  </si>
  <si>
    <t>Automatic Commercial K Fertilizer Application</t>
  </si>
  <si>
    <t>Automatic Commercial P Fertilizer Application</t>
  </si>
  <si>
    <t xml:space="preserve">Automatic Commercial N ertilizer Application.   </t>
  </si>
  <si>
    <t>IKAT</t>
  </si>
  <si>
    <r>
      <t xml:space="preserve">LINE 1-3:   </t>
    </r>
    <r>
      <rPr>
        <i/>
        <sz val="10"/>
        <rFont val="Times New Roman"/>
        <family val="1"/>
      </rPr>
      <t xml:space="preserve">        COMMENTS - FORMAT:  FREE STRINGS</t>
    </r>
  </si>
  <si>
    <t>YLAT</t>
  </si>
  <si>
    <t>XLOG</t>
  </si>
  <si>
    <t>ELEV</t>
  </si>
  <si>
    <t>APM</t>
  </si>
  <si>
    <t>CO2X</t>
  </si>
  <si>
    <t>CQNX</t>
  </si>
  <si>
    <t>RFNX</t>
  </si>
  <si>
    <t>UPR</t>
  </si>
  <si>
    <t>UNR</t>
  </si>
  <si>
    <t>FIR0</t>
  </si>
  <si>
    <r>
      <t xml:space="preserve">LINE 4            </t>
    </r>
    <r>
      <rPr>
        <i/>
        <sz val="10"/>
        <rFont val="Times New Roman"/>
        <family val="1"/>
      </rPr>
      <t xml:space="preserve"> FORMAT:  10 FIELDS; EIGHT (8) COLUMNS PER FIELD INCLUDING  UP TO TWO DECIMAL PLACES (FLOATING)</t>
    </r>
  </si>
  <si>
    <r>
      <t xml:space="preserve">LINE 5            </t>
    </r>
    <r>
      <rPr>
        <i/>
        <sz val="10"/>
        <rFont val="Times New Roman"/>
        <family val="1"/>
      </rPr>
      <t>10 FIELDS; EIGHT (8) COLUMNS PER FIELD INCLUDING  UP TO TWO DECIMAL PLACES (FLOATING)</t>
    </r>
  </si>
  <si>
    <t>BCHL</t>
  </si>
  <si>
    <t>BCHS</t>
  </si>
  <si>
    <r>
      <t xml:space="preserve">LINE 6            </t>
    </r>
    <r>
      <rPr>
        <i/>
        <sz val="10"/>
        <rFont val="Times New Roman"/>
        <family val="1"/>
      </rPr>
      <t xml:space="preserve"> FORMAT: TWENTY (20) ALPHA CHARACTERS</t>
    </r>
  </si>
  <si>
    <r>
      <t xml:space="preserve">LINE 7            </t>
    </r>
    <r>
      <rPr>
        <i/>
        <sz val="10"/>
        <rFont val="Times New Roman"/>
        <family val="1"/>
      </rPr>
      <t xml:space="preserve"> FORMAT:  TWENTY (20) FIELDS; FOUR (4) COLUMNS PER FIELD (INTEGER)</t>
    </r>
  </si>
  <si>
    <t>WP1</t>
  </si>
  <si>
    <t>WP2</t>
  </si>
  <si>
    <t>WP3</t>
  </si>
  <si>
    <t>WP4</t>
  </si>
  <si>
    <t>WP5</t>
  </si>
  <si>
    <t>WP6</t>
  </si>
  <si>
    <t>WP7</t>
  </si>
  <si>
    <t>WP8</t>
  </si>
  <si>
    <t>WP9</t>
  </si>
  <si>
    <t>WP10</t>
  </si>
  <si>
    <r>
      <t xml:space="preserve">LINE 8            </t>
    </r>
    <r>
      <rPr>
        <i/>
        <sz val="10"/>
        <rFont val="Times New Roman"/>
        <family val="1"/>
      </rPr>
      <t xml:space="preserve"> FORMAT:  10 FIELDS; EIGHT (8) COLUMNS PER FIELD INCLUDING  UP TO TWO DECIMAL PLACES (FLOATING)</t>
    </r>
  </si>
  <si>
    <t>WSA1</t>
  </si>
  <si>
    <t>WSA2</t>
  </si>
  <si>
    <t>WSA3</t>
  </si>
  <si>
    <t>WSA4</t>
  </si>
  <si>
    <t>WSA5</t>
  </si>
  <si>
    <t>WSA6</t>
  </si>
  <si>
    <t>WSA7</t>
  </si>
  <si>
    <t>WSA8</t>
  </si>
  <si>
    <t>WSA9</t>
  </si>
  <si>
    <t>WSA10</t>
  </si>
  <si>
    <t>Comment 1:</t>
  </si>
  <si>
    <t>Comment 2:</t>
  </si>
  <si>
    <t>Comment 3:</t>
  </si>
  <si>
    <t>TAB #19</t>
  </si>
  <si>
    <r>
      <rPr>
        <b/>
        <sz val="12"/>
        <color theme="1"/>
        <rFont val="Calibri"/>
        <family val="2"/>
        <scheme val="minor"/>
      </rPr>
      <t>SIT</t>
    </r>
    <r>
      <rPr>
        <sz val="12"/>
        <color theme="1"/>
        <rFont val="Calibri"/>
        <family val="2"/>
        <scheme val="minor"/>
      </rPr>
      <t>_FILE.SIT</t>
    </r>
  </si>
  <si>
    <t>A study may involve several sites (fields, farms, or watersheds), which can be listed in SITECOM.DAT (or user chosen name).</t>
  </si>
  <si>
    <r>
      <t>APEX_</t>
    </r>
    <r>
      <rPr>
        <b/>
        <sz val="12"/>
        <color theme="1"/>
        <rFont val="Calibri"/>
        <family val="2"/>
        <scheme val="minor"/>
      </rPr>
      <t>CROP</t>
    </r>
    <r>
      <rPr>
        <sz val="12"/>
        <color theme="1"/>
        <rFont val="Calibri"/>
        <family val="2"/>
        <scheme val="minor"/>
      </rPr>
      <t>.CRP</t>
    </r>
  </si>
  <si>
    <r>
      <t>APEX_</t>
    </r>
    <r>
      <rPr>
        <b/>
        <sz val="12"/>
        <color theme="1"/>
        <rFont val="Calibri"/>
        <family val="2"/>
        <scheme val="minor"/>
      </rPr>
      <t>FERT</t>
    </r>
    <r>
      <rPr>
        <sz val="12"/>
        <color theme="1"/>
        <rFont val="Calibri"/>
        <family val="2"/>
        <scheme val="minor"/>
      </rPr>
      <t>.FER</t>
    </r>
  </si>
  <si>
    <r>
      <t>APEX_</t>
    </r>
    <r>
      <rPr>
        <b/>
        <sz val="12"/>
        <color theme="1"/>
        <rFont val="Calibri"/>
        <family val="2"/>
        <scheme val="minor"/>
      </rPr>
      <t>PEST</t>
    </r>
    <r>
      <rPr>
        <sz val="12"/>
        <color theme="1"/>
        <rFont val="Calibri"/>
        <family val="2"/>
        <scheme val="minor"/>
      </rPr>
      <t>.PES</t>
    </r>
  </si>
  <si>
    <r>
      <rPr>
        <b/>
        <sz val="12"/>
        <color theme="1"/>
        <rFont val="Calibri"/>
        <family val="2"/>
        <scheme val="minor"/>
      </rPr>
      <t>PARM</t>
    </r>
    <r>
      <rPr>
        <sz val="12"/>
        <color theme="1"/>
        <rFont val="Calibri"/>
        <family val="2"/>
        <scheme val="minor"/>
      </rPr>
      <t>_FILE.PAR</t>
    </r>
  </si>
  <si>
    <r>
      <t>APEX_</t>
    </r>
    <r>
      <rPr>
        <b/>
        <sz val="12"/>
        <color theme="1"/>
        <rFont val="Calibri"/>
        <family val="2"/>
        <scheme val="minor"/>
      </rPr>
      <t>TILL</t>
    </r>
    <r>
      <rPr>
        <sz val="12"/>
        <color theme="1"/>
        <rFont val="Calibri"/>
        <family val="2"/>
        <scheme val="minor"/>
      </rPr>
      <t>.TIL</t>
    </r>
  </si>
  <si>
    <t>Includes input data for all operation schedules. (Also a valid extension .OPC)</t>
  </si>
  <si>
    <t>Main | Home - APEX Editor  v.2.1.δ for APEX0806</t>
  </si>
  <si>
    <t>Dimension variables for various arrays.  Allows the user to set the arrays according to their needs and ensure the model runs most efficiently for the given data.</t>
  </si>
  <si>
    <t>FILE NAME REFERENCE (APEXFILE.DAT)</t>
  </si>
  <si>
    <t>SUBAREA FILE (SUB0806.SUB)</t>
  </si>
  <si>
    <t xml:space="preserve">TILL FILE  (TILL*.DAT)  </t>
  </si>
  <si>
    <t xml:space="preserve">CROPS FILE (CROP*.DAT)  </t>
  </si>
  <si>
    <t xml:space="preserve">FERTILIZERS FILE  (FERT*.DAT)  </t>
  </si>
  <si>
    <t xml:space="preserve">PESTICIDES FILE (PEST*.DAT)  </t>
  </si>
  <si>
    <t xml:space="preserve">PARAMETERS FILE (PARM*.DAT)  </t>
  </si>
  <si>
    <t xml:space="preserve">APEX SITE FILES (SITE*.SIT) </t>
  </si>
  <si>
    <t>`</t>
  </si>
  <si>
    <t>Elevation and/or Comment</t>
  </si>
  <si>
    <r>
      <t>APEX_</t>
    </r>
    <r>
      <rPr>
        <b/>
        <sz val="12"/>
        <color theme="1"/>
        <rFont val="Calibri"/>
        <family val="2"/>
        <scheme val="minor"/>
      </rPr>
      <t>MAIN</t>
    </r>
    <r>
      <rPr>
        <sz val="12"/>
        <color theme="1"/>
        <rFont val="Calibri"/>
        <family val="2"/>
        <scheme val="minor"/>
      </rPr>
      <t>.HOME</t>
    </r>
  </si>
  <si>
    <t xml:space="preserve">   Number of  Years for Simulation Duration (cols. 1-4)</t>
  </si>
  <si>
    <t xml:space="preserve">   Beginning Year of Simulation (cols. 5-8)</t>
  </si>
  <si>
    <t xml:space="preserve">   Beginning Month of Simulation  (cols. 9-12)</t>
  </si>
  <si>
    <t xml:space="preserve">   Beginning Day of Simulation (cols. 13-16)</t>
  </si>
  <si>
    <t xml:space="preserve">   Print Code for Type of Output (cols. 17-20)</t>
  </si>
  <si>
    <t xml:space="preserve">   Input Code for Weather Variables (cols. 21-24)</t>
  </si>
  <si>
    <t xml:space="preserve">   Number of Times Random Number Generator Cycles Before Simulations Starts (cols. 25-28)</t>
  </si>
  <si>
    <t xml:space="preserve">   Day Weather Generator Stops Generating Daily Weather (cols. 29-32)</t>
  </si>
  <si>
    <t xml:space="preserve">   Leap Year Considered (cols. 33-36) (Range: 0-1)</t>
  </si>
  <si>
    <t xml:space="preserve">   Potential Evapotranspiration Equation Code (cols. 37-40)</t>
  </si>
  <si>
    <t xml:space="preserve">   Stochastic CN Estimator Code (cols. 41-44)</t>
  </si>
  <si>
    <t xml:space="preserve">   Peak Rate Estimate Code (cols. 45-48)  </t>
  </si>
  <si>
    <t xml:space="preserve">   Static Soil Code (cols. 49-52)</t>
  </si>
  <si>
    <t xml:space="preserve">   Automatic Heat Unit Scheduling (cols. 53-56)</t>
  </si>
  <si>
    <t xml:space="preserve">   Non-varying CN-CN2 Used  (cols. 57-60)  (Range: 0-4)</t>
  </si>
  <si>
    <t xml:space="preserve">   Runoff (Q) Estimation Methodology (cols. 61-64)  (Range: 0-4)</t>
  </si>
  <si>
    <t xml:space="preserve">   Pesticide Output in Mass and Concentration (cols. 65-68)  (Range: 0-1)</t>
  </si>
  <si>
    <t xml:space="preserve">   Enrichment Ratio Method (cols. 69-72)</t>
  </si>
  <si>
    <t xml:space="preserve">   Soluble Phosphorus Runoff Estimate Equation (cols. 73-76)  (Range: 0-2)</t>
  </si>
  <si>
    <t xml:space="preserve">   N and P plant uptake concentration code (cols. 77-80)  (Range: 0-1)</t>
  </si>
  <si>
    <t xml:space="preserve">   </t>
  </si>
  <si>
    <t xml:space="preserve">   Air Quality Analysis (cols. 17-20)  (Range: 0-1)</t>
  </si>
  <si>
    <t xml:space="preserve">   Flood Routing (cols. 21-24)  (Range: 0-2)</t>
  </si>
  <si>
    <t xml:space="preserve">   Atmospheric CO2 (cols. 25-28)  (Range: 0-2)</t>
  </si>
  <si>
    <t xml:space="preserve">   Field Capacity/Wilting Point Estimation (cols. 29-32)  (Range: 0-5)</t>
  </si>
  <si>
    <t xml:space="preserve">   Number of times generator seeds are initialized for a site (cols. 33-36)  (Range: 1-100)</t>
  </si>
  <si>
    <t xml:space="preserve">   Data Directory (cols.37-40)  (Range: 0-1)</t>
  </si>
  <si>
    <t xml:space="preserve">   Minimum Interval between auto mow  (cols.41-44)  </t>
  </si>
  <si>
    <t xml:space="preserve">   O2 – depth function (cols. 45-48) (Range: 0-1)</t>
  </si>
  <si>
    <t xml:space="preserve">   Denitrification subprogram (cols. 49-52) (Range: 0-1)</t>
  </si>
  <si>
    <t xml:space="preserve">   Latitude source (cols. 53-56) (Range: 0-1)</t>
  </si>
  <si>
    <t xml:space="preserve">   Auto-Phosphorus Switch (cols. 57-60) (Range: 0-1)</t>
  </si>
  <si>
    <t xml:space="preserve">   Grazing Mode (cols. 61-64) (Range: 0-2)</t>
  </si>
  <si>
    <t xml:space="preserve">   Duration of antecedent period for rainfall and PET accumulation to drive water table. (cols. 65-68) (Range:  )</t>
  </si>
  <si>
    <t xml:space="preserve">   Auto-Potasium Switch (cols. 69-72) (Range: 0-1)</t>
  </si>
  <si>
    <t xml:space="preserve">   Real time day of year (cols. 73-76) (Range: 0-365)</t>
  </si>
  <si>
    <t xml:space="preserve">   Pest damage scaling factor (cols. 25-32)  (Range: 0-10)</t>
  </si>
  <si>
    <t xml:space="preserve">   Number years of maximum monthly 0.5 hour rainfall available.  (cols. 33-40)</t>
  </si>
  <si>
    <t xml:space="preserve">   COEF (0-1) governing wet-dry probabilities given days of rain.  (cols. 41-48)</t>
  </si>
  <si>
    <t xml:space="preserve">   Parameter used to modify exponential rainfall amount distribution (cols. 49-56)</t>
  </si>
  <si>
    <t xml:space="preserve">   Channel Capacity Flow Rate  (cols. 57-64)</t>
  </si>
  <si>
    <t xml:space="preserve">   Exponent in watershed area flow rate equation. (cols. 65-72)  (Range: 0.4-0.6)</t>
  </si>
  <si>
    <t xml:space="preserve">   Average upland slope (m/m) in watershed (cols. 73-80)  (Range: 0.001-0.7)</t>
  </si>
  <si>
    <t xml:space="preserve">   Channel bottom width/depth in m/m; Channel flow rate (QG) &gt; 0. (cols. 1-8)  (Range: 1-20)</t>
  </si>
  <si>
    <t xml:space="preserve">   Floodplain width/channel width in m/m (cols. 9-16)  (Range: 2-50)</t>
  </si>
  <si>
    <t xml:space="preserve">   Maximum ground water storage in mm (cols. 25-32) (Range: 5-200)</t>
  </si>
  <si>
    <t xml:space="preserve">   Ground water residence time in days (cols. 33-40) (Range: 0-365)</t>
  </si>
  <si>
    <t xml:space="preserve">   Return Flow / (Return Flow + Deep Percolation) (cols. 41-48) (Range: 0-1)  Setting this value closer to 1.0 means more flow will be partitioned to return flow.</t>
  </si>
  <si>
    <t xml:space="preserve">   Saturated Conductivity adjustment factor (cols. 49-56)</t>
  </si>
  <si>
    <t xml:space="preserve">   Field length (if wind erosion is to be considered) in kilometers(cols. 57-64)</t>
  </si>
  <si>
    <t xml:space="preserve">   Field width (if wind erosion is to be considered) in kilometers (cols. 65-72)</t>
  </si>
  <si>
    <t xml:space="preserve">   Clockwise angle of field length from north (if wind erosion is to be considered) (cols. 73-80)</t>
  </si>
  <si>
    <t xml:space="preserve">   Power Parameter of Modified Exponential Distribution of Wind Speed (if wind erosion is to be considered) (cols. 1-8)</t>
  </si>
  <si>
    <t xml:space="preserve">   Soil Particle Diameter(if wind erosion is to be considered) (cols. 9-16)</t>
  </si>
  <si>
    <t xml:space="preserve">   Wind Erosion Adjustment Factor (cols. 17-24)</t>
  </si>
  <si>
    <t xml:space="preserve">   Number of years of cultivation at start of simulation (cols. 33-40)</t>
  </si>
  <si>
    <t xml:space="preserve">   Linear coefficient of change in rainfall from east to west (PI/PO/KM)     (cols. 41-48) (Range: 0-1)</t>
  </si>
  <si>
    <t xml:space="preserve">   Linear coefficient of change in rainfall from south to north (PI/PO/KM) (cols. 49-56) (Range: 0-1)</t>
  </si>
  <si>
    <t xml:space="preserve">   Time interval for flood routing (hours) (cols. 57-64) (Range: 0.5-12)</t>
  </si>
  <si>
    <t xml:space="preserve">   Routing Threshold (mm) – VSC routing used when QVOL&gt;QTH             (cols. 65-72) (Range: 0-200000)</t>
  </si>
  <si>
    <t xml:space="preserve">   VSC Routing used when reach storage &gt; STND (cols. 73-80)                (Range: 0-200000)</t>
  </si>
  <si>
    <t xml:space="preserve">   Equation for Water Erosion   (cols. 1-8) (Range: 0-7)</t>
  </si>
  <si>
    <t xml:space="preserve">   Fraction of subareas controlled by ponds (cols. 9-16) (Range: 0-1)</t>
  </si>
  <si>
    <t xml:space="preserve">   USLE Crop Management Channel Factor  (cols. 17-24)</t>
  </si>
  <si>
    <t xml:space="preserve">   Fraction inflow partitioned to horizontal crack or pipe flow (cols. 41-48) (Range: 0-0.9)</t>
  </si>
  <si>
    <t xml:space="preserve">   A list of site files that can be selected to create runs.  The input data for each of the site files is contained in the filename.sit files.</t>
  </si>
  <si>
    <t xml:space="preserve">   A list of subareas that can be selected to create runs.  The input data for each of the subarea files is contained in the filename.sub files.</t>
  </si>
  <si>
    <t xml:space="preserve">   A list of monthly weather stations, ordered by weather station number which can be used in creating runs.  This file also gives the latitude, longitude, state and location of the weather station.</t>
  </si>
  <si>
    <t xml:space="preserve">   A list of wind stations, ordered by wind weather station number, which can be used in creating runs.  This file also gives the latitude, longitude, state and location of the wind station.</t>
  </si>
  <si>
    <t xml:space="preserve">   Crop parameter file.  This file is a list of crops and the associated crop parameters needed by APEX to simulate crop growth.</t>
  </si>
  <si>
    <t xml:space="preserve">   A list of field operations (equipment) and the associated tillage input data.</t>
  </si>
  <si>
    <t xml:space="preserve">   A list of pesticides and the associated input data.</t>
  </si>
  <si>
    <t xml:space="preserve">   A list of fertilizers and the associated input data.</t>
  </si>
  <si>
    <t xml:space="preserve">   A list of soil files that can be selected to create runs.  The input data for each of the soil files is contained in the filename.sol files.</t>
  </si>
  <si>
    <t xml:space="preserve">   List of available operation schedules which can be used to create runs.  The input data for each of the operation files is contained in the filename.ops files.</t>
  </si>
  <si>
    <t xml:space="preserve">   Data for TR55 runoff estimation</t>
  </si>
  <si>
    <t xml:space="preserve">   Equation parameters and coefficients</t>
  </si>
  <si>
    <t xml:space="preserve">   Provides for multiple runs at the same site by including an option for selecting consecutive weather seeds and water erosion without reloading the inputs.</t>
  </si>
  <si>
    <t xml:space="preserve">   Includes the control data for printing select output variables in the sections of the APEX0806.out file and other summary files.</t>
  </si>
  <si>
    <t xml:space="preserve">   Includes parameters for simulating herds of animals and grazing.</t>
  </si>
  <si>
    <t xml:space="preserve">   A list of daily weather stations and their corresponding latitude and longitude values ordered by weather station number which can be used in creating runs.</t>
  </si>
  <si>
    <t xml:space="preserve">   A list of point source files.</t>
  </si>
  <si>
    <t xml:space="preserve">   A list of less-than-daily interval (hourly, quarter hourly, etc.) weather stations.</t>
  </si>
  <si>
    <t xml:space="preserve">   Run name and/or #number (provides a unique id for each run so that output files are not written over)</t>
  </si>
  <si>
    <t xml:space="preserve">   Monthly weather station number; must be one of the stations in the WPM1US.dat file; if left blank, APEX will use the latitude and longitude from ISIT to choose a station with a latitude and longitude closest to the latitude and longitude identified in the ISIT.</t>
  </si>
  <si>
    <t xml:space="preserve">   Wind Station number; must be one of the stations in the WINDUS.dat file; if left blank, APEX will use the lat and long from ISIT to choose a station.</t>
  </si>
  <si>
    <t xml:space="preserve">   0 for normal run; &gt; 0 for runs using .SOT files</t>
  </si>
  <si>
    <t xml:space="preserve">   Within storm rainfall station number from RFDTLST.DAT</t>
  </si>
  <si>
    <t xml:space="preserve">SNUM  </t>
  </si>
  <si>
    <t xml:space="preserve">TITLE  </t>
  </si>
  <si>
    <t xml:space="preserve">  </t>
  </si>
  <si>
    <t xml:space="preserve">INPS  </t>
  </si>
  <si>
    <t xml:space="preserve">IOPS  </t>
  </si>
  <si>
    <t xml:space="preserve">IOW  </t>
  </si>
  <si>
    <t xml:space="preserve">II  </t>
  </si>
  <si>
    <t xml:space="preserve">IAPL  </t>
  </si>
  <si>
    <t xml:space="preserve">NVCN  </t>
  </si>
  <si>
    <t xml:space="preserve">IWTH  </t>
  </si>
  <si>
    <t xml:space="preserve">IPTS  </t>
  </si>
  <si>
    <t xml:space="preserve">ISAO  </t>
  </si>
  <si>
    <t xml:space="preserve">LUNS  </t>
  </si>
  <si>
    <t xml:space="preserve">IMW  </t>
  </si>
  <si>
    <t xml:space="preserve">SNO  </t>
  </si>
  <si>
    <t xml:space="preserve">STDO  </t>
  </si>
  <si>
    <t xml:space="preserve">YCT  </t>
  </si>
  <si>
    <t xml:space="preserve">XCT  </t>
  </si>
  <si>
    <t xml:space="preserve">AZM  </t>
  </si>
  <si>
    <t xml:space="preserve">FL  </t>
  </si>
  <si>
    <t xml:space="preserve">FW  </t>
  </si>
  <si>
    <t xml:space="preserve">ANGL  </t>
  </si>
  <si>
    <t xml:space="preserve">WSA  </t>
  </si>
  <si>
    <t xml:space="preserve">SLP   </t>
  </si>
  <si>
    <t xml:space="preserve">SPLG  </t>
  </si>
  <si>
    <t xml:space="preserve">FFPQ  </t>
  </si>
  <si>
    <t xml:space="preserve">URBF  </t>
  </si>
  <si>
    <t xml:space="preserve">RCHL  </t>
  </si>
  <si>
    <t xml:space="preserve">RCHC  </t>
  </si>
  <si>
    <t xml:space="preserve">RCHK  </t>
  </si>
  <si>
    <t xml:space="preserve">SAT1  </t>
  </si>
  <si>
    <t xml:space="preserve">FPS1  </t>
  </si>
  <si>
    <t xml:space="preserve">RSEE  </t>
  </si>
  <si>
    <t xml:space="preserve">RSAE  </t>
  </si>
  <si>
    <t xml:space="preserve">RSVE  </t>
  </si>
  <si>
    <t xml:space="preserve">RSEP  </t>
  </si>
  <si>
    <t xml:space="preserve">RSAP  </t>
  </si>
  <si>
    <t xml:space="preserve">RSVP  </t>
  </si>
  <si>
    <t xml:space="preserve">RSV  </t>
  </si>
  <si>
    <t xml:space="preserve">RSRR  </t>
  </si>
  <si>
    <t xml:space="preserve">RSYS  </t>
  </si>
  <si>
    <t xml:space="preserve">RSYN  </t>
  </si>
  <si>
    <t xml:space="preserve">RSHC  </t>
  </si>
  <si>
    <t xml:space="preserve">RSDP  </t>
  </si>
  <si>
    <t xml:space="preserve">RSBD  </t>
  </si>
  <si>
    <t xml:space="preserve">PCOF  </t>
  </si>
  <si>
    <t xml:space="preserve">BCOF  </t>
  </si>
  <si>
    <t xml:space="preserve">BFFL  </t>
  </si>
  <si>
    <t xml:space="preserve">NIRR  </t>
  </si>
  <si>
    <t xml:space="preserve">IRR  </t>
  </si>
  <si>
    <t xml:space="preserve">IRI  </t>
  </si>
  <si>
    <t xml:space="preserve">IFA  </t>
  </si>
  <si>
    <t xml:space="preserve">LM  </t>
  </si>
  <si>
    <t xml:space="preserve">IFD  </t>
  </si>
  <si>
    <t xml:space="preserve">IDR  </t>
  </si>
  <si>
    <t xml:space="preserve">IDF1  </t>
  </si>
  <si>
    <t xml:space="preserve">IDF2  </t>
  </si>
  <si>
    <t xml:space="preserve">IDF3  </t>
  </si>
  <si>
    <t xml:space="preserve">IDF4  </t>
  </si>
  <si>
    <t xml:space="preserve">IDF5  </t>
  </si>
  <si>
    <t xml:space="preserve">IDF6  </t>
  </si>
  <si>
    <t xml:space="preserve">IRRS  </t>
  </si>
  <si>
    <t xml:space="preserve">BIR  </t>
  </si>
  <si>
    <t xml:space="preserve">EFI  </t>
  </si>
  <si>
    <t xml:space="preserve">VIMX  </t>
  </si>
  <si>
    <t xml:space="preserve">ARMN  </t>
  </si>
  <si>
    <t xml:space="preserve">ARMX  </t>
  </si>
  <si>
    <t xml:space="preserve">BFT  </t>
  </si>
  <si>
    <t xml:space="preserve">FNP4  </t>
  </si>
  <si>
    <t xml:space="preserve">FMX  </t>
  </si>
  <si>
    <t xml:space="preserve">DRT  </t>
  </si>
  <si>
    <t xml:space="preserve">FDSF  </t>
  </si>
  <si>
    <t xml:space="preserve">PEC  </t>
  </si>
  <si>
    <t xml:space="preserve">DALG  </t>
  </si>
  <si>
    <t xml:space="preserve">VLGN  </t>
  </si>
  <si>
    <t xml:space="preserve">COWW  </t>
  </si>
  <si>
    <t xml:space="preserve">DDLG  </t>
  </si>
  <si>
    <t xml:space="preserve">SOLQ  </t>
  </si>
  <si>
    <t xml:space="preserve">SFLG  </t>
  </si>
  <si>
    <t xml:space="preserve">FNP2  </t>
  </si>
  <si>
    <t xml:space="preserve">FNP5  </t>
  </si>
  <si>
    <t xml:space="preserve">FIRG  </t>
  </si>
  <si>
    <t xml:space="preserve">XTP (1)  </t>
  </si>
  <si>
    <t xml:space="preserve">XTP (2)  </t>
  </si>
  <si>
    <t xml:space="preserve">XTP (3)  </t>
  </si>
  <si>
    <t xml:space="preserve">XTP (4)  </t>
  </si>
  <si>
    <t xml:space="preserve">XTP (5)  </t>
  </si>
  <si>
    <t xml:space="preserve">XTP (6)  </t>
  </si>
  <si>
    <t xml:space="preserve">XTP (7)  </t>
  </si>
  <si>
    <t xml:space="preserve">XTP (8)  </t>
  </si>
  <si>
    <t xml:space="preserve">XTP (9)  </t>
  </si>
  <si>
    <t xml:space="preserve">XTP(10)  </t>
  </si>
  <si>
    <t xml:space="preserve">  Leave Blank</t>
  </si>
  <si>
    <t xml:space="preserve">  Weather parameter number for spatial weather generation.</t>
  </si>
  <si>
    <t xml:space="preserve">  Fraction of watershed area (WSA) represented by weather station number selected above (IWPM). For spatial weather generation (Range: 0-1)</t>
  </si>
  <si>
    <t>ICP</t>
  </si>
  <si>
    <t>NTV</t>
  </si>
  <si>
    <t xml:space="preserve">   0 For NCNMI_PHOENIX; &gt; 0 For NCNMI_CENTURY</t>
  </si>
  <si>
    <t xml:space="preserve">   0 For original APEX NITVOL EQS; &gt; 0 For Izaurralde revised NITVOL Eqs</t>
  </si>
  <si>
    <t xml:space="preserve">   ISAP = NBSA to print monthly .OUT For 1 Subarea</t>
  </si>
  <si>
    <t>fert1.dat</t>
  </si>
  <si>
    <t>LINE 43</t>
  </si>
  <si>
    <t>LINE 42</t>
  </si>
  <si>
    <t>XKN5</t>
  </si>
  <si>
    <t>XKN3</t>
  </si>
  <si>
    <t>XKN1</t>
  </si>
  <si>
    <t>CBVT</t>
  </si>
  <si>
    <t xml:space="preserve">   Regulates flow between soluble and exchangeable k pools</t>
  </si>
  <si>
    <t xml:space="preserve">   Regulates flow between exchangeable and fixed k pools </t>
  </si>
  <si>
    <t xml:space="preserve">   Century slow humus transformation rate(d^-1)(0.00041_0.00068) original value = 0.000548</t>
  </si>
  <si>
    <t xml:space="preserve">   Century passive humus transformation rate(d^-1)(0.0000082 - 0.000015) original value = 0.000012  </t>
  </si>
  <si>
    <t xml:space="preserve">   CRLNC =  Lower nc ratio of biomass - point at which CR = 0 and transformations of structural litter and metabolic litter are unimpeded by nc ratio of biomass</t>
  </si>
  <si>
    <t xml:space="preserve">   CRUNC = Upper nc ratio of biomass - point at which CR = 1 and transformations of structural litter and metabolic litter areunimpeded by nc ratio of biomass</t>
  </si>
  <si>
    <t xml:space="preserve">   WKA = Specific base rate for ammonification (d-1)</t>
  </si>
  <si>
    <t xml:space="preserve">   WNCMIN = BMNC at which immobilization is a maximum; BMNC at which ammonification ceases</t>
  </si>
  <si>
    <t xml:space="preserve">   WNCMAX = BMNC at which immobilization ceases; BMNC at which ammonification is a maximum</t>
  </si>
  <si>
    <t xml:space="preserve">   VMU = Maximum rate of uptake of n during immobilization (gn (gc-1) d-1)</t>
  </si>
  <si>
    <t xml:space="preserve">   WKMNH3 = Half saturation constant for ammonia immobilization (mg n l-1)</t>
  </si>
  <si>
    <t xml:space="preserve">   WKMNO2 = Half saturation constant for nitrite immobilization (mg n l-1)</t>
  </si>
  <si>
    <t xml:space="preserve">   WKMNO3 = Half saturation constant for nitrate immobilization (mg n l-1)</t>
  </si>
  <si>
    <t xml:space="preserve">   NO3 reduction</t>
  </si>
  <si>
    <t xml:space="preserve">   NO2 reduction</t>
  </si>
  <si>
    <t xml:space="preserve">   N2O reduction</t>
  </si>
  <si>
    <t xml:space="preserve">   Needs description</t>
  </si>
  <si>
    <t>Soil number from soil list (SOIL.DAT)</t>
  </si>
  <si>
    <t>Operation schedule from operation schedule list (OPSC.DAT)</t>
  </si>
  <si>
    <t>SIT</t>
  </si>
  <si>
    <t>SUB</t>
  </si>
  <si>
    <t xml:space="preserve">  Maximum # of pesticides </t>
  </si>
  <si>
    <t xml:space="preserve">  Maximum # years in crop rotation </t>
  </si>
  <si>
    <t xml:space="preserve">  Maximum # of tillage operations</t>
  </si>
  <si>
    <t xml:space="preserve">  Maximum # of crops used </t>
  </si>
  <si>
    <t xml:space="preserve">  Maximum # animals herds </t>
  </si>
  <si>
    <t xml:space="preserve">  Maximum # buy/sell livestock transactions  </t>
  </si>
  <si>
    <t xml:space="preserve">  Maximum # fertilizer </t>
  </si>
  <si>
    <t xml:space="preserve">  Maximum # point sources </t>
  </si>
  <si>
    <t xml:space="preserve">  Maximum # of hydrograph points </t>
  </si>
  <si>
    <t xml:space="preserve">  Maximum # of days for storm hydrograph base</t>
  </si>
  <si>
    <t xml:space="preserve">  Maximum # of subareas  </t>
  </si>
  <si>
    <t>SOT</t>
  </si>
  <si>
    <t>PRINTS OUT .SOT FILES</t>
  </si>
  <si>
    <t>APEX Executable Name:</t>
  </si>
  <si>
    <t>IPRK</t>
  </si>
  <si>
    <t xml:space="preserve">   Select method to calculate percolation. IPRK = 0 FOR HPERC (original); IPRK &gt; 0 FOR HPERC1 (4MM Slug Flow)  (Range: 0-1)</t>
  </si>
  <si>
    <t>SOILC DATA FILE (SOILC*.DAT)</t>
  </si>
  <si>
    <t xml:space="preserve">   Fraction inflow partitioned to verticle crack or pipe flow (cols. 33-40) (Range: 0-1)</t>
  </si>
  <si>
    <t>DZDN</t>
  </si>
  <si>
    <t>DTG</t>
  </si>
  <si>
    <t xml:space="preserve">   Time interval for gas differential equations (h)</t>
  </si>
  <si>
    <t xml:space="preserve">   Layer thickness for differential equation SOLN to gas differential equations (m)</t>
  </si>
  <si>
    <t xml:space="preserve">   Slope length / steepness factor</t>
  </si>
  <si>
    <t xml:space="preserve">   Subarea file number; must be one of the subarea files listed in the SUBALIST.DAT file.</t>
  </si>
  <si>
    <t xml:space="preserve">   Site number; must be one of the sites listed in the SITELIST.DAT file.</t>
  </si>
  <si>
    <t xml:space="preserve">   Interval for solid manure scraping (d)  (Range: 0-365)</t>
  </si>
  <si>
    <t xml:space="preserve">   Manure application code (Range: 0-3)</t>
  </si>
  <si>
    <t xml:space="preserve">   Day of year to trigger lagoon pumping (cols. 5-8)  (Range: 0-365)</t>
  </si>
  <si>
    <t xml:space="preserve">   Average concentration of nitrogen in rainfall  (ppm)</t>
  </si>
  <si>
    <t xml:space="preserve">   Carbon dioxide concentration in atmosphere (ppm)</t>
  </si>
  <si>
    <t xml:space="preserve">   Concentration of NO3-N in irrigation water in ppm (ppm)  (Range: 0-1000)</t>
  </si>
  <si>
    <t xml:space="preserve">   Grazing limit  (t/ha)</t>
  </si>
  <si>
    <t xml:space="preserve">   Salt Concentration in Irrigation Water (ppm)</t>
  </si>
  <si>
    <t xml:space="preserve">   Soluble Phosphorus Leaching KD value  (Range is from 1.0 – 15.0) This value is used in the Langemeier phosphorus leaching equations.  </t>
  </si>
  <si>
    <t xml:space="preserve">   Root mass weighting factor (0.00 - 1.00). </t>
  </si>
  <si>
    <t xml:space="preserve">   Runoff Volume Adjustment for Direct Link (NVCN = 0) (Range is from 0.1 to 2.0)  Inversely related to runoff.  Used like Parm 42 in CN index method (NVCN = 4). </t>
  </si>
  <si>
    <t xml:space="preserve">   Flood Evaporation Limit (Range is from 0.001 – 1)  Allows for limiting of evaporation of flood waters during flooding. Regulates evaporation from channel and floodplain. </t>
  </si>
  <si>
    <t xml:space="preserve">   Nitrogen and Salt Upward movement by evaporation coefficient (Range is from 0.001 – 20.0) Regulates the upward movement of N and salt by evaporation.  </t>
  </si>
  <si>
    <t xml:space="preserve">   Water table recession coefficient  (Range is from 0.001 – 1.0)  </t>
  </si>
  <si>
    <t xml:space="preserve">   Subsurface flow factor (Range is from 1.0 – 100.0)  Traditional value is 2.0. </t>
  </si>
  <si>
    <t xml:space="preserve">   Partitions Nitrogen flow from groundwater (Range is from 0.0 – 20.0) Parm 74 = NCH/NCV.  RSFN = RSSF*NCH; DPKN = DPRK*NCV.  NCH = horizontal nitrogen concentration; NCV = vertical nitrogen concentration; RSFN = Subarea soluble N yield in return flow ; RSSF = Return subsurface flow ; DPKN = Soluble N in deep percolation; DPRK = Deep percolation. </t>
  </si>
  <si>
    <t xml:space="preserve">   Volatilization/nitrification partitioning coefficient (Range is from 0.05 - 0.5).  </t>
  </si>
  <si>
    <t xml:space="preserve">   Microbial decay rate coefficient (Range is from 0.5 - 1.5).  Adjusts soil water-temperature-oxygen equation. </t>
  </si>
  <si>
    <t xml:space="preserve">   Coefficient adjusts microbial activity function in the top soil layer, (Range is from 0.1 - 1).   </t>
  </si>
  <si>
    <t xml:space="preserve">   Soil water Upward Flow Limit (Range is from 0.05 – 0.95) Limits water tension ratio used to move water from a lower layer to the one above it.  </t>
  </si>
  <si>
    <t xml:space="preserve">   Winter dormancy (h) (Range is from 0 - 1) causes dormancy in winter grown crops. Growth does not occur when day length is less than annual minimum day length + parm(6). </t>
  </si>
  <si>
    <t xml:space="preserve">   Root growth-soil strength (Range is from 1 - 2).  Normally 1.15&lt;parm(2)&lt;1.2.  Set to 1.5 to minimize soil strength constraint on root growth. Setting Parm(2)&gt;2 eliminates all root growth stress.  </t>
  </si>
  <si>
    <t xml:space="preserve">   Crop canopy-PET (Range is from 1 - 2) factor used to adjust crop canopy resistance in the Penman-Monteith PET equation.  </t>
  </si>
  <si>
    <t xml:space="preserve">   Water stress-harvest index (Range is from 0 - 1) sets fraction of growing season when water stress starts reducing harvest index.</t>
  </si>
  <si>
    <t xml:space="preserve">   Pest damage cover threshold, (t/ha), (Range is from 1 - 10), crop residue + above ground biomass.  This is the amount of cover required for pests to begin to grow.  Setting parm 10 at a large number (50) will result in little or no pest growth because it will be impossible to reach such high levels of cover.  One of several parameters used to regulate pest growth.  See also parm 9, PSTX in the control file, PST in the crop file and SCRP (9).  </t>
  </si>
  <si>
    <t xml:space="preserve">   Moisture required for seed germination, (mm), (Range is from 10 - 30), soil water stored minus wilting point storage in the plow depth (plow layer depth = parm(43)).  If the amount of moisture in the plow layer is not equal to or greater than Parm 11, germination will not occur.  Setting this parm to a negative number such as (-100) essentially turns this parm off and the seed will germinate regardless of moisture amount in the soil. </t>
  </si>
  <si>
    <t xml:space="preserve">   Soil evaporation coefficient, (Range is from 1.5 - 2.5), governs rate of soil evaporation from top 0.2 m of soil.  </t>
  </si>
  <si>
    <t xml:space="preserve">   Wind erodibility coefficient, (Range is from 0 - 3), adjusts wind soil erodibility factor downward as loose material is eroded.  </t>
  </si>
  <si>
    <t xml:space="preserve">   Nitrate leaching ratio, (Range is from 0.1 - 1), Ratio of nitrate concentration in surface runoff to nitrate concentration in percolate.  </t>
  </si>
  <si>
    <t xml:space="preserve">   Runoff CN Residue Adjustment Parameter (Range is from 0.0 - 0.3).  Increases runoff for RSD &lt; 1.0 t/ha;  Decreases for RSD &gt; 1.0 t/ha.  </t>
  </si>
  <si>
    <t xml:space="preserve">   Expands CN retention parameter (Range is from 1.0 - 1.5).  Values &gt; 1.0 expand CN retention and reduce runoff. </t>
  </si>
  <si>
    <t xml:space="preserve">   Soil evaporation – plant cover factor (Range is from 0.00 - 0.5).  Reduces effect of plant cover as related to LAI in regulating soil evaporation.  </t>
  </si>
  <si>
    <t xml:space="preserve">   Sediment routing exponent (Range is from 1 - 1.5) exponent of water velocity function for estimating potential sediment concentration.  </t>
  </si>
  <si>
    <t xml:space="preserve">   Sediment routing coefficient, (t/m3)( Range is from 0.01 - 0.05) potential sediment concentration when flow velocity = 1.   (m/s).  </t>
  </si>
  <si>
    <t xml:space="preserve">   Runoff curve number initial abstraction (Range is from 0.05 - 0.4) </t>
  </si>
  <si>
    <t xml:space="preserve">   Soluble Carbon adsorption Coefficient (0.1m3/t) (Range is from 10 - 20).  Carbon concentration in sediment divided by that in water. </t>
  </si>
  <si>
    <t xml:space="preserve">   Reduces NRCS Runoff CN Retention Parameter for Frozen Soil.  (Range is from 0.05 – 0.5)  Fraction of S (Retention Parameter) Frozen Soil  </t>
  </si>
  <si>
    <t xml:space="preserve">   Hargreaves PET equation coefficient (Range is from 0.0023 - 0.0032), original value = 0.0023, current value = 0.0032 </t>
  </si>
  <si>
    <t xml:space="preserve">   Pesticide leaching ratio (Range is from 0.1 - 1) Ratio of pesticide concentration in surface runoff to pesticide concentration in percolation. </t>
  </si>
  <si>
    <t xml:space="preserve">   Fraction of maturity at spring growth initiation (Range is from 0 - 1) allows fall growing crops to reset heat unit index to a value greater than 0 when passing through the minimum temperature month. </t>
  </si>
  <si>
    <t xml:space="preserve">   CEC effect on nitrification &amp; volatilization (Range is from 0 - 1) sets lower limit of CEC correction factor in nit/vol function. At 0 CEC should prevent nit/vol process. At 1 CEC has no effect on nit/vol.  </t>
  </si>
  <si>
    <t xml:space="preserve">   Upper Nitrogen Fixation limit (Range is from 0.1 – 20) This value sets the upper daily limit of nitrogen fixation by legumes. (kg/ha/day)</t>
  </si>
  <si>
    <t xml:space="preserve">   Biological mixing efficiency (Range is from 0.1 - 0.5) simulates mixing in top soil by earth worms etc. Parm (31) sets depth for this action.  </t>
  </si>
  <si>
    <t xml:space="preserve">   Maximum depth for biological mixing, (m), (Range is from 0.1 - 0.3)  </t>
  </si>
  <si>
    <t xml:space="preserve">   Organic P loss exponent, (Range is from 1 - 1.2)  Provides nonlinear effect for organic P loss equation. </t>
  </si>
  <si>
    <t xml:space="preserve">   Coefficient in MUST EQ (Range is from 2.0 – 3.0).  Original value = 2.5. </t>
  </si>
  <si>
    <t xml:space="preserve">   Hargreaves PET equation exponent (Range is from 0.5 - 0.6) original value=0.5. Modified to 0.6 to increase PET. </t>
  </si>
  <si>
    <t xml:space="preserve">   Upper Limit of Daily Denitrification rate (Range is from 0.0001 – 0.5)  Maximum fraction of NO3 in a soil layer subject to denitrification. </t>
  </si>
  <si>
    <t xml:space="preserve">   Exponent in Delivery Ratio for SWAT Output  (Range is from 0.1 – 0.6)  Tranforms APEX small watershed sediment yield to 8-digit basin sediment yield for SWAT input.  Normally 0.5—lower values increase sediment yield to SWAT </t>
  </si>
  <si>
    <t xml:space="preserve">   Water stress weighting coefficient (Range is from  0 - 1) at 0 plant water stress is strictly a function of soil water content; at 1 plant water stress is strictly a function of actual ET divided by potential ET. 0&lt;parm 38&lt;1 considers both approaches. See also SCRP 17.  </t>
  </si>
  <si>
    <t xml:space="preserve">   Puddling Saturated Conductivity (mm/h) (Range is from 0.00001 – 0.1)  Simulates puddling in rice paddies by setting second soil layer saturated conductivity to a low value. </t>
  </si>
  <si>
    <t xml:space="preserve">   Groundwater storage threshold (Range is from 0.001 - 1.) fraction of groundwater storage that initiates return flow.  Return flow will not occur unless the fraction of maximum groundwater storage &gt; Parm 40. </t>
  </si>
  <si>
    <t xml:space="preserve">   Plant root temperature stress exponent (Range is from 0.1 - 2.) exponent of ratio of soil layer temperature to average of plant optimal and base temperatures. </t>
  </si>
  <si>
    <t xml:space="preserve">   SCS curve number index coefficient (Range is from 0.3 -2.5) regulates the effect of PET in driving the SCS curve number retention parameter. </t>
  </si>
  <si>
    <t xml:space="preserve">   Plow layer depth (m) used to track soluble phosphorus concentration or weight, organic carbon, and soil water content.</t>
  </si>
  <si>
    <t xml:space="preserve">   Upper Limit of Curve Number Retention Parameter S(Range is from 1.0 - 2.0)   SUL=PARM(44)*S1.   Allows CN to go below CN1. </t>
  </si>
  <si>
    <t xml:space="preserve">   RUSLE C-factor coefficient (Range is from 0.5 - 1.5) coefficient in exponential residue function in residue factor.  </t>
  </si>
  <si>
    <t xml:space="preserve">   RUSLE C-factor coefficient (Range is from 0.5 - 1.5) coefficient in exponential crop height function in biomass factor. </t>
  </si>
  <si>
    <t xml:space="preserve">   Maximum rainfall interception by plant canopy (mm) (Range is from 0.0 - 15.0)  </t>
  </si>
  <si>
    <t xml:space="preserve">   Rainfall interception coefficient, (Range is from 0.05 - 0.3)  </t>
  </si>
  <si>
    <t xml:space="preserve">   Water stored in litter (residue) coefficient (Range is from 0.1 - 0.9).  Fraction of litter weight.  </t>
  </si>
  <si>
    <t xml:space="preserve">   Exponential coefficient in EQUATION expressing tillage effect on residue decay rate (Range is from 5.0 – 15.0)  </t>
  </si>
  <si>
    <t xml:space="preserve">   Coefficient in oxygen EQUATION used in modifying microbial activity with soil depth (Range is from 0.8 - 0.95)  See also SCRP 20.    </t>
  </si>
  <si>
    <t xml:space="preserve">   N enrichment ratio coefficient for routing (Range is from 0.3 - 0.9)  GLEAMS equation  ERTO = min (3.5, Parm 54/CIN Parm 55) </t>
  </si>
  <si>
    <t xml:space="preserve">   N enrichment ratio exponent for routing (Range is from 0.1 - 0.3)   Used for GLEAMS equation. </t>
  </si>
  <si>
    <t xml:space="preserve">   Fraction destroyed by burn operation (Range is from 0.5 -1.0)  </t>
  </si>
  <si>
    <t xml:space="preserve">   P enrichment ratio coefficient for routing (Range is from 0.05 – 2.0)  GLEAMS equation  ERTP = Parm 57 / (CY) Parm 58) </t>
  </si>
  <si>
    <t xml:space="preserve">   P enrichment ratio exponent for routing (Range is from 0.3 - 0.9)   Used for GLEAMS equation. </t>
  </si>
  <si>
    <t xml:space="preserve">   P upward movement by evaporation coefficient (Range is from 1 - 20)  </t>
  </si>
  <si>
    <t xml:space="preserve">   Maximum number of days a pasture is grazed before rotation (Range is from 1 - 365)  </t>
  </si>
  <si>
    <t xml:space="preserve">   Manure erosion equation coefficient, (Range is from 0.1 - 0.5) larger values increase manure erosion.  </t>
  </si>
  <si>
    <t xml:space="preserve">   N Enrichment Ratio for Delivery to SWAT, (Range is from 0.8 - 1.2) Enrichment ratio for application to 8-digit sediment yield supplied to SWAT. </t>
  </si>
  <si>
    <t xml:space="preserve">   Dust distribution coefficient, (Range is from 0.5 - 1.5) affects downwind travel time.  </t>
  </si>
  <si>
    <t xml:space="preserve">   RUSLE2 transport capacity parameter (Range is from 0.001 - 0.1) Regulates deposition as a function of particle size and flow rate. </t>
  </si>
  <si>
    <t xml:space="preserve">   RUSLE2 threshold transport capacity coefficient (Range is from 1.0-10.0) Adjusts threshold (FLOW RATE * SLOPE STEEPNESS)  </t>
  </si>
  <si>
    <t xml:space="preserve">   Dust distribution dispersion exponent (Range is from 5.0 - 15.0) modifies the effect of the angle between the wind direction and the centroid of downwind subareas.   </t>
  </si>
  <si>
    <t xml:space="preserve">   Manure erosion exponent  (Range is from 0.1 - 1.0) modifies equation based on weight of manure on soil surface.  </t>
  </si>
  <si>
    <t xml:space="preserve">   Manure erosion coefficient (Range is from 1.0 -1.5).  Modifies erosion estimate based on above ground plant material. Plant material (live and dead) reduces manure erosion.  </t>
  </si>
  <si>
    <t xml:space="preserve">   P Enrichment Ratio for Delivery to SWAT   (Range is from 0.05 - 1.5).  Enrichment ratio for application to 8-digit sediment yield supplied to SWAT</t>
  </si>
  <si>
    <t xml:space="preserve">   Standing Dead fall rate coefficient (Range is from 0.0001 – 0.1).  Governs rate of standing dead conversion to flat residue</t>
  </si>
  <si>
    <t xml:space="preserve">   Runoff amount to delay pest application (mm) (Range is from 0.0 – 25.0).  Pesticide is not applied on days with runoff greater than Parm 77. </t>
  </si>
  <si>
    <t xml:space="preserve">   Soil water value to delay tillage (Range is from 0 – 1) Tillage is delayed when PDSW/FCSW&gt;Parm 78.  PDSW = Plow depth soil water content; FCSW = Field capacity soil water content. </t>
  </si>
  <si>
    <t xml:space="preserve">   Auto mow lower limit (t/ha) (Range is from 0.2 – 3.0)  This parameter will prevent auto mowing by setting the above ground plant material that must be present in order for the model to allow auto mowing to occur.  If the amount of above ground plant material is less than or equal the value set for Parm 79, the model will not allow auto mowing to occur until the amount of plant material is greater than Parm 79.  </t>
  </si>
  <si>
    <t xml:space="preserve">   Upper Limit of Nitrification-Volatilization (Range is from 0.0 – 0.5)  Fraction of NH3 present. </t>
  </si>
  <si>
    <t xml:space="preserve">   Technology Coefficient (Range is from 0.0 – 0.01)  Linear adjustment to harvest index—base year = 2000 </t>
  </si>
  <si>
    <t xml:space="preserve">   Not used </t>
  </si>
  <si>
    <t xml:space="preserve">   Limits daily water table movement  (Range is from 0.001 – 1.0)  Fraction of difference between WTBL and WTMN or WTMX.  </t>
  </si>
  <si>
    <t xml:space="preserve">   Water table recession exponent  (Range is from 0.1 – 0.9)  Exponent of day of year/365 </t>
  </si>
  <si>
    <t xml:space="preserve">   Water Erosion Threshold (Range is from 0 – 10).  (t/ha) This parameter sets a threshold which enables the model to count the number of water erosion events that are greater than the set threshold. </t>
  </si>
  <si>
    <t xml:space="preserve">   Wind Erosion Threshold (Range is from 0 – 10).  (t/ha) This parameter sets a threshold which enables the model to count the number of wind erosion events that are greater than the set threshold. </t>
  </si>
  <si>
    <t xml:space="preserve">   Cost of Irrigation Water ($/mm) </t>
  </si>
  <si>
    <t xml:space="preserve">   Cost of Lime ($/tonne) </t>
  </si>
  <si>
    <t xml:space="preserve">   Cost of Fuel ($/liter) </t>
  </si>
  <si>
    <t xml:space="preserve">   Cost of Labor ($/hour) </t>
  </si>
  <si>
    <t>SCRP2</t>
  </si>
  <si>
    <t xml:space="preserve">CHD   </t>
  </si>
  <si>
    <t xml:space="preserve">CHL   </t>
  </si>
  <si>
    <t xml:space="preserve">CHS   </t>
  </si>
  <si>
    <t xml:space="preserve">CHN   </t>
  </si>
  <si>
    <t xml:space="preserve">UPN   </t>
  </si>
  <si>
    <t xml:space="preserve">RCHD   </t>
  </si>
  <si>
    <t xml:space="preserve">RCBW   </t>
  </si>
  <si>
    <t xml:space="preserve">RCTW   </t>
  </si>
  <si>
    <t xml:space="preserve">RCHS   </t>
  </si>
  <si>
    <t xml:space="preserve">RCHN   </t>
  </si>
  <si>
    <t xml:space="preserve">RFPW   </t>
  </si>
  <si>
    <t xml:space="preserve">RFPL   </t>
  </si>
  <si>
    <t>Artificial drainage systems depth in mm (Range: 0-2500)</t>
  </si>
  <si>
    <t xml:space="preserve">NY (1)  </t>
  </si>
  <si>
    <t xml:space="preserve">NY (2)  </t>
  </si>
  <si>
    <t xml:space="preserve">NY (3)  </t>
  </si>
  <si>
    <t xml:space="preserve">NY (4)  </t>
  </si>
  <si>
    <t xml:space="preserve">NY (5)  </t>
  </si>
  <si>
    <t xml:space="preserve">NY (6)  </t>
  </si>
  <si>
    <t xml:space="preserve">NY (7)  </t>
  </si>
  <si>
    <t xml:space="preserve">NY (8)  </t>
  </si>
  <si>
    <t xml:space="preserve">NY (9)  </t>
  </si>
  <si>
    <t xml:space="preserve">NY(10)  </t>
  </si>
  <si>
    <t xml:space="preserve">Grazing limit for each herd. Minimum amount of plant material for grazing to occur (t/ha) </t>
  </si>
  <si>
    <t xml:space="preserve">  Latitude of watershed in decimal degrees used to estimate day length (S-, N+). (Range: -90 to 90)</t>
  </si>
  <si>
    <t xml:space="preserve">  Longitude of watershed in decimal degrees (Range:-180 to 180)             </t>
  </si>
  <si>
    <t xml:space="preserve">  Average watershed elevation (m) (Range: -200 to 8000)</t>
  </si>
  <si>
    <t xml:space="preserve">  Peak runoff rate – rainfall energy adjustment factor for fine tuning the energy factor water erosion. (Range: 0-1)</t>
  </si>
  <si>
    <t xml:space="preserve">  Concentration of NO3 in irrigation water. Non-zero value overrides the CQN input in the APEXCONT.DAT.   (Range: 0-1000)(ppm)  </t>
  </si>
  <si>
    <t xml:space="preserve">  Average concentration of Nitrogen in rainfall (ppm) (Range: 0.5-1.5)</t>
  </si>
  <si>
    <t xml:space="preserve">  Manure application rate to supply P uptake rate (kg/ha/yr) (Range: 0-1000)</t>
  </si>
  <si>
    <t xml:space="preserve">  Manure application rate to supply N uptake rate in kg/ha/yr  (Range: 0-1000)</t>
  </si>
  <si>
    <t xml:space="preserve">  Factor to adjust auto irrigation volume </t>
  </si>
  <si>
    <t xml:space="preserve">  SWAT Basin Channel Length in kilometers </t>
  </si>
  <si>
    <t xml:space="preserve">  SWAT Basin Channel Slope in m/m </t>
  </si>
  <si>
    <t xml:space="preserve">  CO2 Concentration in the atmosphere (ppm) (Range: 0-1000)</t>
  </si>
  <si>
    <t xml:space="preserve">Number of days above threshold for water erosion </t>
  </si>
  <si>
    <t xml:space="preserve">Number of days above threshold for wind erosion </t>
  </si>
  <si>
    <t>ºC</t>
  </si>
  <si>
    <r>
      <t>º</t>
    </r>
    <r>
      <rPr>
        <sz val="10"/>
        <color theme="1"/>
        <rFont val="Times New Roman"/>
        <family val="1"/>
      </rPr>
      <t>C</t>
    </r>
  </si>
  <si>
    <t>Defaults</t>
  </si>
  <si>
    <t>Auto fert fixed application rate (kg/ha)</t>
  </si>
  <si>
    <t>PESTCOM.DAT</t>
  </si>
  <si>
    <t>IREM</t>
  </si>
  <si>
    <t xml:space="preserve">   SSK for Water Erosion Setting (Range: 0-1) </t>
  </si>
  <si>
    <t>Min depth to water table(m)(Blank if unknown)</t>
  </si>
  <si>
    <t>Max depth to water table(m)(Blank if unknown)</t>
  </si>
  <si>
    <t>Initial water table height(m)(Blank if unknown)</t>
  </si>
  <si>
    <t>Groundwater storage (mm)</t>
  </si>
  <si>
    <t>Maximum groundwater storage (mm)</t>
  </si>
  <si>
    <t>Groundwater residence time(d)(Blank if unknown)</t>
  </si>
  <si>
    <t>Return flow / (return flow + deep percolation)</t>
  </si>
  <si>
    <t xml:space="preserve">WTMN  </t>
  </si>
  <si>
    <t xml:space="preserve">WTMX  </t>
  </si>
  <si>
    <t xml:space="preserve">WTBL  </t>
  </si>
  <si>
    <t xml:space="preserve">GWST  </t>
  </si>
  <si>
    <t xml:space="preserve">GWMX  </t>
  </si>
  <si>
    <t xml:space="preserve">RFTT  </t>
  </si>
  <si>
    <t xml:space="preserve">RFPK  </t>
  </si>
  <si>
    <t>WON:</t>
  </si>
  <si>
    <t>SWST:</t>
  </si>
  <si>
    <t xml:space="preserve">   Iron content(%)                          </t>
  </si>
  <si>
    <t xml:space="preserve">   Sulfur content(%)                        </t>
  </si>
  <si>
    <t xml:space="preserve">   Soil horizon(a,b,c)                      </t>
  </si>
  <si>
    <t xml:space="preserve">   O2 conc in gas phase (g/m3 of soil air)  </t>
  </si>
  <si>
    <t>CGCO2:</t>
  </si>
  <si>
    <t>CGN2O:</t>
  </si>
  <si>
    <t>FE26:</t>
  </si>
  <si>
    <t>SULF:</t>
  </si>
  <si>
    <t>ASHZ:</t>
  </si>
  <si>
    <t>CGO2:</t>
  </si>
  <si>
    <t>DHN:</t>
  </si>
  <si>
    <t xml:space="preserve">   CO2 conc in gas phase (g/m3 of soil air) </t>
  </si>
  <si>
    <t xml:space="preserve">   N2O conc in gas phase (g/m3 of soil air) </t>
  </si>
  <si>
    <t>MIR</t>
  </si>
  <si>
    <t xml:space="preserve">  Maximum # irrigation applications</t>
  </si>
  <si>
    <t>GWSP</t>
  </si>
  <si>
    <t xml:space="preserve">  Ground water slope (m/m)</t>
  </si>
  <si>
    <t>DUMMY</t>
  </si>
  <si>
    <t>SIT0005.SIT</t>
  </si>
  <si>
    <t>MRH</t>
  </si>
  <si>
    <t>MGZ</t>
  </si>
  <si>
    <t>DNC</t>
  </si>
  <si>
    <t>DHS</t>
  </si>
  <si>
    <t>DGN</t>
  </si>
  <si>
    <t>DPD</t>
  </si>
  <si>
    <t>MONTHLY REACH FILE ANNUAL GIS REACH FILE FOR SELECTED COMMAND #'S ICMO(FROM .SIT)</t>
  </si>
  <si>
    <t>MONTHLY GRAZING FILE</t>
  </si>
  <si>
    <t xml:space="preserve">DAILY NITROGEN/CARBON CESAR IZAURRALDE </t>
  </si>
  <si>
    <t xml:space="preserve">DAILY HYDROLOGY/SOIL                                                             </t>
  </si>
  <si>
    <t>DAILY GENERAL OUTPUT (VAR AFTER COMMAND LOOP IN BSIM)</t>
  </si>
  <si>
    <t xml:space="preserve">DAILY PADDY OUTPUT </t>
  </si>
  <si>
    <t>FPS0</t>
  </si>
  <si>
    <t xml:space="preserve">   Floodplain saturated hydraulic conductivity adjustment factor (0.1-10)</t>
  </si>
  <si>
    <t>Initial Conditions (Line 1)</t>
  </si>
  <si>
    <t>Initial Conditions (Line 3)</t>
  </si>
  <si>
    <t>Catchment Characteristics (Line 4)</t>
  </si>
  <si>
    <t>Channel Geometry of Routing Reach through Subarea (Line 5)</t>
  </si>
  <si>
    <t>Reservoir Data (Lines 6 &amp; 7)</t>
  </si>
  <si>
    <t>IRRW</t>
  </si>
  <si>
    <t>ID of SA supplying irrigation water from a well</t>
  </si>
  <si>
    <t>Management Information (Lines 8 to 10)</t>
  </si>
  <si>
    <t>Herds (Line 11)</t>
  </si>
  <si>
    <t>Grazing (Line 12)</t>
  </si>
  <si>
    <t>For APEX1501 (Rel. 20170515)</t>
  </si>
  <si>
    <t>APEX Editor Rev.1706</t>
  </si>
  <si>
    <t xml:space="preserve">   Generates rainfall distributions at dthy time intervals using an S curve</t>
  </si>
  <si>
    <t xml:space="preserve">   Used in a subprogram estimates daily loss of sol N by denitrification</t>
  </si>
  <si>
    <t>NOT USED</t>
  </si>
  <si>
    <t xml:space="preserve">   NOT USED</t>
  </si>
  <si>
    <t xml:space="preserve">   GZRF</t>
  </si>
  <si>
    <r>
      <t xml:space="preserve">LINE 2             </t>
    </r>
    <r>
      <rPr>
        <i/>
        <sz val="10"/>
        <rFont val="Times New Roman"/>
        <family val="1"/>
      </rPr>
      <t>FORMAT:  TWENTY (20) FIELDS; Four (4) COLUMNS per FIELD (INTEGER)</t>
    </r>
  </si>
  <si>
    <r>
      <t xml:space="preserve">LINE 3             </t>
    </r>
    <r>
      <rPr>
        <i/>
        <sz val="10"/>
        <rFont val="Times New Roman"/>
        <family val="1"/>
      </rPr>
      <t>FORMAT:  10 FIELDS; Eight (8) COLUMNS PER FIELD INCLUDING  UP TO TWO  DECIMAL PLACES (fLOATING)</t>
    </r>
  </si>
  <si>
    <r>
      <t xml:space="preserve">LINE 4            </t>
    </r>
    <r>
      <rPr>
        <i/>
        <sz val="10"/>
        <rFont val="Times New Roman"/>
        <family val="1"/>
      </rPr>
      <t xml:space="preserve"> FORMAT:  10 FIELDS; Eight (8) COLUMNS PER FIELD INCLUDING  UP TO TWO  DECIMAL PLACES (fLOATING)</t>
    </r>
  </si>
  <si>
    <r>
      <t xml:space="preserve">LINE 5            </t>
    </r>
    <r>
      <rPr>
        <i/>
        <sz val="10"/>
        <rFont val="Times New Roman"/>
        <family val="1"/>
      </rPr>
      <t xml:space="preserve"> FORMAT:  10 FIELDS; Eight (8) COLUMNS PER FIELD INCLUDING  UP TO TWO   DECIMAL PLACES (fLOATING)</t>
    </r>
  </si>
  <si>
    <r>
      <t xml:space="preserve">LINE 6            </t>
    </r>
    <r>
      <rPr>
        <i/>
        <sz val="10"/>
        <rFont val="Times New Roman"/>
        <family val="1"/>
      </rPr>
      <t xml:space="preserve"> FORMAT:  10 FIELDS; Eight (8) COLUMNS PER FIELD INCLUDING  UP TO TWO DECIMAL PLACES (fLOATING)</t>
    </r>
  </si>
  <si>
    <t>SAEL</t>
  </si>
  <si>
    <t>Subarea elevation (m)</t>
  </si>
  <si>
    <t>IHAY</t>
  </si>
  <si>
    <t xml:space="preserve">   IHAY for no hay feeding</t>
  </si>
  <si>
    <t>PSOCOM.DAT</t>
  </si>
  <si>
    <t>RFDTLST.DAT</t>
  </si>
  <si>
    <t>TR2W40LP</t>
  </si>
  <si>
    <t>POWE</t>
  </si>
  <si>
    <t>TRACTOR 2WD  40 HP  LP</t>
  </si>
  <si>
    <t>TR2W40GS</t>
  </si>
  <si>
    <t>TRACTOR 2WD  40 HP  GAS</t>
  </si>
  <si>
    <t>TR2W40DS</t>
  </si>
  <si>
    <t>TRACTOR 2WD  40 HP DIESEL</t>
  </si>
  <si>
    <t>TR2W55LP</t>
  </si>
  <si>
    <t>TRACTOR 2WD  55 HP  LP</t>
  </si>
  <si>
    <t>TR2W55GS</t>
  </si>
  <si>
    <t>TRACTOR 2WD  55 HP  GAS</t>
  </si>
  <si>
    <t>TR2W55DS</t>
  </si>
  <si>
    <t>TRACTOR 2WD  55 HP DIESEL</t>
  </si>
  <si>
    <t>TR2W85LP</t>
  </si>
  <si>
    <t>TRACTOR 2WD  85 HP  LP</t>
  </si>
  <si>
    <t>TR2W85GS</t>
  </si>
  <si>
    <t>TRACTOR 2WD  85 HP  GAS</t>
  </si>
  <si>
    <t>TR2W85DS</t>
  </si>
  <si>
    <t>TRACTOR 2WD  85 HP DIESEL</t>
  </si>
  <si>
    <t>TR2100LP</t>
  </si>
  <si>
    <t>TRACTOR 2WD 100 HP  LP</t>
  </si>
  <si>
    <t>HORSE</t>
  </si>
  <si>
    <t>TR2100DS</t>
  </si>
  <si>
    <t>TRACTOR 2WD 100 HP DIESEL</t>
  </si>
  <si>
    <t>TR2135DS</t>
  </si>
  <si>
    <t>TRACTOR 2WD 135 HP DIESEL</t>
  </si>
  <si>
    <t>TR2160DS</t>
  </si>
  <si>
    <t>TRACTOR 2WD 160 HP DIESEL</t>
  </si>
  <si>
    <t>TR2175DS</t>
  </si>
  <si>
    <t>TRACTOR 2WD 175 HP DIESEL</t>
  </si>
  <si>
    <t>TR2205DS</t>
  </si>
  <si>
    <t>TRACTOR 2WD 205 HP DIESEL</t>
  </si>
  <si>
    <t>TR2225DS</t>
  </si>
  <si>
    <t>TRACTOR 2WD 225 HP DIESEL</t>
  </si>
  <si>
    <t>TR2290DS</t>
  </si>
  <si>
    <t>TRACTOR 2WD 290 HP DIESEL</t>
  </si>
  <si>
    <t>TR4W40DS</t>
  </si>
  <si>
    <t>TRACTOR 4WD  40 HP DIESEL</t>
  </si>
  <si>
    <t>TR4W55DS</t>
  </si>
  <si>
    <t>TRACTOR 4WD  55 HP DIESEL</t>
  </si>
  <si>
    <t>TR4W85DS</t>
  </si>
  <si>
    <t>TRACTOR 4WD  85 HP DIESEL</t>
  </si>
  <si>
    <t>TR4100DS</t>
  </si>
  <si>
    <t>TRACTOR 4WD 100 HP DIESEL</t>
  </si>
  <si>
    <t>TR4135DS</t>
  </si>
  <si>
    <t>TRACTOR 4WD 135 HP DIESEL</t>
  </si>
  <si>
    <t>TR4160DS</t>
  </si>
  <si>
    <t>TRACTOR 4WD 160 HP DIESEL</t>
  </si>
  <si>
    <t>TR4175DS</t>
  </si>
  <si>
    <t>TRACTOR 4WD 175 HP DIESEL</t>
  </si>
  <si>
    <t>TR4205DS</t>
  </si>
  <si>
    <t>TRACTOR 4WD 205 HP DIESEL</t>
  </si>
  <si>
    <t>TR4225DS</t>
  </si>
  <si>
    <t>TRACTOR 4WD 225 HP DIESEL</t>
  </si>
  <si>
    <t>TR4290DS</t>
  </si>
  <si>
    <t>TRACTOR 4WD 290 HP DIESEL</t>
  </si>
  <si>
    <t>4W40HPDS</t>
  </si>
  <si>
    <t>4W ASST  40 HP DIESEL</t>
  </si>
  <si>
    <t>4W55HPDS</t>
  </si>
  <si>
    <t>4W ASST  55 HP DIESEL</t>
  </si>
  <si>
    <t>4W85HPDS</t>
  </si>
  <si>
    <t>4W ASST  85 HP DIESEL</t>
  </si>
  <si>
    <t>4W100DS</t>
  </si>
  <si>
    <t>4W ASST 100 HP DIESEL</t>
  </si>
  <si>
    <t>4W135DS</t>
  </si>
  <si>
    <t>4W ASST 135 HP DIESEL</t>
  </si>
  <si>
    <t>4W175DS</t>
  </si>
  <si>
    <t>4W ASST 175 HP DIESEL</t>
  </si>
  <si>
    <t>4W205DS</t>
  </si>
  <si>
    <t>4W ASST 205 HP DIESEL</t>
  </si>
  <si>
    <t>4W225DS</t>
  </si>
  <si>
    <t>4W ASST 225 HP DIESEL</t>
  </si>
  <si>
    <t>4W290DS</t>
  </si>
  <si>
    <t>4W ASST 290 HP DIESEL</t>
  </si>
  <si>
    <t>CRAW40DS</t>
  </si>
  <si>
    <t>CRAWLER  40 HP DIESEL</t>
  </si>
  <si>
    <t>CRAW55DS</t>
  </si>
  <si>
    <t>CRAWLER  55 HP DIESEL</t>
  </si>
  <si>
    <t>CRAW85DS</t>
  </si>
  <si>
    <t>CRAWLER  85 HP DIESEL</t>
  </si>
  <si>
    <t>CRW100DS</t>
  </si>
  <si>
    <t>CRAWLER 100 HP DIESEL</t>
  </si>
  <si>
    <t>CRW135DS</t>
  </si>
  <si>
    <t>CRAWLER 135 HP DIESEL</t>
  </si>
  <si>
    <t>CRW160DS</t>
  </si>
  <si>
    <t>CRAWLER 160 HP DIESEL</t>
  </si>
  <si>
    <t>CRW175DS</t>
  </si>
  <si>
    <t>CRAWLER 175 HP DIESEL</t>
  </si>
  <si>
    <t>CRW205DS</t>
  </si>
  <si>
    <t>CRAWLER 205 HP DIESEL</t>
  </si>
  <si>
    <t>CRW225DS</t>
  </si>
  <si>
    <t>CRAWLER 225 HP DIESEL</t>
  </si>
  <si>
    <t>CRW290DS</t>
  </si>
  <si>
    <t>CRAWLER 290 HP DIESEL</t>
  </si>
  <si>
    <t>DRLLNT24</t>
  </si>
  <si>
    <t>NON</t>
  </si>
  <si>
    <t>DRILL NO-TILL 24 FT</t>
  </si>
  <si>
    <t>PLBEET8R</t>
  </si>
  <si>
    <t>BEET PLANTER 8 ROW</t>
  </si>
  <si>
    <t>PLPOTATO</t>
  </si>
  <si>
    <t>POTATO PLANTER</t>
  </si>
  <si>
    <t>PLTRAN4R</t>
  </si>
  <si>
    <t>TRANSPLANTER 4-ROW 12FT</t>
  </si>
  <si>
    <t>DRPLDG14</t>
  </si>
  <si>
    <t>PLRG12RW</t>
  </si>
  <si>
    <t>PLANTER REGULAR 12 ROW</t>
  </si>
  <si>
    <t>PLNTL6RW</t>
  </si>
  <si>
    <t>PLANTER NO-TILL 6 ROW</t>
  </si>
  <si>
    <t>PLRDT6RW</t>
  </si>
  <si>
    <t>PLANTER RIDGE TILL 6 ROW</t>
  </si>
  <si>
    <t>AERLSEED</t>
  </si>
  <si>
    <t>CUST</t>
  </si>
  <si>
    <t>AERIAL SEEDING</t>
  </si>
  <si>
    <t>BRDCSEED</t>
  </si>
  <si>
    <t>BROADCAST SEEDER</t>
  </si>
  <si>
    <t>ROWCGE15</t>
  </si>
  <si>
    <t>ROW CULTIVATOR GE15FT</t>
  </si>
  <si>
    <t>FLDCLT36</t>
  </si>
  <si>
    <t>FIELD CULTIVATOR 36FT</t>
  </si>
  <si>
    <t>HRW10BAR</t>
  </si>
  <si>
    <t>HARROW 10 BAR TINE 36 FT</t>
  </si>
  <si>
    <t>CULPKPUL</t>
  </si>
  <si>
    <t>CULTI-PACKER PULVERIZER</t>
  </si>
  <si>
    <t>LANDLEVL</t>
  </si>
  <si>
    <t>LAND PLANE-LEVELER</t>
  </si>
  <si>
    <t>LISTRMID</t>
  </si>
  <si>
    <t>LISTER (MIDDLE-BUSTER)</t>
  </si>
  <si>
    <t>SANDFIGT</t>
  </si>
  <si>
    <t>SAND-FIGHTER</t>
  </si>
  <si>
    <t>SEEDROLL</t>
  </si>
  <si>
    <t>SEEDBED ROLLER</t>
  </si>
  <si>
    <t>FLEXGE20</t>
  </si>
  <si>
    <t>FLEX-TINE HARROW CL GE20F</t>
  </si>
  <si>
    <t>SPIKGT25</t>
  </si>
  <si>
    <t>SPIKE TOOTH HARROW GT25FT</t>
  </si>
  <si>
    <t>SPTHGE15</t>
  </si>
  <si>
    <t>SPRINGTOOTH HARROW GE15FT</t>
  </si>
  <si>
    <t>ROTHOE</t>
  </si>
  <si>
    <t>ROTARY HOE</t>
  </si>
  <si>
    <t>ROTOTILL</t>
  </si>
  <si>
    <t>ROTO-TILLER</t>
  </si>
  <si>
    <t>BEETPULL</t>
  </si>
  <si>
    <t>BEET PULLER</t>
  </si>
  <si>
    <t>CHPLLE15</t>
  </si>
  <si>
    <t>CHISEL PLOW LE15FT</t>
  </si>
  <si>
    <t>CCHPLOW</t>
  </si>
  <si>
    <t>COULTER-CHISEL PLOW</t>
  </si>
  <si>
    <t>DKPLGE23</t>
  </si>
  <si>
    <t>DISK PLOW GE23FT</t>
  </si>
  <si>
    <t>MLBDR4-6</t>
  </si>
  <si>
    <t>MOLDBOARD PLOW REG 4-6B</t>
  </si>
  <si>
    <t>MLBD24-6</t>
  </si>
  <si>
    <t>MOLDBOARD PLOW 2-WAY 4-6B</t>
  </si>
  <si>
    <t>SUBCHPLW</t>
  </si>
  <si>
    <t>SUBSOIL CHISEL PLOW</t>
  </si>
  <si>
    <t>RICEROLL</t>
  </si>
  <si>
    <t>RICE ROLLER</t>
  </si>
  <si>
    <t>RIPRSUBS</t>
  </si>
  <si>
    <t>DEEP RIPPER- SUBSOILER</t>
  </si>
  <si>
    <t>DSKBRMKR</t>
  </si>
  <si>
    <t>DISK BORDER MAKER</t>
  </si>
  <si>
    <t>OFFDGE19</t>
  </si>
  <si>
    <t>OFFSET DIS/HEAVDUTY GE19F</t>
  </si>
  <si>
    <t>TANPGE19</t>
  </si>
  <si>
    <t>TANDEM DISK PLW GE19FT</t>
  </si>
  <si>
    <t>TANRGE19</t>
  </si>
  <si>
    <t>TANDEM DISK REG GE19FT</t>
  </si>
  <si>
    <t>BLADE 10</t>
  </si>
  <si>
    <t>BLADE 10 FT</t>
  </si>
  <si>
    <t>FURWDIKE</t>
  </si>
  <si>
    <t>FURROW DIKER</t>
  </si>
  <si>
    <t>AERIALFT</t>
  </si>
  <si>
    <t>SELF</t>
  </si>
  <si>
    <t>AERIAL FERT APPLICATION</t>
  </si>
  <si>
    <t>ANHYTRAC</t>
  </si>
  <si>
    <t>ANHYD FERT APP TRACTOR MT</t>
  </si>
  <si>
    <t>ANHYTRLR</t>
  </si>
  <si>
    <t>ANHYD FERT APP TRAILER MT</t>
  </si>
  <si>
    <t>DRYFTRLR</t>
  </si>
  <si>
    <t>DRY FERT SPRDR TRAILER MT</t>
  </si>
  <si>
    <t>LQDFTRLR</t>
  </si>
  <si>
    <t>LQUD FERT APPL TRAILER MT</t>
  </si>
  <si>
    <t>MANSPDER</t>
  </si>
  <si>
    <t>MANURE SPREADER</t>
  </si>
  <si>
    <t>SPFTSPDR</t>
  </si>
  <si>
    <t>SELF-PROP FERT SPREADER</t>
  </si>
  <si>
    <t>FERTRENT</t>
  </si>
  <si>
    <t>FERT APPL SHANK 36FT RENT</t>
  </si>
  <si>
    <t>AERIALCH</t>
  </si>
  <si>
    <t>AERIAL CHEM APPLICATION</t>
  </si>
  <si>
    <t>CHEMIMPL</t>
  </si>
  <si>
    <t>CHEM APPL ATT TO IMPL</t>
  </si>
  <si>
    <t>CHEMLGSP</t>
  </si>
  <si>
    <t>CHEM APPL LG SELF-PROP</t>
  </si>
  <si>
    <t>CGE30TLR</t>
  </si>
  <si>
    <t>CHEM APPL GE30FT TRLR MTD</t>
  </si>
  <si>
    <t>CHEMRENT</t>
  </si>
  <si>
    <t>CHEM APPL (RENTED) 60 FT</t>
  </si>
  <si>
    <t>COMBINE SELF-PROP HILLSD</t>
  </si>
  <si>
    <t>CSP2WD</t>
  </si>
  <si>
    <t>COMBINE SELF-PROP 2WD</t>
  </si>
  <si>
    <t>CSP4WD</t>
  </si>
  <si>
    <t>COMBINE SELF-PROP 4WD</t>
  </si>
  <si>
    <t>CSPTRACK</t>
  </si>
  <si>
    <t>COMBINE SELF-PROP TRACK</t>
  </si>
  <si>
    <t>CORNPICK</t>
  </si>
  <si>
    <t>CORN PICKER</t>
  </si>
  <si>
    <t>CTTNPICK</t>
  </si>
  <si>
    <t>COTTON PICKER (MTD)</t>
  </si>
  <si>
    <t>CTTNPKSP</t>
  </si>
  <si>
    <t>COTTON PICKER SELF-PROP</t>
  </si>
  <si>
    <t>CTMODULE</t>
  </si>
  <si>
    <t>COTTON MODULE BUILDER</t>
  </si>
  <si>
    <t>CTTNROOD</t>
  </si>
  <si>
    <t>COTTON ROOD MACHINE</t>
  </si>
  <si>
    <t>CTTNSTPR</t>
  </si>
  <si>
    <t>COTTON STRIPPER (MTD)</t>
  </si>
  <si>
    <t>CTTNSTSP</t>
  </si>
  <si>
    <t>COTTON STRIPPER SELF-PROP</t>
  </si>
  <si>
    <t>CTTNTRLR</t>
  </si>
  <si>
    <t>COTTON TRAILER</t>
  </si>
  <si>
    <t>PNUTDIGS</t>
  </si>
  <si>
    <t>PEANUT DIGGER-SHAKER</t>
  </si>
  <si>
    <t>PNUTCOMB</t>
  </si>
  <si>
    <t>PEANUT COMBINE (PTO)</t>
  </si>
  <si>
    <t>PNUTRESK</t>
  </si>
  <si>
    <t>PEANUT RESHAKER-COND</t>
  </si>
  <si>
    <t>PNUTSHKI</t>
  </si>
  <si>
    <t>PEANUT SHAKER-INVERTER</t>
  </si>
  <si>
    <t>PNUTVINC</t>
  </si>
  <si>
    <t>PEANUT VINE CUTTER</t>
  </si>
  <si>
    <t>PNUTWAGN</t>
  </si>
  <si>
    <t>PEANUT WAGON</t>
  </si>
  <si>
    <t>SILAGEHV</t>
  </si>
  <si>
    <t>SILAGE HARVESTER</t>
  </si>
  <si>
    <t>BALERMTD</t>
  </si>
  <si>
    <t>BALEPTOL</t>
  </si>
  <si>
    <t>BALEPTOS</t>
  </si>
  <si>
    <t>BALERSP</t>
  </si>
  <si>
    <t>MOWERPTO</t>
  </si>
  <si>
    <t>MOWERCSP</t>
  </si>
  <si>
    <t>MOWERDRD</t>
  </si>
  <si>
    <t>MOWERSCK</t>
  </si>
  <si>
    <t>RAKESIDE</t>
  </si>
  <si>
    <t>RAKEWHEL</t>
  </si>
  <si>
    <t>WSWTHPTO</t>
  </si>
  <si>
    <t>WSWTHSP</t>
  </si>
  <si>
    <t>WINDROWER-SWTH SELF-PROP</t>
  </si>
  <si>
    <t>BALELOAD</t>
  </si>
  <si>
    <t>BALE LOADER</t>
  </si>
  <si>
    <t>SHREDGT8</t>
  </si>
  <si>
    <t>SHRDRGT8</t>
  </si>
  <si>
    <t>STACKMOV</t>
  </si>
  <si>
    <t>STACK MOVER</t>
  </si>
  <si>
    <t>STACKAUT</t>
  </si>
  <si>
    <t>STACKER AUTOMATIC</t>
  </si>
  <si>
    <t>BEETHARV</t>
  </si>
  <si>
    <t>BEET HARVESTER</t>
  </si>
  <si>
    <t>BEETTOPP</t>
  </si>
  <si>
    <t>BEET TOPPER 12 HP</t>
  </si>
  <si>
    <t>RICECOMB</t>
  </si>
  <si>
    <t>RICE COMBINE</t>
  </si>
  <si>
    <t>PIPE WGN</t>
  </si>
  <si>
    <t>PIPE WAGON</t>
  </si>
  <si>
    <t>TRLR20FT</t>
  </si>
  <si>
    <t>UTILITY TRAILER 20 FT</t>
  </si>
  <si>
    <t>TRLR40FT</t>
  </si>
  <si>
    <t>TRAILER 40 FT</t>
  </si>
  <si>
    <t>TRCK1/2T</t>
  </si>
  <si>
    <t>TRUCK PICKUP  1/2 TON</t>
  </si>
  <si>
    <t>TRCK3/4T</t>
  </si>
  <si>
    <t>TRUCK PICKUP  3/4 TON</t>
  </si>
  <si>
    <t>SEMIDIES</t>
  </si>
  <si>
    <t>TRUCK SEMI W TRAILER-DIES</t>
  </si>
  <si>
    <t>MOWAUTO</t>
  </si>
  <si>
    <t>MOWER AUTO LAWN</t>
  </si>
  <si>
    <t>MOWLAWN</t>
  </si>
  <si>
    <t>MOWER LAWN</t>
  </si>
  <si>
    <t>TRCKDI4T</t>
  </si>
  <si>
    <t>TRUCK TNDM AXLE-DIES 4TON</t>
  </si>
  <si>
    <t>CSPHILBG</t>
  </si>
  <si>
    <t>DSKPLW36</t>
  </si>
  <si>
    <t>BACKHOE</t>
  </si>
  <si>
    <t>CTTNCHOP</t>
  </si>
  <si>
    <t>COTTON CHOPPER</t>
  </si>
  <si>
    <t>DTCHVEE</t>
  </si>
  <si>
    <t>DITCHER (VEE OR ROTARY)</t>
  </si>
  <si>
    <t>FRNTLDR</t>
  </si>
  <si>
    <t>FRONTEND LOADER</t>
  </si>
  <si>
    <t>GRWAGON</t>
  </si>
  <si>
    <t>GRAIN/HAY WAGON</t>
  </si>
  <si>
    <t>ROCKPICK</t>
  </si>
  <si>
    <t>ROCK PICKER</t>
  </si>
  <si>
    <t>RDNTKILL</t>
  </si>
  <si>
    <t>RODENT KILLER</t>
  </si>
  <si>
    <t>BULLDOZR</t>
  </si>
  <si>
    <t>D7E BULLDOZER WITH BLADE</t>
  </si>
  <si>
    <t>GATEPIPE</t>
  </si>
  <si>
    <t>IRRI</t>
  </si>
  <si>
    <t>GATED PIPE</t>
  </si>
  <si>
    <t>PLASTIC</t>
  </si>
  <si>
    <t>PLASTIC LAYER 1 ROW</t>
  </si>
  <si>
    <t>RODWDR36</t>
  </si>
  <si>
    <t>RODWEEDER/10 BAR HAR 36FT</t>
  </si>
  <si>
    <t>CANEHRV2</t>
  </si>
  <si>
    <t>CANE HARVESTER 2 ROW</t>
  </si>
  <si>
    <t>TLOADSUG</t>
  </si>
  <si>
    <t>BURNUNIT</t>
  </si>
  <si>
    <t>BURNING UNIT</t>
  </si>
  <si>
    <t>CANEWG10</t>
  </si>
  <si>
    <t>CANE WAGON 10TON</t>
  </si>
  <si>
    <t>POTAHARV</t>
  </si>
  <si>
    <t>POTATO HARVESTER</t>
  </si>
  <si>
    <t>CANELDSP</t>
  </si>
  <si>
    <t>SP CANE LOADER</t>
  </si>
  <si>
    <t>VEGHARV</t>
  </si>
  <si>
    <t>VEGETABLE HARVESTER</t>
  </si>
  <si>
    <t>CANEPLNT</t>
  </si>
  <si>
    <t>MECH PLANTER SUGARCANE</t>
  </si>
  <si>
    <t>PUDDLE</t>
  </si>
  <si>
    <t>PUDDLE RICE PADDY</t>
  </si>
  <si>
    <t>GRAZE</t>
  </si>
  <si>
    <t>KILL</t>
  </si>
  <si>
    <t>PADDYBD</t>
  </si>
  <si>
    <t>RMV-DIKE</t>
  </si>
  <si>
    <t>ANIMAL</t>
  </si>
  <si>
    <t>ANIMAL MANURE DUMP</t>
  </si>
  <si>
    <t>MANURSCP</t>
  </si>
  <si>
    <t>MANURE SCRAPER</t>
  </si>
  <si>
    <t>CNTR PVT</t>
  </si>
  <si>
    <t>CENTER PIVOT SPRINKLER</t>
  </si>
  <si>
    <t>IRR100HP</t>
  </si>
  <si>
    <t>IRRIGATION 100HP MOTOR</t>
  </si>
  <si>
    <t>FLOODIRR</t>
  </si>
  <si>
    <t>FURROW IRRIGATION</t>
  </si>
  <si>
    <t>ALDRPIRR</t>
  </si>
  <si>
    <t>AL DRIP IRRIGATION</t>
  </si>
  <si>
    <t>WY WWELL</t>
  </si>
  <si>
    <t>WY GRND WATER WELL</t>
  </si>
  <si>
    <t>WYCDITCH</t>
  </si>
  <si>
    <t>WY CONCRETE DITCH</t>
  </si>
  <si>
    <t>WYGTPIPE</t>
  </si>
  <si>
    <t>WY GATED PIPE</t>
  </si>
  <si>
    <t>C:HAUL 6</t>
  </si>
  <si>
    <t>HAULING               639</t>
  </si>
  <si>
    <t>AER APPF</t>
  </si>
  <si>
    <t>AERIAL APP-FERT</t>
  </si>
  <si>
    <t>C:PEST 5</t>
  </si>
  <si>
    <t>AERIAL APP-INSECT     562</t>
  </si>
  <si>
    <t>C:THIN 3</t>
  </si>
  <si>
    <t>THIN                  563</t>
  </si>
  <si>
    <t>WEED</t>
  </si>
  <si>
    <t>DEFOL</t>
  </si>
  <si>
    <t>DEFOLIATE</t>
  </si>
  <si>
    <t>C:HARV 6</t>
  </si>
  <si>
    <t>COMBINE               624</t>
  </si>
  <si>
    <t>C:FERT 5</t>
  </si>
  <si>
    <t>FERTILIZER APP        580</t>
  </si>
  <si>
    <t>C:LABOR6</t>
  </si>
  <si>
    <t>LABOR                 604</t>
  </si>
  <si>
    <t>C:DRYIN6</t>
  </si>
  <si>
    <t>DRYING                606</t>
  </si>
  <si>
    <t>C:STACK6</t>
  </si>
  <si>
    <t>STACKING              607</t>
  </si>
  <si>
    <t>C:CULT 6</t>
  </si>
  <si>
    <t>CULTIVATE             608</t>
  </si>
  <si>
    <t>C:SUBS 6</t>
  </si>
  <si>
    <t>SUBSOIL               612</t>
  </si>
  <si>
    <t>C:DISC 6</t>
  </si>
  <si>
    <t>DISC                  613</t>
  </si>
  <si>
    <t>C:BORDR6</t>
  </si>
  <si>
    <t>BUILD BORDER          614</t>
  </si>
  <si>
    <t>FERTTRUC</t>
  </si>
  <si>
    <t>FERTTRUCK             615</t>
  </si>
  <si>
    <t>C:BKBOR6</t>
  </si>
  <si>
    <t>BREAK BORDERS         620</t>
  </si>
  <si>
    <t>HARVEST               623</t>
  </si>
  <si>
    <t>HARVEST               626</t>
  </si>
  <si>
    <t>C:Gin 62</t>
  </si>
  <si>
    <t>Ginning               629</t>
  </si>
  <si>
    <t>C:BAG 63</t>
  </si>
  <si>
    <t>Bagging &amp; Ties        632</t>
  </si>
  <si>
    <t>HAULING               633</t>
  </si>
  <si>
    <t>C:SCOUT6</t>
  </si>
  <si>
    <t>SCOUTING              649</t>
  </si>
  <si>
    <t>C:HARVT6</t>
  </si>
  <si>
    <t>TOBACCO HARVEST       654</t>
  </si>
  <si>
    <t>PLANT20</t>
  </si>
  <si>
    <t>PLANT13</t>
  </si>
  <si>
    <t>PLANT27</t>
  </si>
  <si>
    <t>PLANT40</t>
  </si>
  <si>
    <t>PLANT32</t>
  </si>
  <si>
    <t>PLANTFAL</t>
  </si>
  <si>
    <t>PLANT38</t>
  </si>
  <si>
    <t>PLANT30</t>
  </si>
  <si>
    <t>CLEARCUT</t>
  </si>
  <si>
    <t>XPUDDLE</t>
  </si>
  <si>
    <t>STOP DRN</t>
  </si>
  <si>
    <t>SOYB</t>
  </si>
  <si>
    <t>Soybeans</t>
  </si>
  <si>
    <t>CORN</t>
  </si>
  <si>
    <t>Corn</t>
  </si>
  <si>
    <t>SUNF</t>
  </si>
  <si>
    <t>Sunflowers</t>
  </si>
  <si>
    <t>CSUN</t>
  </si>
  <si>
    <t>Canadian Sunflowers</t>
  </si>
  <si>
    <t>FALW</t>
  </si>
  <si>
    <t>Fallow</t>
  </si>
  <si>
    <t>WWHT</t>
  </si>
  <si>
    <t>Winter Wheat</t>
  </si>
  <si>
    <t>SWHT</t>
  </si>
  <si>
    <t>Spring Wheat</t>
  </si>
  <si>
    <t>CSWH</t>
  </si>
  <si>
    <t>Canadian Spring Wheat</t>
  </si>
  <si>
    <t>DWHT</t>
  </si>
  <si>
    <t>Duram Wheat</t>
  </si>
  <si>
    <t>BARL</t>
  </si>
  <si>
    <t>Barley</t>
  </si>
  <si>
    <t>CBAR</t>
  </si>
  <si>
    <t>Canadian Barley</t>
  </si>
  <si>
    <t>OATS</t>
  </si>
  <si>
    <t>Oats</t>
  </si>
  <si>
    <t>COAT</t>
  </si>
  <si>
    <t>Canadian Oats</t>
  </si>
  <si>
    <t>RICE</t>
  </si>
  <si>
    <t>Rice</t>
  </si>
  <si>
    <t>RYE</t>
  </si>
  <si>
    <t>Rye</t>
  </si>
  <si>
    <t>WPEA</t>
  </si>
  <si>
    <t>Winter Peas</t>
  </si>
  <si>
    <t>LEN1</t>
  </si>
  <si>
    <t>Lentils1</t>
  </si>
  <si>
    <t>LENT</t>
  </si>
  <si>
    <t>Lentils</t>
  </si>
  <si>
    <t>CANA</t>
  </si>
  <si>
    <t>Canola Argentine</t>
  </si>
  <si>
    <t>CANP</t>
  </si>
  <si>
    <t>Canola Polish</t>
  </si>
  <si>
    <t>FLAX</t>
  </si>
  <si>
    <t>Flax</t>
  </si>
  <si>
    <t>FPEA</t>
  </si>
  <si>
    <t>Field Peas</t>
  </si>
  <si>
    <t>MUNG</t>
  </si>
  <si>
    <t>Summer Mung</t>
  </si>
  <si>
    <t>SESB</t>
  </si>
  <si>
    <t>Sesbania</t>
  </si>
  <si>
    <t>CSIL</t>
  </si>
  <si>
    <t>Corn Silage</t>
  </si>
  <si>
    <t>SGHY</t>
  </si>
  <si>
    <t>Sorghum Hay</t>
  </si>
  <si>
    <t>ALFA</t>
  </si>
  <si>
    <t>Alfalfa</t>
  </si>
  <si>
    <t>CLVA</t>
  </si>
  <si>
    <t>Clover Alsike</t>
  </si>
  <si>
    <t>CLVR</t>
  </si>
  <si>
    <t>Red Clover</t>
  </si>
  <si>
    <t>CLVS</t>
  </si>
  <si>
    <t>Sweet Clover</t>
  </si>
  <si>
    <t>TIMO</t>
  </si>
  <si>
    <t>Timothy</t>
  </si>
  <si>
    <t>RNGE</t>
  </si>
  <si>
    <t>Range</t>
  </si>
  <si>
    <t>SPAS</t>
  </si>
  <si>
    <t>Summer Pasture</t>
  </si>
  <si>
    <t>WPAS</t>
  </si>
  <si>
    <t>Winter Pasture</t>
  </si>
  <si>
    <t>RYEA</t>
  </si>
  <si>
    <t>Altal Wild Rye</t>
  </si>
  <si>
    <t>RYER</t>
  </si>
  <si>
    <t>Russian Wild Rye</t>
  </si>
  <si>
    <t>RYEG</t>
  </si>
  <si>
    <t>Annual Rye Grass</t>
  </si>
  <si>
    <t>WWGR</t>
  </si>
  <si>
    <t>Western Wheat Grass</t>
  </si>
  <si>
    <t>NWGR</t>
  </si>
  <si>
    <t>Northern Wheat Grass</t>
  </si>
  <si>
    <t>SWGR</t>
  </si>
  <si>
    <t>Slender Wheat Grass</t>
  </si>
  <si>
    <t>CWGR</t>
  </si>
  <si>
    <t>Crested Wheat Grass</t>
  </si>
  <si>
    <t>BROM</t>
  </si>
  <si>
    <t>Brome Grass</t>
  </si>
  <si>
    <t>BROS</t>
  </si>
  <si>
    <t>Smooth Brome Grass</t>
  </si>
  <si>
    <t>CWPS</t>
  </si>
  <si>
    <t>Canadian Winter Pasture</t>
  </si>
  <si>
    <t>BERM</t>
  </si>
  <si>
    <t>Coastal Bermuda</t>
  </si>
  <si>
    <t>WWGO</t>
  </si>
  <si>
    <t>POTA</t>
  </si>
  <si>
    <t>Potatoes</t>
  </si>
  <si>
    <t>ASPR</t>
  </si>
  <si>
    <t>Asparagus</t>
  </si>
  <si>
    <t>BROC</t>
  </si>
  <si>
    <t>Broccoli</t>
  </si>
  <si>
    <t>CABG</t>
  </si>
  <si>
    <t>Cabbage</t>
  </si>
  <si>
    <t>CAUF</t>
  </si>
  <si>
    <t>Cauliflower</t>
  </si>
  <si>
    <t>CELR</t>
  </si>
  <si>
    <t>Celery</t>
  </si>
  <si>
    <t>LETT</t>
  </si>
  <si>
    <t>Lettuce</t>
  </si>
  <si>
    <t>OLET</t>
  </si>
  <si>
    <t>Lettuce Leaf</t>
  </si>
  <si>
    <t>SPIN</t>
  </si>
  <si>
    <t>Spinach</t>
  </si>
  <si>
    <t>CRRT</t>
  </si>
  <si>
    <t>Carrots</t>
  </si>
  <si>
    <t>ONIO</t>
  </si>
  <si>
    <t>Onions</t>
  </si>
  <si>
    <t>SGBT</t>
  </si>
  <si>
    <t>Sugarbeets</t>
  </si>
  <si>
    <t>GRBN</t>
  </si>
  <si>
    <t>Green Beans</t>
  </si>
  <si>
    <t>LIMA</t>
  </si>
  <si>
    <t>Lima Beans</t>
  </si>
  <si>
    <t>PEAS</t>
  </si>
  <si>
    <t>Peas</t>
  </si>
  <si>
    <t>CUCM</t>
  </si>
  <si>
    <t>Cucumbers</t>
  </si>
  <si>
    <t>EGGP</t>
  </si>
  <si>
    <t>Eggplant</t>
  </si>
  <si>
    <t>CANT</t>
  </si>
  <si>
    <t>Cantaloupe</t>
  </si>
  <si>
    <t>HMEL</t>
  </si>
  <si>
    <t>Honeydew Melon</t>
  </si>
  <si>
    <t>WMEL</t>
  </si>
  <si>
    <t>Watermelon</t>
  </si>
  <si>
    <t>PEPR</t>
  </si>
  <si>
    <t>Peppers</t>
  </si>
  <si>
    <t>STRW</t>
  </si>
  <si>
    <t>Strawberries</t>
  </si>
  <si>
    <t>TOMA</t>
  </si>
  <si>
    <t>Tomatoes</t>
  </si>
  <si>
    <t>SPOT</t>
  </si>
  <si>
    <t>Sweet Potatoes</t>
  </si>
  <si>
    <t>SCRN</t>
  </si>
  <si>
    <t>Sweet Corn</t>
  </si>
  <si>
    <t>TOBC</t>
  </si>
  <si>
    <t>Tobacco</t>
  </si>
  <si>
    <t>SUGC</t>
  </si>
  <si>
    <t>Sugarcane</t>
  </si>
  <si>
    <t>FESC</t>
  </si>
  <si>
    <t>Fescue</t>
  </si>
  <si>
    <t>PMIL</t>
  </si>
  <si>
    <t>Pearl Millet</t>
  </si>
  <si>
    <t>PINE</t>
  </si>
  <si>
    <t>Pine Trees</t>
  </si>
  <si>
    <t>MESQ</t>
  </si>
  <si>
    <t>Mesquite Trees</t>
  </si>
  <si>
    <t>APPL</t>
  </si>
  <si>
    <t>Apple Trees</t>
  </si>
  <si>
    <t>CABB</t>
  </si>
  <si>
    <t>CANL</t>
  </si>
  <si>
    <t>OVAL</t>
  </si>
  <si>
    <t>REDC</t>
  </si>
  <si>
    <t>LETS</t>
  </si>
  <si>
    <t>POPL</t>
  </si>
  <si>
    <t>Poplar Trees</t>
  </si>
  <si>
    <t>BLOC</t>
  </si>
  <si>
    <t>Black Locust Trees</t>
  </si>
  <si>
    <t>SWCH</t>
  </si>
  <si>
    <t>Switchgrass</t>
  </si>
  <si>
    <t>DRYB</t>
  </si>
  <si>
    <t>Drybeans</t>
  </si>
  <si>
    <t>FABN</t>
  </si>
  <si>
    <t>Faba Beans</t>
  </si>
  <si>
    <t>SOGR</t>
  </si>
  <si>
    <t>SideoatsGramaGr</t>
  </si>
  <si>
    <t>BBGR</t>
  </si>
  <si>
    <t>Big Bluestem Gr</t>
  </si>
  <si>
    <t>EGGR</t>
  </si>
  <si>
    <t>EasternGamagrass</t>
  </si>
  <si>
    <t>JHGR</t>
  </si>
  <si>
    <t>Johnsongrass</t>
  </si>
  <si>
    <t>GTFX</t>
  </si>
  <si>
    <t>Giant Foxtail</t>
  </si>
  <si>
    <t>COCB</t>
  </si>
  <si>
    <t>Cocklebur</t>
  </si>
  <si>
    <t>VELV</t>
  </si>
  <si>
    <t>Velvetleaf</t>
  </si>
  <si>
    <t>GRFX</t>
  </si>
  <si>
    <t>Green Foxtail</t>
  </si>
  <si>
    <t>CEAT</t>
  </si>
  <si>
    <t>Cheat Grass</t>
  </si>
  <si>
    <t>LBST</t>
  </si>
  <si>
    <t>LittleBluestemGr</t>
  </si>
  <si>
    <t>SOAT</t>
  </si>
  <si>
    <t>Sideoats</t>
  </si>
  <si>
    <t>GRMA</t>
  </si>
  <si>
    <t>Gramagrass</t>
  </si>
  <si>
    <t>BUFF</t>
  </si>
  <si>
    <t>Buffalo Grass</t>
  </si>
  <si>
    <t>DETR</t>
  </si>
  <si>
    <t>SRUB</t>
  </si>
  <si>
    <t>GRAP</t>
  </si>
  <si>
    <t>Grape</t>
  </si>
  <si>
    <t>IMPE</t>
  </si>
  <si>
    <t>IMPERVIOUS</t>
  </si>
  <si>
    <t>CAME</t>
  </si>
  <si>
    <t>Camelina</t>
  </si>
  <si>
    <t>SAFF</t>
  </si>
  <si>
    <t>Safflower</t>
  </si>
  <si>
    <t>FRST</t>
  </si>
  <si>
    <t>D-FRESH</t>
  </si>
  <si>
    <t>D-1-LAGE</t>
  </si>
  <si>
    <t>D-SO-LGN</t>
  </si>
  <si>
    <t>D-LQ-LGN</t>
  </si>
  <si>
    <t>goat-fsh</t>
  </si>
  <si>
    <t>hog-frsh</t>
  </si>
  <si>
    <t>horse-fs</t>
  </si>
  <si>
    <t>P-DPIT-B</t>
  </si>
  <si>
    <t>P-DPIT-L</t>
  </si>
  <si>
    <t>P-FRSH-B</t>
  </si>
  <si>
    <t>P-FRSH-D</t>
  </si>
  <si>
    <t>P-FRSH-G</t>
  </si>
  <si>
    <t>P-FRSH-L</t>
  </si>
  <si>
    <t>P-FRSH-P</t>
  </si>
  <si>
    <t>P-FRSH-T</t>
  </si>
  <si>
    <t>P-LIQ-B</t>
  </si>
  <si>
    <t>P-LIQ-L</t>
  </si>
  <si>
    <t>P-MPIT-B</t>
  </si>
  <si>
    <t>P-MPIT-L</t>
  </si>
  <si>
    <t>sheep-fs</t>
  </si>
  <si>
    <t>veal-fsh</t>
  </si>
  <si>
    <t>11-46-00</t>
  </si>
  <si>
    <t>14-46-00</t>
  </si>
  <si>
    <t>16-00-00</t>
  </si>
  <si>
    <t>16-20-00</t>
  </si>
  <si>
    <t>18-18-00</t>
  </si>
  <si>
    <t>18-46-00</t>
  </si>
  <si>
    <t>19-00-00</t>
  </si>
  <si>
    <t>20-00-00</t>
  </si>
  <si>
    <t>20-10-10</t>
  </si>
  <si>
    <t>21-00-00</t>
  </si>
  <si>
    <t>22-00-00</t>
  </si>
  <si>
    <t>23-00-00</t>
  </si>
  <si>
    <t>26-00-00</t>
  </si>
  <si>
    <t>28-00-00</t>
  </si>
  <si>
    <t>28-10-10</t>
  </si>
  <si>
    <t>28-14-00</t>
  </si>
  <si>
    <t>30-00-00</t>
  </si>
  <si>
    <t>Elem-N</t>
  </si>
  <si>
    <t>Elem-P</t>
  </si>
  <si>
    <t>Elem-K</t>
  </si>
  <si>
    <t>32-00-00</t>
  </si>
  <si>
    <t>32-02-10</t>
  </si>
  <si>
    <t>33-00-00</t>
  </si>
  <si>
    <t>34-00-00</t>
  </si>
  <si>
    <t>39-00-00</t>
  </si>
  <si>
    <t>45-00-00</t>
  </si>
  <si>
    <t>46-00-00</t>
  </si>
  <si>
    <t>82-00-00</t>
  </si>
  <si>
    <t>D-SO-MNU</t>
  </si>
  <si>
    <t>D-LIQ</t>
  </si>
  <si>
    <t>Downstream</t>
  </si>
  <si>
    <t>SITECOM.DAT</t>
  </si>
  <si>
    <t>SUBACOM.DAT</t>
  </si>
  <si>
    <t>CROPCOM.DAT</t>
  </si>
  <si>
    <t>TILLCOM.DAT</t>
  </si>
  <si>
    <t>FERTCOM.DAT</t>
  </si>
  <si>
    <t>SOILCOM.DAT</t>
  </si>
  <si>
    <t>OPSCCOM.DAT</t>
  </si>
  <si>
    <t>TR55COM.DAT</t>
  </si>
  <si>
    <t>FWLST</t>
  </si>
  <si>
    <t>WDLSTCOM.DAT</t>
  </si>
  <si>
    <t>FPSO</t>
  </si>
  <si>
    <t>FRFD</t>
  </si>
  <si>
    <t>SITE2</t>
  </si>
  <si>
    <t>HORSE OR MULE</t>
  </si>
  <si>
    <t>PSTAPP</t>
  </si>
  <si>
    <t>DRILL</t>
  </si>
  <si>
    <t>BALER</t>
  </si>
  <si>
    <t>MOWER COND</t>
  </si>
  <si>
    <t>MOWER</t>
  </si>
  <si>
    <t>RAKE</t>
  </si>
  <si>
    <t>WINDROWER-SWATHER</t>
  </si>
  <si>
    <t>SHREDDER</t>
  </si>
  <si>
    <t>TRANSLOADER</t>
  </si>
  <si>
    <t>REMOVE FURROW DIKE</t>
  </si>
  <si>
    <t>BDIKE100</t>
  </si>
  <si>
    <t>BUILD FURROW DIKE</t>
  </si>
  <si>
    <t>BUILD RICE PADDY</t>
  </si>
  <si>
    <t>THIN</t>
  </si>
  <si>
    <t>REDUCE STAND</t>
  </si>
  <si>
    <t>DESTROY PUDDLE</t>
  </si>
  <si>
    <t>INITIATE GRAZING</t>
  </si>
  <si>
    <t>STOP GRZ</t>
  </si>
  <si>
    <t>STOP GRAZING</t>
  </si>
  <si>
    <t>STOP DRAINAGE SYSTEM</t>
  </si>
  <si>
    <t>OPEN DRN</t>
  </si>
  <si>
    <t>OPEN DRAINAGE SYSTEM</t>
  </si>
  <si>
    <t>Planter</t>
  </si>
  <si>
    <t>GRSG</t>
  </si>
  <si>
    <t>Grain Sorghum</t>
  </si>
  <si>
    <t>COTS</t>
  </si>
  <si>
    <t>Cotton Stripper</t>
  </si>
  <si>
    <t>COTP</t>
  </si>
  <si>
    <t>Cotton Picker</t>
  </si>
  <si>
    <t>PNUT</t>
  </si>
  <si>
    <t>Peanuts</t>
  </si>
  <si>
    <t>LWAS</t>
  </si>
  <si>
    <t>SWCA</t>
  </si>
  <si>
    <t>Switchgrass Alamo</t>
  </si>
  <si>
    <t>ALMD</t>
  </si>
  <si>
    <t>Almonds</t>
  </si>
  <si>
    <t>ARTC</t>
  </si>
  <si>
    <t>Artichokes</t>
  </si>
  <si>
    <t>BANA</t>
  </si>
  <si>
    <t>Bananas</t>
  </si>
  <si>
    <t>SBAR</t>
  </si>
  <si>
    <t>Barley Spring</t>
  </si>
  <si>
    <t>WBAR</t>
  </si>
  <si>
    <t>Barley Winter</t>
  </si>
  <si>
    <t>BLUE</t>
  </si>
  <si>
    <t>Blueberries</t>
  </si>
  <si>
    <t>CASH</t>
  </si>
  <si>
    <t>Cashews</t>
  </si>
  <si>
    <t>CHKP</t>
  </si>
  <si>
    <t>Chickpeas</t>
  </si>
  <si>
    <t>CTRT</t>
  </si>
  <si>
    <t>Citrus trees</t>
  </si>
  <si>
    <t>COCO</t>
  </si>
  <si>
    <t>Coconut</t>
  </si>
  <si>
    <t>COFF</t>
  </si>
  <si>
    <t>Coffee</t>
  </si>
  <si>
    <t>COLG</t>
  </si>
  <si>
    <t>Collard Greens</t>
  </si>
  <si>
    <t>Cowpeas</t>
  </si>
  <si>
    <t>CRAM</t>
  </si>
  <si>
    <t>Crambe</t>
  </si>
  <si>
    <t>ETEF</t>
  </si>
  <si>
    <t>Eragrostis Teff</t>
  </si>
  <si>
    <t>FRSD</t>
  </si>
  <si>
    <t>Forest-Deciduous</t>
  </si>
  <si>
    <t>FRSE</t>
  </si>
  <si>
    <t>Forest-Evergreen</t>
  </si>
  <si>
    <t>Forest-Mixed</t>
  </si>
  <si>
    <t>GARB</t>
  </si>
  <si>
    <t>Garbanzo beans</t>
  </si>
  <si>
    <t>Garden or Canning Peas</t>
  </si>
  <si>
    <t>GARL</t>
  </si>
  <si>
    <t>Garlic</t>
  </si>
  <si>
    <t>GINS</t>
  </si>
  <si>
    <t>Ginseng</t>
  </si>
  <si>
    <t>GLAD</t>
  </si>
  <si>
    <t>Gladiola</t>
  </si>
  <si>
    <t>GRAR</t>
  </si>
  <si>
    <t>Grarigue</t>
  </si>
  <si>
    <t>Honey Mesquite</t>
  </si>
  <si>
    <t>HRAD</t>
  </si>
  <si>
    <t>Horseradish</t>
  </si>
  <si>
    <t>INDN</t>
  </si>
  <si>
    <t>Indiangrass</t>
  </si>
  <si>
    <t>KALE</t>
  </si>
  <si>
    <t>Kale</t>
  </si>
  <si>
    <t>BLUG</t>
  </si>
  <si>
    <t>Kentucky Bluegrass</t>
  </si>
  <si>
    <t>LETH</t>
  </si>
  <si>
    <t>Lettuce Head</t>
  </si>
  <si>
    <t>MILL</t>
  </si>
  <si>
    <t>Millet</t>
  </si>
  <si>
    <t>MINT</t>
  </si>
  <si>
    <t>Mint</t>
  </si>
  <si>
    <t>MUNB</t>
  </si>
  <si>
    <t>Mung Beans</t>
  </si>
  <si>
    <t>Mustard</t>
  </si>
  <si>
    <t>OAK</t>
  </si>
  <si>
    <t>Oak Tree</t>
  </si>
  <si>
    <t>OILP</t>
  </si>
  <si>
    <t>Oil Palm</t>
  </si>
  <si>
    <t>OLIV</t>
  </si>
  <si>
    <t>Olives</t>
  </si>
  <si>
    <t>ORAN</t>
  </si>
  <si>
    <t>Orange citrus trees</t>
  </si>
  <si>
    <t>ORC1</t>
  </si>
  <si>
    <t>Orchard</t>
  </si>
  <si>
    <t>PAPA</t>
  </si>
  <si>
    <t>Papayas</t>
  </si>
  <si>
    <t>PCAN</t>
  </si>
  <si>
    <t>Pecans</t>
  </si>
  <si>
    <t>PINP</t>
  </si>
  <si>
    <t>Pineapple</t>
  </si>
  <si>
    <t>PNTO</t>
  </si>
  <si>
    <t>Pinto Beans</t>
  </si>
  <si>
    <t>PIST</t>
  </si>
  <si>
    <t>Pistachio</t>
  </si>
  <si>
    <t>PLAN</t>
  </si>
  <si>
    <t>Plaintains</t>
  </si>
  <si>
    <t>PUMP</t>
  </si>
  <si>
    <t>Pumpkin</t>
  </si>
  <si>
    <t>RADH</t>
  </si>
  <si>
    <t>Radish</t>
  </si>
  <si>
    <t>SWRN</t>
  </si>
  <si>
    <t>Range Southwestern US (Arid)</t>
  </si>
  <si>
    <t>RNGB</t>
  </si>
  <si>
    <t>Range-Brush</t>
  </si>
  <si>
    <t>RNGA</t>
  </si>
  <si>
    <t>Range-Grasses</t>
  </si>
  <si>
    <t>RDBT</t>
  </si>
  <si>
    <t>Red Beets</t>
  </si>
  <si>
    <t>RUBR</t>
  </si>
  <si>
    <t>Rubber Trees</t>
  </si>
  <si>
    <t>RYEI</t>
  </si>
  <si>
    <t>Ryegrass Italian (Annual)</t>
  </si>
  <si>
    <t>SEAK</t>
  </si>
  <si>
    <t>Sea Kale</t>
  </si>
  <si>
    <t>FEST</t>
  </si>
  <si>
    <t>Tall Fescue</t>
  </si>
  <si>
    <t>TEFF</t>
  </si>
  <si>
    <t>Teff Grass</t>
  </si>
  <si>
    <t>TOMT</t>
  </si>
  <si>
    <t>Tomatillas</t>
  </si>
  <si>
    <t>TRIT</t>
  </si>
  <si>
    <t>Triticale</t>
  </si>
  <si>
    <t>TURN</t>
  </si>
  <si>
    <t>Turnips</t>
  </si>
  <si>
    <t>WALN</t>
  </si>
  <si>
    <t>Walnuts</t>
  </si>
  <si>
    <t>WLOV</t>
  </si>
  <si>
    <t>Weeping Lovegrass</t>
  </si>
  <si>
    <t>WETF</t>
  </si>
  <si>
    <t>Wetlands-Forested</t>
  </si>
  <si>
    <t>WETN</t>
  </si>
  <si>
    <t>Wetlands-Non-Forested</t>
  </si>
  <si>
    <t>WILL</t>
  </si>
  <si>
    <t>Willow</t>
  </si>
  <si>
    <t>RIESEL01</t>
  </si>
  <si>
    <t>RIESEL02</t>
  </si>
  <si>
    <t>RIESEL03</t>
  </si>
  <si>
    <t>RIESEL04</t>
  </si>
  <si>
    <t>B-FRESH2</t>
  </si>
  <si>
    <t>DAP</t>
  </si>
  <si>
    <t>DSMGAS</t>
  </si>
  <si>
    <t>RNGE.OPC</t>
  </si>
  <si>
    <t>opc</t>
  </si>
  <si>
    <t>Aatrex</t>
  </si>
  <si>
    <t>33.000   6</t>
  </si>
  <si>
    <t>0.00    5.00</t>
  </si>
  <si>
    <t>0.40      80.0</t>
  </si>
  <si>
    <t>Abate</t>
  </si>
  <si>
    <t>0.000   3</t>
  </si>
  <si>
    <t>0.60 1000000.0</t>
  </si>
  <si>
    <t>Acaraben</t>
  </si>
  <si>
    <t>13.000   2</t>
  </si>
  <si>
    <t>0.00   10.00</t>
  </si>
  <si>
    <t>0.10    2000.0</t>
  </si>
  <si>
    <t>Accelerate</t>
  </si>
  <si>
    <t>7.00    7.00</t>
  </si>
  <si>
    <t>0.90      20.0</t>
  </si>
  <si>
    <t>Acclaim</t>
  </si>
  <si>
    <t>9.00    5.00</t>
  </si>
  <si>
    <t>0.20    9490.0</t>
  </si>
  <si>
    <t>Actellic</t>
  </si>
  <si>
    <t>9.000   1</t>
  </si>
  <si>
    <t>0.00   99.00</t>
  </si>
  <si>
    <t>1.00    1000.0</t>
  </si>
  <si>
    <t>Alanap</t>
  </si>
  <si>
    <t>231000.000   1</t>
  </si>
  <si>
    <t>4.00    7.00</t>
  </si>
  <si>
    <t>Alar</t>
  </si>
  <si>
    <t>7.00    4.00</t>
  </si>
  <si>
    <t>0.90      10.0</t>
  </si>
  <si>
    <t>Aldrin</t>
  </si>
  <si>
    <t>0.100   2</t>
  </si>
  <si>
    <t>8.00    2.00</t>
  </si>
  <si>
    <t>0.10     300.0</t>
  </si>
  <si>
    <t>Aliette</t>
  </si>
  <si>
    <t>0.10    0.10</t>
  </si>
  <si>
    <t>Ally</t>
  </si>
  <si>
    <t>9500.000  12</t>
  </si>
  <si>
    <t>0.00   30.00</t>
  </si>
  <si>
    <t>0.80      35.0</t>
  </si>
  <si>
    <t>Amdro</t>
  </si>
  <si>
    <t>0.000   1</t>
  </si>
  <si>
    <t>1.00  730000.0</t>
  </si>
  <si>
    <t>Amiben</t>
  </si>
  <si>
    <t>900000.000   1</t>
  </si>
  <si>
    <t>0.90      15.0</t>
  </si>
  <si>
    <t>Amid-Thin W</t>
  </si>
  <si>
    <t>100.000   1</t>
  </si>
  <si>
    <t>0.60     100.0</t>
  </si>
  <si>
    <t>Amitrol T</t>
  </si>
  <si>
    <t>360000.000   1</t>
  </si>
  <si>
    <t>4.00    5.00</t>
  </si>
  <si>
    <t>0.90     100.0</t>
  </si>
  <si>
    <t>Ammo</t>
  </si>
  <si>
    <t>0.40  100000.0</t>
  </si>
  <si>
    <t>Antor</t>
  </si>
  <si>
    <t>105.000   2</t>
  </si>
  <si>
    <t>1.00   10.00</t>
  </si>
  <si>
    <t>0.40    1400.0</t>
  </si>
  <si>
    <t>A-Rest</t>
  </si>
  <si>
    <t>650.000  12</t>
  </si>
  <si>
    <t>0.50     120.0</t>
  </si>
  <si>
    <t>Arsenal</t>
  </si>
  <si>
    <t>11000.000   9</t>
  </si>
  <si>
    <t>Arsonate</t>
  </si>
  <si>
    <t>1000000.000  10</t>
  </si>
  <si>
    <t>0.90   10000.0</t>
  </si>
  <si>
    <t>Asana</t>
  </si>
  <si>
    <t>5.00    8.00</t>
  </si>
  <si>
    <t>0.40    5300.0</t>
  </si>
  <si>
    <t>Assert</t>
  </si>
  <si>
    <t>1370.000   3</t>
  </si>
  <si>
    <t>5.00   18.00</t>
  </si>
  <si>
    <t>0.60      66.0</t>
  </si>
  <si>
    <t>875.000   3</t>
  </si>
  <si>
    <t>0.60      35.0</t>
  </si>
  <si>
    <t>Assure</t>
  </si>
  <si>
    <t>0.300   6</t>
  </si>
  <si>
    <t>0.00   15.00</t>
  </si>
  <si>
    <t>0.20     510.0</t>
  </si>
  <si>
    <t>Asulox</t>
  </si>
  <si>
    <t>7.00    3.00</t>
  </si>
  <si>
    <t>0.90      40.0</t>
  </si>
  <si>
    <t>Avenge</t>
  </si>
  <si>
    <t>817000.000  10</t>
  </si>
  <si>
    <t>0.90   54500.0</t>
  </si>
  <si>
    <t>Azodrin</t>
  </si>
  <si>
    <t>1000000.000   3</t>
  </si>
  <si>
    <t>0.00    2.00</t>
  </si>
  <si>
    <t>0.90       1.0</t>
  </si>
  <si>
    <t>Balan</t>
  </si>
  <si>
    <t>0.100   3</t>
  </si>
  <si>
    <t>0.20    9000.0</t>
  </si>
  <si>
    <t>Banol</t>
  </si>
  <si>
    <t>0.90 1000000.0</t>
  </si>
  <si>
    <t>Banvel</t>
  </si>
  <si>
    <t>400000.000   1</t>
  </si>
  <si>
    <t>4.00    9.00</t>
  </si>
  <si>
    <t>0.60       2.0</t>
  </si>
  <si>
    <t>Basagran</t>
  </si>
  <si>
    <t>2300000.000   2</t>
  </si>
  <si>
    <t>0.60      34.0</t>
  </si>
  <si>
    <t>Basta</t>
  </si>
  <si>
    <t>Baygon</t>
  </si>
  <si>
    <t>1800.000   3</t>
  </si>
  <si>
    <t>1.00      30.0</t>
  </si>
  <si>
    <t>Bayleton</t>
  </si>
  <si>
    <t>71.500   2</t>
  </si>
  <si>
    <t>6.00    8.00</t>
  </si>
  <si>
    <t>0.30     300.0</t>
  </si>
  <si>
    <t>Baytex</t>
  </si>
  <si>
    <t>4.200   3</t>
  </si>
  <si>
    <t>4.00    2.00</t>
  </si>
  <si>
    <t>0.60    1500.0</t>
  </si>
  <si>
    <t>Baythroid</t>
  </si>
  <si>
    <t>Benlate</t>
  </si>
  <si>
    <t>2.000  24</t>
  </si>
  <si>
    <t>0.00    6.00</t>
  </si>
  <si>
    <t>0.30    1900.0</t>
  </si>
  <si>
    <t>Benzex</t>
  </si>
  <si>
    <t>0.100  60</t>
  </si>
  <si>
    <t>0.00    3.00</t>
  </si>
  <si>
    <t>0.10   55000.0</t>
  </si>
  <si>
    <t>Betamix</t>
  </si>
  <si>
    <t>4.700   3</t>
  </si>
  <si>
    <t>0.70    2400.0</t>
  </si>
  <si>
    <t>Betanex</t>
  </si>
  <si>
    <t>8.000   3</t>
  </si>
  <si>
    <t>0.70    1500.0</t>
  </si>
  <si>
    <t>Bidrin</t>
  </si>
  <si>
    <t>1000000.000   2</t>
  </si>
  <si>
    <t>8.00   20.00</t>
  </si>
  <si>
    <t>0.70      75.0</t>
  </si>
  <si>
    <t>Bladex</t>
  </si>
  <si>
    <t>170.000   1</t>
  </si>
  <si>
    <t>0.60     190.0</t>
  </si>
  <si>
    <t>Bolero</t>
  </si>
  <si>
    <t>28.000   2</t>
  </si>
  <si>
    <t>1.00    7.00</t>
  </si>
  <si>
    <t>0.70     900.0</t>
  </si>
  <si>
    <t>Bolstar</t>
  </si>
  <si>
    <t>0.300  14</t>
  </si>
  <si>
    <t>0.00    0.50</t>
  </si>
  <si>
    <t>0.60   12000.0</t>
  </si>
  <si>
    <t>Bordermaster</t>
  </si>
  <si>
    <t>5.000   2</t>
  </si>
  <si>
    <t>0.50    1000.0</t>
  </si>
  <si>
    <t>Botran</t>
  </si>
  <si>
    <t>7.000   1</t>
  </si>
  <si>
    <t>0.00    4.00</t>
  </si>
  <si>
    <t>Bravo</t>
  </si>
  <si>
    <t>0.600   3</t>
  </si>
  <si>
    <t>0.50    1380.0</t>
  </si>
  <si>
    <t>Brom-O-Sol</t>
  </si>
  <si>
    <t>13400.000   5</t>
  </si>
  <si>
    <t>5.00   99.00</t>
  </si>
  <si>
    <t>1.00      22.0</t>
  </si>
  <si>
    <t>Broot</t>
  </si>
  <si>
    <t>58.000   2</t>
  </si>
  <si>
    <t>1.00     400.0</t>
  </si>
  <si>
    <t>Buctril</t>
  </si>
  <si>
    <t>0.20   10000.0</t>
  </si>
  <si>
    <t>Butyrac Ester</t>
  </si>
  <si>
    <t>7.00    9.00</t>
  </si>
  <si>
    <t>0.40     500.0</t>
  </si>
  <si>
    <t>Caparol</t>
  </si>
  <si>
    <t>0.50     400.0</t>
  </si>
  <si>
    <t>Carbamate</t>
  </si>
  <si>
    <t>120.000   1</t>
  </si>
  <si>
    <t>0.90     300.0</t>
  </si>
  <si>
    <t>Carbofos</t>
  </si>
  <si>
    <t>145.000   2</t>
  </si>
  <si>
    <t>5.00    3.00</t>
  </si>
  <si>
    <t>0.90    1800.0</t>
  </si>
  <si>
    <t>Carsoron</t>
  </si>
  <si>
    <t>21.200   6</t>
  </si>
  <si>
    <t>0.40     400.0</t>
  </si>
  <si>
    <t>Carzol</t>
  </si>
  <si>
    <t>500000.000  10</t>
  </si>
  <si>
    <t>Cerone</t>
  </si>
  <si>
    <t>1239000.000   1</t>
  </si>
  <si>
    <t>0.90  100000.0</t>
  </si>
  <si>
    <t>Chem-Hoe</t>
  </si>
  <si>
    <t>250.000   1</t>
  </si>
  <si>
    <t>0.50     200.0</t>
  </si>
  <si>
    <t>Chlordane</t>
  </si>
  <si>
    <t>0.100  10</t>
  </si>
  <si>
    <t>0.00    2.50</t>
  </si>
  <si>
    <t>0.10  100000.0</t>
  </si>
  <si>
    <t>Chopper</t>
  </si>
  <si>
    <t>500000.000   9</t>
  </si>
  <si>
    <t>0.80     100.0</t>
  </si>
  <si>
    <t>Classic</t>
  </si>
  <si>
    <t>1200.000   4</t>
  </si>
  <si>
    <t>0.90     110.0</t>
  </si>
  <si>
    <t>Cobra</t>
  </si>
  <si>
    <t>3.00    2.00</t>
  </si>
  <si>
    <t>0.20  100000.0</t>
  </si>
  <si>
    <t>Comite</t>
  </si>
  <si>
    <t>0.500   5</t>
  </si>
  <si>
    <t>6.00    5.00</t>
  </si>
  <si>
    <t>0.20    4000.0</t>
  </si>
  <si>
    <t>Command</t>
  </si>
  <si>
    <t>1000.000   2</t>
  </si>
  <si>
    <t>4.00    3.00</t>
  </si>
  <si>
    <t>0.80     300.0</t>
  </si>
  <si>
    <t>Cotoran</t>
  </si>
  <si>
    <t>110.000   8</t>
  </si>
  <si>
    <t>5.00   30.00</t>
  </si>
  <si>
    <t>0.50     100.0</t>
  </si>
  <si>
    <t>Counter</t>
  </si>
  <si>
    <t>5.00    2.50</t>
  </si>
  <si>
    <t>0.60     500.0</t>
  </si>
  <si>
    <t>Crossbow</t>
  </si>
  <si>
    <t>2100000.000   4</t>
  </si>
  <si>
    <t>6.00   15.00</t>
  </si>
  <si>
    <t>Curacron</t>
  </si>
  <si>
    <t>8.00    3.00</t>
  </si>
  <si>
    <t>0.90    2000.0</t>
  </si>
  <si>
    <t>Cygon</t>
  </si>
  <si>
    <t>Cyprex</t>
  </si>
  <si>
    <t>700.000   2</t>
  </si>
  <si>
    <t>0.50  100000.0</t>
  </si>
  <si>
    <t>Cythion</t>
  </si>
  <si>
    <t>1.00    3.00</t>
  </si>
  <si>
    <t>Dacamine</t>
  </si>
  <si>
    <t>890.000   1</t>
  </si>
  <si>
    <t>0.40      20.0</t>
  </si>
  <si>
    <t>Dacthal</t>
  </si>
  <si>
    <t>0.500  10</t>
  </si>
  <si>
    <t>0.30    5000.0</t>
  </si>
  <si>
    <t>0.500   2</t>
  </si>
  <si>
    <t>D. Monoacid</t>
  </si>
  <si>
    <t>3000.000   1</t>
  </si>
  <si>
    <t>1.00      20.0</t>
  </si>
  <si>
    <t>D. Diacid</t>
  </si>
  <si>
    <t>5780.000  30</t>
  </si>
  <si>
    <t>1.00       2.0</t>
  </si>
  <si>
    <t>Dalapon</t>
  </si>
  <si>
    <t>800000.000   3</t>
  </si>
  <si>
    <t>0.00   37.00</t>
  </si>
  <si>
    <t>Dasanit</t>
  </si>
  <si>
    <t>0.000   2</t>
  </si>
  <si>
    <t>4.00    4.00</t>
  </si>
  <si>
    <t>DDT</t>
  </si>
  <si>
    <t>0.100  12</t>
  </si>
  <si>
    <t>0.10  240000.0</t>
  </si>
  <si>
    <t>Dedweed</t>
  </si>
  <si>
    <t>866000.000   2</t>
  </si>
  <si>
    <t>5.00    7.00</t>
  </si>
  <si>
    <t>DEF</t>
  </si>
  <si>
    <t>2.300   3</t>
  </si>
  <si>
    <t>0.00    7.00</t>
  </si>
  <si>
    <t>Dessicant L-10</t>
  </si>
  <si>
    <t>0.0010000.00</t>
  </si>
  <si>
    <t>Devrinol</t>
  </si>
  <si>
    <t>74.000   7</t>
  </si>
  <si>
    <t>0.60     400.0</t>
  </si>
  <si>
    <t>Dibrom</t>
  </si>
  <si>
    <t>1.00    0.50</t>
  </si>
  <si>
    <t>0.90     180.0</t>
  </si>
  <si>
    <t>Dieldrin</t>
  </si>
  <si>
    <t>0.100 140</t>
  </si>
  <si>
    <t>0.10   50000.0</t>
  </si>
  <si>
    <t>Dimilin</t>
  </si>
  <si>
    <t>0.100   1</t>
  </si>
  <si>
    <t>0.00   27.00</t>
  </si>
  <si>
    <t>0.10   10000.0</t>
  </si>
  <si>
    <t>Dinitro</t>
  </si>
  <si>
    <t>50.000   2</t>
  </si>
  <si>
    <t>2200.000   2</t>
  </si>
  <si>
    <t>0.90      63.0</t>
  </si>
  <si>
    <t>Diquat</t>
  </si>
  <si>
    <t>718000.000 100</t>
  </si>
  <si>
    <t>Dinoseb</t>
  </si>
  <si>
    <t>3.00   23.00</t>
  </si>
  <si>
    <t>1.00     490.0</t>
  </si>
  <si>
    <t>Di-Syston</t>
  </si>
  <si>
    <t>25.000   3</t>
  </si>
  <si>
    <t>0.50     600.0</t>
  </si>
  <si>
    <t>Dithane</t>
  </si>
  <si>
    <t>6.000   7</t>
  </si>
  <si>
    <t>0.30    2000.0</t>
  </si>
  <si>
    <t>Dowpon</t>
  </si>
  <si>
    <t>1000.000   3</t>
  </si>
  <si>
    <t>0.90       4.0</t>
  </si>
  <si>
    <t>Dropp</t>
  </si>
  <si>
    <t>20.000   1</t>
  </si>
  <si>
    <t>0.40     110.0</t>
  </si>
  <si>
    <t>DSMA</t>
  </si>
  <si>
    <t>1400000.000 100</t>
  </si>
  <si>
    <t>Dual</t>
  </si>
  <si>
    <t>530.000   9</t>
  </si>
  <si>
    <t>0.60     200.0</t>
  </si>
  <si>
    <t>Du-ter</t>
  </si>
  <si>
    <t>1.000   7</t>
  </si>
  <si>
    <t>0.40   23000.0</t>
  </si>
  <si>
    <t>Dyfonate</t>
  </si>
  <si>
    <t>16.900   4</t>
  </si>
  <si>
    <t>0.60     870.0</t>
  </si>
  <si>
    <t>Dylox</t>
  </si>
  <si>
    <t>120000.000   1</t>
  </si>
  <si>
    <t>Dymid</t>
  </si>
  <si>
    <t>260.000   3</t>
  </si>
  <si>
    <t>0.80     210.0</t>
  </si>
  <si>
    <t>Dynap</t>
  </si>
  <si>
    <t>200.000   1</t>
  </si>
  <si>
    <t>2.00   12.00</t>
  </si>
  <si>
    <t>Dyrene</t>
  </si>
  <si>
    <t>0.50    3000.0</t>
  </si>
  <si>
    <t>Elgetol</t>
  </si>
  <si>
    <t>100000.000   2</t>
  </si>
  <si>
    <t>0.00    8.00</t>
  </si>
  <si>
    <t>EPN</t>
  </si>
  <si>
    <t>5.00    5.00</t>
  </si>
  <si>
    <t>0.60   13000.0</t>
  </si>
  <si>
    <t>Eradicane</t>
  </si>
  <si>
    <t>6.00    3.00</t>
  </si>
  <si>
    <t>0.80     200.0</t>
  </si>
  <si>
    <t>Ethanox</t>
  </si>
  <si>
    <t>1.100  15</t>
  </si>
  <si>
    <t>0.60   10000.0</t>
  </si>
  <si>
    <t>Evik</t>
  </si>
  <si>
    <t>185.000   6</t>
  </si>
  <si>
    <t>0.60     300.0</t>
  </si>
  <si>
    <t>Evital</t>
  </si>
  <si>
    <t>28.000   9</t>
  </si>
  <si>
    <t>Far-Go</t>
  </si>
  <si>
    <t>4.000   8</t>
  </si>
  <si>
    <t>2.00   15.00</t>
  </si>
  <si>
    <t>0.40    2400.0</t>
  </si>
  <si>
    <t>Fenatrol</t>
  </si>
  <si>
    <t>500000.000  18</t>
  </si>
  <si>
    <t>Fenitox</t>
  </si>
  <si>
    <t>Fruitone CPA</t>
  </si>
  <si>
    <t>200000.000   1</t>
  </si>
  <si>
    <t>Fumazone</t>
  </si>
  <si>
    <t>1000.000  18</t>
  </si>
  <si>
    <t>1.00      70.0</t>
  </si>
  <si>
    <t>Fundal</t>
  </si>
  <si>
    <t>500000.000   6</t>
  </si>
  <si>
    <t>0.00    1.00</t>
  </si>
  <si>
    <t>Funginex</t>
  </si>
  <si>
    <t>30.000   2</t>
  </si>
  <si>
    <t>1.00    5.00</t>
  </si>
  <si>
    <t>0.80     540.0</t>
  </si>
  <si>
    <t>Furadan</t>
  </si>
  <si>
    <t>351.000   5</t>
  </si>
  <si>
    <t>0.60      22.0</t>
  </si>
  <si>
    <t>Fusilade</t>
  </si>
  <si>
    <t>2.000   1</t>
  </si>
  <si>
    <t>5.00    4.00</t>
  </si>
  <si>
    <t>0.40    5700.0</t>
  </si>
  <si>
    <t>Glean</t>
  </si>
  <si>
    <t>7000.000  16</t>
  </si>
  <si>
    <t>0.80      40.0</t>
  </si>
  <si>
    <t>Goal</t>
  </si>
  <si>
    <t>Guthion</t>
  </si>
  <si>
    <t>29.000   1</t>
  </si>
  <si>
    <t>0.60    1000.0</t>
  </si>
  <si>
    <t>Harmony</t>
  </si>
  <si>
    <t>2400.000   1</t>
  </si>
  <si>
    <t>2.00    3.00</t>
  </si>
  <si>
    <t>0.80      45.0</t>
  </si>
  <si>
    <t>Harvade</t>
  </si>
  <si>
    <t>0.80      10.0</t>
  </si>
  <si>
    <t>Hoelon</t>
  </si>
  <si>
    <t>0.800   3</t>
  </si>
  <si>
    <t>7.00    0.00</t>
  </si>
  <si>
    <t>0.00   16000.0</t>
  </si>
  <si>
    <t>Hyvar</t>
  </si>
  <si>
    <t>700.000   6</t>
  </si>
  <si>
    <t>0.00   20.00</t>
  </si>
  <si>
    <t>0.80      32.0</t>
  </si>
  <si>
    <t>0.00    0.00</t>
  </si>
  <si>
    <t>0.00      32.0</t>
  </si>
  <si>
    <t>Imidan</t>
  </si>
  <si>
    <t>9.00    3.00</t>
  </si>
  <si>
    <t>0.90     820.0</t>
  </si>
  <si>
    <t>Isotox</t>
  </si>
  <si>
    <t>7.300  40</t>
  </si>
  <si>
    <t>0.10    1100.0</t>
  </si>
  <si>
    <t>Karate</t>
  </si>
  <si>
    <t>0.40  180000.0</t>
  </si>
  <si>
    <t>Karathane</t>
  </si>
  <si>
    <t>4.000   2</t>
  </si>
  <si>
    <t>0.30     550.0</t>
  </si>
  <si>
    <t>Karmex</t>
  </si>
  <si>
    <t>42.000   9</t>
  </si>
  <si>
    <t>0.40     480.0</t>
  </si>
  <si>
    <t>Kelthane</t>
  </si>
  <si>
    <t>1.000   6</t>
  </si>
  <si>
    <t>0.10  180000.0</t>
  </si>
  <si>
    <t>Kerb</t>
  </si>
  <si>
    <t>15.000   6</t>
  </si>
  <si>
    <t>0.30     200.0</t>
  </si>
  <si>
    <t>Krenite</t>
  </si>
  <si>
    <t>8.00    4.00</t>
  </si>
  <si>
    <t>0.90     150.0</t>
  </si>
  <si>
    <t>Lannate</t>
  </si>
  <si>
    <t>58000.000   3</t>
  </si>
  <si>
    <t>0.60      72.0</t>
  </si>
  <si>
    <t>Larvadex</t>
  </si>
  <si>
    <t>136000.000  15</t>
  </si>
  <si>
    <t>0.90     200.0</t>
  </si>
  <si>
    <t>Larvin</t>
  </si>
  <si>
    <t>0.70     350.0</t>
  </si>
  <si>
    <t>Lasso</t>
  </si>
  <si>
    <t>240.000   1</t>
  </si>
  <si>
    <t>0.40     170.0</t>
  </si>
  <si>
    <t>Limit</t>
  </si>
  <si>
    <t>10.000   2</t>
  </si>
  <si>
    <t>0.70    1000.0</t>
  </si>
  <si>
    <t>Logic</t>
  </si>
  <si>
    <t>1.00   99.00</t>
  </si>
  <si>
    <t>Londax</t>
  </si>
  <si>
    <t>1.00     310.0</t>
  </si>
  <si>
    <t>Lontrel</t>
  </si>
  <si>
    <t>300000.000   3</t>
  </si>
  <si>
    <t>0.90       6.0</t>
  </si>
  <si>
    <t>Lorox</t>
  </si>
  <si>
    <t>75.000   6</t>
  </si>
  <si>
    <t>Lorsban</t>
  </si>
  <si>
    <t>0.400   3</t>
  </si>
  <si>
    <t>0.00    3.30</t>
  </si>
  <si>
    <t>0.60    6070.0</t>
  </si>
  <si>
    <t>Manzate</t>
  </si>
  <si>
    <t>6.000   1</t>
  </si>
  <si>
    <t>Marlate</t>
  </si>
  <si>
    <t>0.10   80000.0</t>
  </si>
  <si>
    <t>Matacil</t>
  </si>
  <si>
    <t>6.00    4.00</t>
  </si>
  <si>
    <t>Mavrik</t>
  </si>
  <si>
    <t>0.40 1000000.0</t>
  </si>
  <si>
    <t>Merpan</t>
  </si>
  <si>
    <t>4.000   1</t>
  </si>
  <si>
    <t>0.00    9.00</t>
  </si>
  <si>
    <t>0.60     198.0</t>
  </si>
  <si>
    <t>Metasystox</t>
  </si>
  <si>
    <t>1000000.000   1</t>
  </si>
  <si>
    <t>Metaldehyde</t>
  </si>
  <si>
    <t>230.000   1</t>
  </si>
  <si>
    <t>1.00     240.0</t>
  </si>
  <si>
    <t>Methyl Parathion</t>
  </si>
  <si>
    <t>0.60   14000.0</t>
  </si>
  <si>
    <t>Milogard</t>
  </si>
  <si>
    <t>8.600  13</t>
  </si>
  <si>
    <t>0.40     154.0</t>
  </si>
  <si>
    <t>Miral</t>
  </si>
  <si>
    <t>69.000   3</t>
  </si>
  <si>
    <t>Mitac</t>
  </si>
  <si>
    <t>2.00    1.00</t>
  </si>
  <si>
    <t>0.40    1000.0</t>
  </si>
  <si>
    <t>Mocap</t>
  </si>
  <si>
    <t>750.000   2</t>
  </si>
  <si>
    <t>Modown</t>
  </si>
  <si>
    <t>0.40   10000.0</t>
  </si>
  <si>
    <t>Monitor</t>
  </si>
  <si>
    <t>0.90       5.0</t>
  </si>
  <si>
    <t>Morestan</t>
  </si>
  <si>
    <t>1.000   3</t>
  </si>
  <si>
    <t>0.50    2300.0</t>
  </si>
  <si>
    <t>MSMA</t>
  </si>
  <si>
    <t>57000.000   1</t>
  </si>
  <si>
    <t>1.00  300000.0</t>
  </si>
  <si>
    <t>Nemacur</t>
  </si>
  <si>
    <t>400.000   5</t>
  </si>
  <si>
    <t>1.00     100.0</t>
  </si>
  <si>
    <t>N. Sulfoxide</t>
  </si>
  <si>
    <t>400.000   4</t>
  </si>
  <si>
    <t>2.00   99.00</t>
  </si>
  <si>
    <t>1.00      40.0</t>
  </si>
  <si>
    <t>N. Sulfone</t>
  </si>
  <si>
    <t>400.000   1</t>
  </si>
  <si>
    <t>8.00   99.00</t>
  </si>
  <si>
    <t>1.00      45.0</t>
  </si>
  <si>
    <t>Norton</t>
  </si>
  <si>
    <t>50.000   3</t>
  </si>
  <si>
    <t>0.60     340.0</t>
  </si>
  <si>
    <t>N-Serve</t>
  </si>
  <si>
    <t>40.000   1</t>
  </si>
  <si>
    <t>1.00     570.0</t>
  </si>
  <si>
    <t>Octave</t>
  </si>
  <si>
    <t>34.000  12</t>
  </si>
  <si>
    <t>0.50     500.0</t>
  </si>
  <si>
    <t>Oftanol</t>
  </si>
  <si>
    <t>24.000  15</t>
  </si>
  <si>
    <t>0.60     600.0</t>
  </si>
  <si>
    <t>Ordram</t>
  </si>
  <si>
    <t>970.000   2</t>
  </si>
  <si>
    <t>1.00     190.0</t>
  </si>
  <si>
    <t>Orthene</t>
  </si>
  <si>
    <t>3.00    2.50</t>
  </si>
  <si>
    <t>0.70       2.0</t>
  </si>
  <si>
    <t>Orthocide</t>
  </si>
  <si>
    <t>2.50    9.00</t>
  </si>
  <si>
    <t>Oust</t>
  </si>
  <si>
    <t>70.000   2</t>
  </si>
  <si>
    <t>0.60      78.0</t>
  </si>
  <si>
    <t>Paarlan</t>
  </si>
  <si>
    <t>1.00   10000.0</t>
  </si>
  <si>
    <t>Paraquat</t>
  </si>
  <si>
    <t>Pay-Off</t>
  </si>
  <si>
    <t>Penncap-M</t>
  </si>
  <si>
    <t>0.90    5100.0</t>
  </si>
  <si>
    <t>Phenatox</t>
  </si>
  <si>
    <t>9.00    2.00</t>
  </si>
  <si>
    <t>Phosdrin</t>
  </si>
  <si>
    <t>3.00    0.60</t>
  </si>
  <si>
    <t>0.90      44.0</t>
  </si>
  <si>
    <t>Phoskil</t>
  </si>
  <si>
    <t>24.000   1</t>
  </si>
  <si>
    <t>0.70    5000.0</t>
  </si>
  <si>
    <t>Pipron</t>
  </si>
  <si>
    <t>20.000   3</t>
  </si>
  <si>
    <t>0.60    5000.0</t>
  </si>
  <si>
    <t>Pix</t>
  </si>
  <si>
    <t>1000000.000 100</t>
  </si>
  <si>
    <t>Plantvax</t>
  </si>
  <si>
    <t>0.70      95.0</t>
  </si>
  <si>
    <t>2 Plus 2</t>
  </si>
  <si>
    <t>660000.000   2</t>
  </si>
  <si>
    <t>Poast</t>
  </si>
  <si>
    <t>0.70     100.0</t>
  </si>
  <si>
    <t>Polyram</t>
  </si>
  <si>
    <t>0.40  500000.0</t>
  </si>
  <si>
    <t>Pounce</t>
  </si>
  <si>
    <t>0.30  100000.0</t>
  </si>
  <si>
    <t>Pramitol</t>
  </si>
  <si>
    <t>720.000  50</t>
  </si>
  <si>
    <t>0.80     150.0</t>
  </si>
  <si>
    <t>Prefar</t>
  </si>
  <si>
    <t>5.600  12</t>
  </si>
  <si>
    <t>Prelude</t>
  </si>
  <si>
    <t>620000.000 100</t>
  </si>
  <si>
    <t>Prime</t>
  </si>
  <si>
    <t>Princep</t>
  </si>
  <si>
    <t>6.200   6</t>
  </si>
  <si>
    <t>0.40     130.0</t>
  </si>
  <si>
    <t>Probe</t>
  </si>
  <si>
    <t>1.500   1</t>
  </si>
  <si>
    <t>0.40    3000.0</t>
  </si>
  <si>
    <t>Prowl</t>
  </si>
  <si>
    <t>0.300   9</t>
  </si>
  <si>
    <t>0.40    5000.0</t>
  </si>
  <si>
    <t>Pursuit</t>
  </si>
  <si>
    <t>200000.000   9</t>
  </si>
  <si>
    <t>Pydrin</t>
  </si>
  <si>
    <t>5.00   10.00</t>
  </si>
  <si>
    <t>0.30    5300.0</t>
  </si>
  <si>
    <t>Pyramin</t>
  </si>
  <si>
    <t>400.000   2</t>
  </si>
  <si>
    <t>0.90     120.0</t>
  </si>
  <si>
    <t>Ramrod</t>
  </si>
  <si>
    <t>Reflex</t>
  </si>
  <si>
    <t>700000.000  10</t>
  </si>
  <si>
    <t>0.90      60.0</t>
  </si>
  <si>
    <t>Rescue</t>
  </si>
  <si>
    <t>709000.000   1</t>
  </si>
  <si>
    <t>Ridomil</t>
  </si>
  <si>
    <t>8400.000   7</t>
  </si>
  <si>
    <t>0.70      50.0</t>
  </si>
  <si>
    <t>Ro-Neet</t>
  </si>
  <si>
    <t>95.000   3</t>
  </si>
  <si>
    <t>0.50     430.0</t>
  </si>
  <si>
    <t>Ronstar</t>
  </si>
  <si>
    <t>0.700   6</t>
  </si>
  <si>
    <t>0.50    3200.0</t>
  </si>
  <si>
    <t>Roundup</t>
  </si>
  <si>
    <t>900000.000   4</t>
  </si>
  <si>
    <t>7.00    2.50</t>
  </si>
  <si>
    <t>0.60   24000.0</t>
  </si>
  <si>
    <t>Rovral</t>
  </si>
  <si>
    <t>13.900   1</t>
  </si>
  <si>
    <t>0.40     700.0</t>
  </si>
  <si>
    <t>Royal Slo-Gro</t>
  </si>
  <si>
    <t>400000.000   3</t>
  </si>
  <si>
    <t>Rubigan</t>
  </si>
  <si>
    <t>14.000  36</t>
  </si>
  <si>
    <t>0.40     600.0</t>
  </si>
  <si>
    <t>Sancap</t>
  </si>
  <si>
    <t>16.000   3</t>
  </si>
  <si>
    <t>0.40     900.0</t>
  </si>
  <si>
    <t>Savey</t>
  </si>
  <si>
    <t>0.500   3</t>
  </si>
  <si>
    <t>0.40    6200.0</t>
  </si>
  <si>
    <t>Scepter</t>
  </si>
  <si>
    <t>160000.000   6</t>
  </si>
  <si>
    <t>Sencor</t>
  </si>
  <si>
    <t>1220.000   4</t>
  </si>
  <si>
    <t>0.80      60.0</t>
  </si>
  <si>
    <t>Sevin</t>
  </si>
  <si>
    <t>2,4,5-TP</t>
  </si>
  <si>
    <t>2.500   2</t>
  </si>
  <si>
    <t>0.40    2600.0</t>
  </si>
  <si>
    <t>Sinbar</t>
  </si>
  <si>
    <t>710.000  12</t>
  </si>
  <si>
    <t>0.70      55.0</t>
  </si>
  <si>
    <t>Slug-Geta</t>
  </si>
  <si>
    <t>24.000   3</t>
  </si>
  <si>
    <t>0.70     300.0</t>
  </si>
  <si>
    <t>Sonalan</t>
  </si>
  <si>
    <t>0.40    4000.0</t>
  </si>
  <si>
    <t>Sonar</t>
  </si>
  <si>
    <t>Spectracide</t>
  </si>
  <si>
    <t>60.000   4</t>
  </si>
  <si>
    <t>0.90    1000.0</t>
  </si>
  <si>
    <t>Spike</t>
  </si>
  <si>
    <t>2500.000  36</t>
  </si>
  <si>
    <t>0.90      80.0</t>
  </si>
  <si>
    <t>Sprout Nip</t>
  </si>
  <si>
    <t>89.000   3</t>
  </si>
  <si>
    <t>0.90     400.0</t>
  </si>
  <si>
    <t>Stam</t>
  </si>
  <si>
    <t>1.00    1.00</t>
  </si>
  <si>
    <t>0.70     149.0</t>
  </si>
  <si>
    <t>Supracide</t>
  </si>
  <si>
    <t>Surflan</t>
  </si>
  <si>
    <t>Sutan</t>
  </si>
  <si>
    <t>44.000   1</t>
  </si>
  <si>
    <t>3.00    1.00</t>
  </si>
  <si>
    <t>0.30     400.0</t>
  </si>
  <si>
    <t>Swat</t>
  </si>
  <si>
    <t>7.00    5.00</t>
  </si>
  <si>
    <t>0.90       7.0</t>
  </si>
  <si>
    <t>Tackle</t>
  </si>
  <si>
    <t>250000.000   1</t>
  </si>
  <si>
    <t>0.90     113.0</t>
  </si>
  <si>
    <t>Talstar</t>
  </si>
  <si>
    <t>6.00    7.00</t>
  </si>
  <si>
    <t>0.40  240000.0</t>
  </si>
  <si>
    <t>Tandem</t>
  </si>
  <si>
    <t>1.800   2</t>
  </si>
  <si>
    <t>8.00    8.00</t>
  </si>
  <si>
    <t>0.40    5600.0</t>
  </si>
  <si>
    <t>Tanone</t>
  </si>
  <si>
    <t>200.000   4</t>
  </si>
  <si>
    <t>0.60     250.0</t>
  </si>
  <si>
    <t>Tattoo</t>
  </si>
  <si>
    <t>0.90     570.0</t>
  </si>
  <si>
    <t>TBZ</t>
  </si>
  <si>
    <t>50.000  40</t>
  </si>
  <si>
    <t>3.00   30.00</t>
  </si>
  <si>
    <t>0.60    2500.0</t>
  </si>
  <si>
    <t>Telone</t>
  </si>
  <si>
    <t>1.00      62.0</t>
  </si>
  <si>
    <t>Telone II</t>
  </si>
  <si>
    <t>2250.000   1</t>
  </si>
  <si>
    <t>1.00      32.0</t>
  </si>
  <si>
    <t>Temik</t>
  </si>
  <si>
    <t>6000.000   4</t>
  </si>
  <si>
    <t>7.00    2.00</t>
  </si>
  <si>
    <t>T. Sulfoxide</t>
  </si>
  <si>
    <t>6000.000   3</t>
  </si>
  <si>
    <t>T. Sulfone</t>
  </si>
  <si>
    <t>6000.000   2</t>
  </si>
  <si>
    <t>1.00      10.0</t>
  </si>
  <si>
    <t>Tenoran</t>
  </si>
  <si>
    <t>2.500   6</t>
  </si>
  <si>
    <t>Terbutrex</t>
  </si>
  <si>
    <t>22.000   4</t>
  </si>
  <si>
    <t>2.00    5.00</t>
  </si>
  <si>
    <t>0.50    2000.0</t>
  </si>
  <si>
    <t>Terrachlor</t>
  </si>
  <si>
    <t>0.400   2</t>
  </si>
  <si>
    <t>1.00    4.00</t>
  </si>
  <si>
    <t>Terraneb</t>
  </si>
  <si>
    <t>8.000  13</t>
  </si>
  <si>
    <t>0.50    1650.0</t>
  </si>
  <si>
    <t>Terrazole</t>
  </si>
  <si>
    <t>Thimet</t>
  </si>
  <si>
    <t>22.000   6</t>
  </si>
  <si>
    <t>Thiodan</t>
  </si>
  <si>
    <t>0.300   5</t>
  </si>
  <si>
    <t>0.10   12400.0</t>
  </si>
  <si>
    <t>Thiram</t>
  </si>
  <si>
    <t>30.000   1</t>
  </si>
  <si>
    <t>0.50     670.0</t>
  </si>
  <si>
    <t>Thistrol</t>
  </si>
  <si>
    <t>Tillam</t>
  </si>
  <si>
    <t>0.70     430.0</t>
  </si>
  <si>
    <t>Tilt</t>
  </si>
  <si>
    <t>110.000  11</t>
  </si>
  <si>
    <t>Tolban</t>
  </si>
  <si>
    <t>0.100  14</t>
  </si>
  <si>
    <t>0.30    2240.0</t>
  </si>
  <si>
    <t>Topsin</t>
  </si>
  <si>
    <t>3.500   1</t>
  </si>
  <si>
    <t>0.40    1830.0</t>
  </si>
  <si>
    <t>Tordan</t>
  </si>
  <si>
    <t>100000.000   3</t>
  </si>
  <si>
    <t>0.60      20.0</t>
  </si>
  <si>
    <t>Tordon</t>
  </si>
  <si>
    <t>0.60      16.0</t>
  </si>
  <si>
    <t>Toxaphene</t>
  </si>
  <si>
    <t>0.400  50</t>
  </si>
  <si>
    <t>0.10  400000.0</t>
  </si>
  <si>
    <t>Tralomethrin</t>
  </si>
  <si>
    <t>7.00    1.00</t>
  </si>
  <si>
    <t>Treflan</t>
  </si>
  <si>
    <t>0.40    8000.0</t>
  </si>
  <si>
    <t>Tre-Hold</t>
  </si>
  <si>
    <t>105.000   1</t>
  </si>
  <si>
    <t>0.40     300.0</t>
  </si>
  <si>
    <t>Trithion</t>
  </si>
  <si>
    <t>0.600   1</t>
  </si>
  <si>
    <t>5.00    6.00</t>
  </si>
  <si>
    <t>0.70   12500.0</t>
  </si>
  <si>
    <t>Tupersan</t>
  </si>
  <si>
    <t>18.000   9</t>
  </si>
  <si>
    <t>0.70     420.0</t>
  </si>
  <si>
    <t>Turflon</t>
  </si>
  <si>
    <t>23.000   4</t>
  </si>
  <si>
    <t>0.70     780.0</t>
  </si>
  <si>
    <t>Vapam</t>
  </si>
  <si>
    <t>7.00   99.00</t>
  </si>
  <si>
    <t>Velpar</t>
  </si>
  <si>
    <t>33000.000   9</t>
  </si>
  <si>
    <t>0.90      54.0</t>
  </si>
  <si>
    <t>Vendex</t>
  </si>
  <si>
    <t>0.000   9</t>
  </si>
  <si>
    <t>0.20    2300.0</t>
  </si>
  <si>
    <t>Vernam</t>
  </si>
  <si>
    <t>108.000   1</t>
  </si>
  <si>
    <t>2.00    2.00</t>
  </si>
  <si>
    <t>0.80     260.0</t>
  </si>
  <si>
    <t>Vitavax</t>
  </si>
  <si>
    <t>1.00     260.0</t>
  </si>
  <si>
    <t>Volck oils</t>
  </si>
  <si>
    <t>Vorlex</t>
  </si>
  <si>
    <t>7600.000   1</t>
  </si>
  <si>
    <t>Vydate</t>
  </si>
  <si>
    <t>0.90      25.0</t>
  </si>
  <si>
    <t>Weedar</t>
  </si>
  <si>
    <t>796000.000   1</t>
  </si>
  <si>
    <t>Weed-B-Gon</t>
  </si>
  <si>
    <t>500000.000   2</t>
  </si>
  <si>
    <t>4.00   10.00</t>
  </si>
  <si>
    <t>Weedone</t>
  </si>
  <si>
    <t>50.000   1</t>
  </si>
  <si>
    <t>Zolone</t>
  </si>
  <si>
    <t>3.000   2</t>
  </si>
  <si>
    <t>1.00    8.00</t>
  </si>
  <si>
    <t>0.60    1800.0</t>
  </si>
  <si>
    <t>TRICLOPYR</t>
  </si>
  <si>
    <t>430.000   9</t>
  </si>
  <si>
    <t>9.00   34.00</t>
  </si>
  <si>
    <t>ZCVXSA</t>
  </si>
  <si>
    <t>225.000  25</t>
  </si>
  <si>
    <t>4.00    8.00</t>
  </si>
  <si>
    <t>zq</t>
  </si>
  <si>
    <t>ZADS</t>
  </si>
  <si>
    <t>225.000   2</t>
  </si>
  <si>
    <t>3.00    8.00</t>
  </si>
  <si>
    <t>ZXCAD</t>
  </si>
  <si>
    <t>23.000   2</t>
  </si>
  <si>
    <t>ZSACVB</t>
  </si>
  <si>
    <t>ZZAAQQQQ</t>
  </si>
  <si>
    <t>5000.000   1</t>
  </si>
  <si>
    <t>0.40    3222.0</t>
  </si>
  <si>
    <t>WPM10604.DAT</t>
  </si>
  <si>
    <t>WIND0604.DAT</t>
  </si>
  <si>
    <t>PARM1501.DAT</t>
  </si>
  <si>
    <t>MLRN1501.DAT</t>
  </si>
  <si>
    <t>PRNT1501.DAT</t>
  </si>
  <si>
    <t>HERD1501.DAT</t>
  </si>
  <si>
    <t>SUB0075.SUB</t>
  </si>
  <si>
    <t>USC00290692.DLY</t>
  </si>
  <si>
    <t>US1NMSJ0010.DLY</t>
  </si>
  <si>
    <t>USC00052441.DLY</t>
  </si>
  <si>
    <t>USW00093005.DLY</t>
  </si>
  <si>
    <t>US1COLP0022.DLY</t>
  </si>
  <si>
    <t>USC00053016.DLY</t>
  </si>
  <si>
    <t>USC00057656.DLY</t>
  </si>
  <si>
    <t>USS0007M35S.DLY</t>
  </si>
  <si>
    <t>US1COLP0044.DLY</t>
  </si>
  <si>
    <t>US1COLP0020.DLY</t>
  </si>
  <si>
    <t>USS0008M08S.DLY</t>
  </si>
  <si>
    <t>US1COLP0034.DLY</t>
  </si>
  <si>
    <t>A</t>
  </si>
  <si>
    <t>co737665.SOL</t>
  </si>
  <si>
    <t>co737665</t>
  </si>
  <si>
    <t>RANGE</t>
  </si>
  <si>
    <t>IMPV.OPC</t>
  </si>
  <si>
    <t>AREA</t>
  </si>
  <si>
    <t>NO</t>
  </si>
  <si>
    <t>FRSE.OPC</t>
  </si>
  <si>
    <t>TREES</t>
  </si>
  <si>
    <t>HAY.OPC</t>
  </si>
  <si>
    <t>COASTAL</t>
  </si>
  <si>
    <t>1Y</t>
  </si>
  <si>
    <t>ROT</t>
  </si>
  <si>
    <t>HAY</t>
  </si>
  <si>
    <t>RNGB.OPC</t>
  </si>
  <si>
    <t>MESQUITE</t>
  </si>
  <si>
    <t>6 RANGE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</si>
</sst>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E+00"/>
    <numFmt numFmtId="166" formatCode="0.0"/>
  </numFmts>
  <fonts count="63"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rgb="FFFF0000"/>
      <name val="Calibri"/>
      <family val="2"/>
      <scheme val="minor"/>
    </font>
    <font>
      <b/>
      <sz val="11"/>
      <color theme="1"/>
      <name val="Calibri"/>
      <family val="2"/>
      <scheme val="minor"/>
    </font>
    <font>
      <sz val="10"/>
      <color theme="1"/>
      <name val="Times New Roman"/>
      <family val="1"/>
    </font>
    <font>
      <i/>
      <sz val="10"/>
      <color theme="1"/>
      <name val="Times New Roman"/>
      <family val="1"/>
    </font>
    <font>
      <i/>
      <sz val="11"/>
      <color theme="1"/>
      <name val="Calibri"/>
      <family val="2"/>
      <scheme val="minor"/>
    </font>
    <font>
      <sz val="12"/>
      <color theme="1"/>
      <name val="Times New Roman"/>
      <family val="1"/>
    </font>
    <font>
      <i/>
      <sz val="12"/>
      <color theme="1"/>
      <name val="Times New Roman"/>
      <family val="1"/>
    </font>
    <font>
      <i/>
      <sz val="11"/>
      <color rgb="FFFF0000"/>
      <name val="Calibri"/>
      <family val="2"/>
      <scheme val="minor"/>
    </font>
    <font>
      <b/>
      <sz val="9"/>
      <color theme="1"/>
      <name val="Calibri"/>
      <family val="2"/>
      <scheme val="minor"/>
    </font>
    <font>
      <b/>
      <sz val="8"/>
      <color theme="1"/>
      <name val="Calibri"/>
      <family val="2"/>
      <scheme val="minor"/>
    </font>
    <font>
      <vertAlign val="superscript"/>
      <sz val="10"/>
      <color theme="1"/>
      <name val="Times New Roman"/>
      <family val="1"/>
    </font>
    <font>
      <sz val="9"/>
      <color indexed="81"/>
      <name val="Tahoma"/>
      <family val="2"/>
    </font>
    <font>
      <b/>
      <sz val="9"/>
      <color indexed="81"/>
      <name val="Tahoma"/>
      <family val="2"/>
    </font>
    <font>
      <sz val="11"/>
      <name val="Calibri"/>
      <family val="2"/>
      <scheme val="minor"/>
    </font>
    <font>
      <sz val="11"/>
      <color rgb="FF0070C0"/>
      <name val="Calibri"/>
      <family val="2"/>
      <scheme val="minor"/>
    </font>
    <font>
      <b/>
      <sz val="11"/>
      <color rgb="FFFF0000"/>
      <name val="Calibri"/>
      <family val="2"/>
      <scheme val="minor"/>
    </font>
    <font>
      <sz val="9"/>
      <color theme="1"/>
      <name val="Calibri"/>
      <family val="2"/>
      <scheme val="minor"/>
    </font>
    <font>
      <sz val="11"/>
      <color theme="0"/>
      <name val="Calibri"/>
      <family val="2"/>
      <scheme val="minor"/>
    </font>
    <font>
      <sz val="11"/>
      <color theme="0" tint="-0.499984740745262"/>
      <name val="Calibri"/>
      <family val="2"/>
      <scheme val="minor"/>
    </font>
    <font>
      <b/>
      <i/>
      <sz val="11"/>
      <color theme="1"/>
      <name val="Calibri"/>
      <family val="2"/>
      <scheme val="minor"/>
    </font>
    <font>
      <b/>
      <sz val="11"/>
      <name val="Calibri"/>
      <family val="2"/>
      <scheme val="minor"/>
    </font>
    <font>
      <sz val="11"/>
      <color theme="4" tint="-0.499984740745262"/>
      <name val="Calibri"/>
      <family val="2"/>
      <scheme val="minor"/>
    </font>
    <font>
      <sz val="11"/>
      <color theme="0" tint="-0.34998626667073579"/>
      <name val="Calibri"/>
      <family val="2"/>
      <scheme val="minor"/>
    </font>
    <font>
      <b/>
      <sz val="12"/>
      <color theme="1"/>
      <name val="Calibri"/>
      <family val="2"/>
      <scheme val="minor"/>
    </font>
    <font>
      <sz val="14"/>
      <color theme="1"/>
      <name val="Calibri"/>
      <family val="2"/>
      <scheme val="minor"/>
    </font>
    <font>
      <b/>
      <sz val="14"/>
      <color theme="1"/>
      <name val="Calibri"/>
      <family val="2"/>
      <scheme val="minor"/>
    </font>
    <font>
      <b/>
      <sz val="28"/>
      <color rgb="FF660033"/>
      <name val="Calibri"/>
      <family val="2"/>
      <scheme val="minor"/>
    </font>
    <font>
      <b/>
      <sz val="11"/>
      <color theme="0" tint="-0.499984740745262"/>
      <name val="Calibri"/>
      <family val="2"/>
      <scheme val="minor"/>
    </font>
    <font>
      <b/>
      <i/>
      <sz val="11"/>
      <color rgb="FFFF0000"/>
      <name val="Calibri"/>
      <family val="2"/>
      <scheme val="minor"/>
    </font>
    <font>
      <b/>
      <i/>
      <sz val="10"/>
      <color theme="1"/>
      <name val="Times New Roman"/>
      <family val="1"/>
    </font>
    <font>
      <b/>
      <i/>
      <sz val="11"/>
      <name val="Calibri"/>
      <family val="2"/>
      <scheme val="minor"/>
    </font>
    <font>
      <b/>
      <sz val="12"/>
      <color theme="0"/>
      <name val="Calibri"/>
      <family val="2"/>
      <scheme val="minor"/>
    </font>
    <font>
      <b/>
      <sz val="14"/>
      <color theme="0"/>
      <name val="Calibri"/>
      <family val="2"/>
      <scheme val="minor"/>
    </font>
    <font>
      <i/>
      <sz val="10"/>
      <color theme="1"/>
      <name val="Calibri"/>
      <family val="2"/>
      <scheme val="minor"/>
    </font>
    <font>
      <i/>
      <sz val="10"/>
      <color rgb="FFFF0000"/>
      <name val="Calibri"/>
      <family val="2"/>
      <scheme val="minor"/>
    </font>
    <font>
      <sz val="10"/>
      <color theme="1"/>
      <name val="Calibri"/>
      <family val="2"/>
      <scheme val="minor"/>
    </font>
    <font>
      <sz val="9"/>
      <color rgb="FFFF0000"/>
      <name val="Calibri"/>
      <family val="2"/>
      <scheme val="minor"/>
    </font>
    <font>
      <b/>
      <i/>
      <sz val="11"/>
      <color rgb="FF0000FF"/>
      <name val="Calibri"/>
      <family val="2"/>
      <scheme val="minor"/>
    </font>
    <font>
      <sz val="11"/>
      <color rgb="FF0000FF"/>
      <name val="Calibri"/>
      <family val="2"/>
      <scheme val="minor"/>
    </font>
    <font>
      <b/>
      <sz val="11"/>
      <color rgb="FF0000FF"/>
      <name val="Calibri"/>
      <family val="2"/>
      <scheme val="minor"/>
    </font>
    <font>
      <sz val="12"/>
      <name val="Calibri"/>
      <family val="2"/>
      <scheme val="minor"/>
    </font>
    <font>
      <sz val="11"/>
      <color theme="9" tint="-0.249977111117893"/>
      <name val="Calibri"/>
      <family val="2"/>
      <scheme val="minor"/>
    </font>
    <font>
      <b/>
      <sz val="16"/>
      <color theme="1"/>
      <name val="Calibri"/>
      <family val="2"/>
      <scheme val="minor"/>
    </font>
    <font>
      <i/>
      <sz val="11"/>
      <name val="Calibri"/>
      <family val="2"/>
      <scheme val="minor"/>
    </font>
    <font>
      <i/>
      <sz val="10"/>
      <name val="Calibri"/>
      <family val="2"/>
      <scheme val="minor"/>
    </font>
    <font>
      <b/>
      <sz val="9"/>
      <name val="Calibri"/>
      <family val="2"/>
      <scheme val="minor"/>
    </font>
    <font>
      <i/>
      <sz val="10"/>
      <name val="Times New Roman"/>
      <family val="1"/>
    </font>
    <font>
      <b/>
      <sz val="28"/>
      <color rgb="FF44546A"/>
      <name val="Calibri"/>
      <family val="2"/>
      <scheme val="minor"/>
    </font>
    <font>
      <b/>
      <sz val="12"/>
      <color rgb="FF44546A"/>
      <name val="Calibri"/>
      <family val="2"/>
      <scheme val="minor"/>
    </font>
    <font>
      <sz val="11"/>
      <color theme="1"/>
      <name val="Calibri"/>
      <family val="2"/>
      <scheme val="minor"/>
    </font>
    <font>
      <sz val="11"/>
      <color theme="0" tint="-0.14999847407452621"/>
      <name val="Calibri"/>
      <family val="2"/>
      <scheme val="minor"/>
    </font>
    <font>
      <i/>
      <sz val="11"/>
      <color theme="0" tint="-0.14999847407452621"/>
      <name val="Calibri"/>
      <family val="2"/>
      <scheme val="minor"/>
    </font>
    <font>
      <b/>
      <sz val="11"/>
      <color theme="0" tint="-0.249977111117893"/>
      <name val="Calibri"/>
      <family val="2"/>
      <scheme val="minor"/>
    </font>
    <font>
      <sz val="11"/>
      <color theme="0" tint="-0.249977111117893"/>
      <name val="Calibri"/>
      <family val="2"/>
      <scheme val="minor"/>
    </font>
    <font>
      <i/>
      <sz val="11"/>
      <color theme="0" tint="-0.249977111117893"/>
      <name val="Calibri"/>
      <family val="2"/>
      <scheme val="minor"/>
    </font>
    <font>
      <sz val="9"/>
      <color indexed="81"/>
      <name val="Tahoma"/>
      <charset val="1"/>
    </font>
  </fonts>
  <fills count="6">
    <fill>
      <patternFill patternType="none"/>
    </fill>
    <fill>
      <patternFill patternType="gray125"/>
    </fill>
    <fill>
      <patternFill patternType="solid">
        <fgColor theme="4" tint="-0.249977111117893"/>
        <bgColor indexed="64"/>
      </patternFill>
    </fill>
    <fill>
      <patternFill patternType="solid">
        <fgColor theme="4" tint="0.79998168889431442"/>
        <bgColor indexed="64"/>
      </patternFill>
    </fill>
    <fill>
      <patternFill patternType="solid">
        <fgColor theme="0"/>
        <bgColor indexed="64"/>
      </patternFill>
    </fill>
    <fill>
      <patternFill patternType="solid">
        <fgColor rgb="FFFFFF00"/>
        <bgColor indexed="64"/>
      </patternFill>
    </fill>
  </fills>
  <borders count="10">
    <border>
      <left/>
      <right/>
      <top/>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3">
    <xf numFmtId="0" fontId="0" fillId="0" borderId="0"/>
    <xf numFmtId="0" fontId="3" fillId="0" borderId="0"/>
    <xf numFmtId="0" fontId="56" fillId="0" borderId="0"/>
  </cellStyleXfs>
  <cellXfs count="205">
    <xf numFmtId="0" fontId="0" fillId="0" borderId="0" xfId="0"/>
    <xf numFmtId="0" fontId="8" fillId="0" borderId="0" xfId="0" applyFont="1"/>
    <xf numFmtId="0" fontId="10" fillId="0" borderId="0" xfId="0" applyFont="1"/>
    <xf numFmtId="0" fontId="11" fillId="0" borderId="0" xfId="0" applyFont="1"/>
    <xf numFmtId="0" fontId="7" fillId="0" borderId="0" xfId="0" applyFont="1" applyAlignment="1">
      <alignment horizontal="center"/>
    </xf>
    <xf numFmtId="0" fontId="15" fillId="0" borderId="0" xfId="0" applyFont="1"/>
    <xf numFmtId="0" fontId="0" fillId="0" borderId="0" xfId="0" applyAlignment="1">
      <alignment horizontal="center"/>
    </xf>
    <xf numFmtId="0" fontId="16" fillId="0" borderId="0" xfId="0" applyFont="1" applyAlignment="1">
      <alignment horizontal="center"/>
    </xf>
    <xf numFmtId="0" fontId="8" fillId="0" borderId="0" xfId="0" applyFont="1" applyAlignment="1">
      <alignment horizontal="center"/>
    </xf>
    <xf numFmtId="0" fontId="0" fillId="0" borderId="0" xfId="0" applyFont="1"/>
    <xf numFmtId="0" fontId="7" fillId="0" borderId="0" xfId="0" applyFont="1"/>
    <xf numFmtId="0" fontId="16" fillId="0" borderId="0" xfId="0" applyFont="1" applyAlignment="1">
      <alignment horizontal="left"/>
    </xf>
    <xf numFmtId="0" fontId="20" fillId="0" borderId="0" xfId="0" applyFont="1"/>
    <xf numFmtId="0" fontId="14" fillId="0" borderId="0" xfId="0" applyFont="1"/>
    <xf numFmtId="0" fontId="11" fillId="0" borderId="0" xfId="0" applyFont="1" applyAlignment="1">
      <alignment horizontal="center"/>
    </xf>
    <xf numFmtId="0" fontId="21" fillId="0" borderId="0" xfId="0" applyFont="1"/>
    <xf numFmtId="0" fontId="21" fillId="0" borderId="0" xfId="0" applyFont="1" applyAlignment="1">
      <alignment horizontal="center"/>
    </xf>
    <xf numFmtId="0" fontId="22" fillId="0" borderId="0" xfId="0" applyFont="1"/>
    <xf numFmtId="0" fontId="0" fillId="0" borderId="0" xfId="0" applyFont="1" applyBorder="1" applyAlignment="1"/>
    <xf numFmtId="0" fontId="0" fillId="0" borderId="0" xfId="0" applyFont="1" applyBorder="1" applyAlignment="1">
      <alignment horizontal="left" vertical="center"/>
    </xf>
    <xf numFmtId="0" fontId="0" fillId="0" borderId="0" xfId="0" applyFont="1" applyBorder="1" applyAlignment="1">
      <alignment vertical="center"/>
    </xf>
    <xf numFmtId="0" fontId="11" fillId="0" borderId="0" xfId="0" applyFont="1" applyBorder="1" applyAlignment="1">
      <alignment horizontal="left" vertical="center"/>
    </xf>
    <xf numFmtId="0" fontId="8" fillId="0" borderId="0" xfId="0" applyFont="1" applyBorder="1" applyAlignment="1">
      <alignment horizontal="left" vertical="center"/>
    </xf>
    <xf numFmtId="0" fontId="0" fillId="0" borderId="0" xfId="0" applyFont="1" applyBorder="1" applyAlignment="1">
      <alignment horizontal="left" vertical="top"/>
    </xf>
    <xf numFmtId="0" fontId="0" fillId="0" borderId="0" xfId="0" applyFont="1" applyBorder="1" applyAlignment="1">
      <alignment vertical="top"/>
    </xf>
    <xf numFmtId="0" fontId="0" fillId="0" borderId="0" xfId="0" applyFont="1" applyBorder="1" applyAlignment="1">
      <alignment horizontal="left"/>
    </xf>
    <xf numFmtId="0" fontId="0" fillId="0" borderId="0" xfId="0" applyFont="1" applyBorder="1"/>
    <xf numFmtId="0" fontId="0" fillId="0" borderId="0" xfId="0" applyFont="1" applyBorder="1" applyAlignment="1">
      <alignment horizontal="center" vertical="center"/>
    </xf>
    <xf numFmtId="0" fontId="0" fillId="0" borderId="0" xfId="0" applyFont="1" applyBorder="1" applyAlignment="1">
      <alignment horizontal="right" vertical="center"/>
    </xf>
    <xf numFmtId="2" fontId="0" fillId="0" borderId="0" xfId="0" applyNumberFormat="1"/>
    <xf numFmtId="0" fontId="0" fillId="0" borderId="0" xfId="0" quotePrefix="1" applyAlignment="1"/>
    <xf numFmtId="0" fontId="15" fillId="0" borderId="0" xfId="0" applyFont="1" applyAlignment="1">
      <alignment vertical="center"/>
    </xf>
    <xf numFmtId="0" fontId="15" fillId="0" borderId="0" xfId="0" applyFont="1" applyAlignment="1">
      <alignment horizontal="right" vertical="center"/>
    </xf>
    <xf numFmtId="49" fontId="0" fillId="0" borderId="0" xfId="0" applyNumberFormat="1"/>
    <xf numFmtId="49" fontId="16" fillId="0" borderId="0" xfId="0" applyNumberFormat="1" applyFont="1" applyAlignment="1">
      <alignment horizontal="center"/>
    </xf>
    <xf numFmtId="49" fontId="8" fillId="0" borderId="0" xfId="0" applyNumberFormat="1" applyFont="1" applyAlignment="1">
      <alignment horizontal="center"/>
    </xf>
    <xf numFmtId="0" fontId="24" fillId="0" borderId="0" xfId="0" applyFont="1"/>
    <xf numFmtId="0" fontId="0" fillId="0" borderId="0" xfId="0" applyAlignment="1">
      <alignment horizontal="right"/>
    </xf>
    <xf numFmtId="2" fontId="0" fillId="0" borderId="0" xfId="0" applyNumberFormat="1" applyFont="1"/>
    <xf numFmtId="165" fontId="0" fillId="0" borderId="0" xfId="0" applyNumberFormat="1" applyFont="1"/>
    <xf numFmtId="0" fontId="26" fillId="0" borderId="0" xfId="0" applyFont="1" applyAlignment="1">
      <alignment horizontal="right"/>
    </xf>
    <xf numFmtId="2" fontId="22" fillId="0" borderId="0" xfId="0" applyNumberFormat="1" applyFont="1"/>
    <xf numFmtId="0" fontId="7" fillId="0" borderId="0" xfId="0" applyFont="1" applyAlignment="1">
      <alignment horizontal="right" vertical="center"/>
    </xf>
    <xf numFmtId="2" fontId="7" fillId="0" borderId="0" xfId="0" applyNumberFormat="1" applyFont="1" applyAlignment="1">
      <alignment horizontal="right" vertical="center"/>
    </xf>
    <xf numFmtId="2" fontId="25" fillId="0" borderId="0" xfId="0" applyNumberFormat="1" applyFont="1" applyAlignment="1">
      <alignment horizontal="right" vertical="center"/>
    </xf>
    <xf numFmtId="165" fontId="24" fillId="0" borderId="0" xfId="0" applyNumberFormat="1" applyFont="1"/>
    <xf numFmtId="0" fontId="8" fillId="0" borderId="0" xfId="0" applyFont="1" applyAlignment="1">
      <alignment horizontal="right"/>
    </xf>
    <xf numFmtId="0" fontId="27" fillId="0" borderId="0" xfId="0" applyFont="1" applyAlignment="1">
      <alignment horizontal="right"/>
    </xf>
    <xf numFmtId="2" fontId="7" fillId="0" borderId="0" xfId="0" applyNumberFormat="1" applyFont="1"/>
    <xf numFmtId="2" fontId="28" fillId="0" borderId="0" xfId="0" applyNumberFormat="1" applyFont="1"/>
    <xf numFmtId="0" fontId="29" fillId="0" borderId="0" xfId="0" applyFont="1"/>
    <xf numFmtId="0" fontId="22" fillId="0" borderId="0" xfId="0" applyFont="1" applyAlignment="1">
      <alignment horizontal="right"/>
    </xf>
    <xf numFmtId="0" fontId="31" fillId="0" borderId="0" xfId="0" applyFont="1"/>
    <xf numFmtId="0" fontId="0" fillId="4" borderId="2" xfId="0" applyFont="1" applyFill="1" applyBorder="1"/>
    <xf numFmtId="0" fontId="0" fillId="4" borderId="3" xfId="0" applyFont="1" applyFill="1" applyBorder="1" applyAlignment="1">
      <alignment horizontal="center"/>
    </xf>
    <xf numFmtId="0" fontId="0" fillId="0" borderId="0" xfId="0" applyBorder="1"/>
    <xf numFmtId="0" fontId="0" fillId="4" borderId="0" xfId="0" applyFill="1"/>
    <xf numFmtId="0" fontId="32" fillId="4" borderId="6" xfId="0" applyFont="1" applyFill="1" applyBorder="1"/>
    <xf numFmtId="0" fontId="0" fillId="4" borderId="0" xfId="0" applyFont="1" applyFill="1" applyBorder="1" applyAlignment="1">
      <alignment horizontal="center" vertical="center"/>
    </xf>
    <xf numFmtId="0" fontId="0" fillId="4" borderId="0" xfId="0" applyFill="1" applyAlignment="1">
      <alignment vertical="center"/>
    </xf>
    <xf numFmtId="0" fontId="8" fillId="4" borderId="0" xfId="0" applyFont="1" applyFill="1" applyBorder="1" applyAlignment="1"/>
    <xf numFmtId="0" fontId="25" fillId="4" borderId="0" xfId="0" applyFont="1" applyFill="1" applyBorder="1" applyAlignment="1">
      <alignment vertical="center"/>
    </xf>
    <xf numFmtId="0" fontId="25" fillId="4" borderId="0" xfId="0" applyFont="1" applyFill="1" applyBorder="1" applyAlignment="1">
      <alignment horizontal="right" vertical="center"/>
    </xf>
    <xf numFmtId="0" fontId="23" fillId="4" borderId="5" xfId="0" applyFont="1" applyFill="1" applyBorder="1" applyAlignment="1">
      <alignment vertical="top" wrapText="1"/>
    </xf>
    <xf numFmtId="0" fontId="32" fillId="4" borderId="7" xfId="0" applyFont="1" applyFill="1" applyBorder="1"/>
    <xf numFmtId="0" fontId="8" fillId="4" borderId="8" xfId="0" applyFont="1" applyFill="1" applyBorder="1" applyAlignment="1"/>
    <xf numFmtId="0" fontId="8" fillId="4" borderId="8" xfId="0" applyFont="1" applyFill="1" applyBorder="1"/>
    <xf numFmtId="0" fontId="0" fillId="4" borderId="8" xfId="0" applyFill="1" applyBorder="1"/>
    <xf numFmtId="0" fontId="23" fillId="4" borderId="8" xfId="0" applyFont="1" applyFill="1" applyBorder="1" applyAlignment="1">
      <alignment horizontal="left" vertical="top" wrapText="1"/>
    </xf>
    <xf numFmtId="0" fontId="23" fillId="4" borderId="9" xfId="0" applyFont="1" applyFill="1" applyBorder="1" applyAlignment="1">
      <alignment horizontal="left" vertical="top" wrapText="1"/>
    </xf>
    <xf numFmtId="0" fontId="0" fillId="0" borderId="0" xfId="0" applyBorder="1" applyAlignment="1">
      <alignment vertical="center"/>
    </xf>
    <xf numFmtId="0" fontId="8" fillId="0" borderId="0" xfId="0" applyFont="1" applyBorder="1" applyAlignment="1">
      <alignment horizontal="center"/>
    </xf>
    <xf numFmtId="0" fontId="27" fillId="0" borderId="0" xfId="0" applyFont="1" applyBorder="1" applyAlignment="1">
      <alignment horizontal="left"/>
    </xf>
    <xf numFmtId="0" fontId="33" fillId="4" borderId="3" xfId="0" applyFont="1" applyFill="1" applyBorder="1" applyAlignment="1">
      <alignment vertical="center"/>
    </xf>
    <xf numFmtId="0" fontId="33" fillId="4" borderId="4" xfId="0" applyFont="1" applyFill="1" applyBorder="1" applyAlignment="1">
      <alignment vertical="center"/>
    </xf>
    <xf numFmtId="0" fontId="33" fillId="4" borderId="0" xfId="0" applyFont="1" applyFill="1" applyBorder="1" applyAlignment="1">
      <alignment vertical="center"/>
    </xf>
    <xf numFmtId="0" fontId="33" fillId="4" borderId="5" xfId="0" applyFont="1" applyFill="1" applyBorder="1" applyAlignment="1">
      <alignment vertical="center"/>
    </xf>
    <xf numFmtId="0" fontId="26" fillId="0" borderId="0" xfId="0" applyFont="1" applyAlignment="1">
      <alignment horizontal="center"/>
    </xf>
    <xf numFmtId="0" fontId="35" fillId="0" borderId="0" xfId="0" applyFont="1" applyAlignment="1">
      <alignment horizontal="center"/>
    </xf>
    <xf numFmtId="0" fontId="36" fillId="0" borderId="0" xfId="0" applyFont="1" applyAlignment="1">
      <alignment horizontal="center"/>
    </xf>
    <xf numFmtId="0" fontId="26" fillId="0" borderId="0" xfId="0" applyFont="1" applyAlignment="1">
      <alignment horizontal="left"/>
    </xf>
    <xf numFmtId="0" fontId="37" fillId="0" borderId="0" xfId="0" applyFont="1" applyAlignment="1">
      <alignment horizontal="center"/>
    </xf>
    <xf numFmtId="0" fontId="26" fillId="0" borderId="0" xfId="0" applyFont="1" applyAlignment="1">
      <alignment horizontal="center"/>
    </xf>
    <xf numFmtId="0" fontId="6" fillId="0" borderId="1" xfId="0" applyFont="1" applyBorder="1" applyAlignment="1">
      <alignment horizontal="center"/>
    </xf>
    <xf numFmtId="0" fontId="6" fillId="3" borderId="1" xfId="0" applyFont="1" applyFill="1" applyBorder="1" applyAlignment="1">
      <alignment horizontal="center"/>
    </xf>
    <xf numFmtId="0" fontId="39" fillId="0" borderId="0" xfId="0" applyFont="1" applyAlignment="1">
      <alignment horizontal="center"/>
    </xf>
    <xf numFmtId="0" fontId="38" fillId="2" borderId="1" xfId="0" applyFont="1" applyFill="1" applyBorder="1" applyAlignment="1">
      <alignment horizontal="center"/>
    </xf>
    <xf numFmtId="0" fontId="40" fillId="0" borderId="0" xfId="0" applyFont="1"/>
    <xf numFmtId="0" fontId="41" fillId="0" borderId="0" xfId="0" applyFont="1"/>
    <xf numFmtId="0" fontId="41" fillId="0" borderId="0" xfId="0" applyFont="1" applyAlignment="1">
      <alignment horizontal="center"/>
    </xf>
    <xf numFmtId="0" fontId="42" fillId="0" borderId="0" xfId="0" applyFont="1"/>
    <xf numFmtId="0" fontId="5" fillId="3" borderId="1" xfId="0" applyFont="1" applyFill="1" applyBorder="1" applyAlignment="1">
      <alignment horizontal="center"/>
    </xf>
    <xf numFmtId="0" fontId="15" fillId="0" borderId="0" xfId="0" applyFont="1" applyFill="1" applyAlignment="1"/>
    <xf numFmtId="0" fontId="0" fillId="0" borderId="0" xfId="0" applyFill="1"/>
    <xf numFmtId="0" fontId="43" fillId="0" borderId="0" xfId="0" applyFont="1" applyFill="1" applyAlignment="1"/>
    <xf numFmtId="0" fontId="0" fillId="0" borderId="0" xfId="0" applyAlignment="1"/>
    <xf numFmtId="0" fontId="21" fillId="0" borderId="0" xfId="0" applyFont="1" applyAlignment="1"/>
    <xf numFmtId="0" fontId="7" fillId="0" borderId="0" xfId="0" applyFont="1" applyAlignment="1"/>
    <xf numFmtId="0" fontId="16" fillId="0" borderId="0" xfId="0" applyFont="1" applyAlignment="1"/>
    <xf numFmtId="0" fontId="8" fillId="0" borderId="0" xfId="0" applyFont="1" applyAlignment="1">
      <alignment horizontal="left"/>
    </xf>
    <xf numFmtId="0" fontId="8" fillId="0" borderId="0" xfId="0" applyFont="1" applyFill="1" applyAlignment="1">
      <alignment horizontal="center"/>
    </xf>
    <xf numFmtId="0" fontId="26" fillId="0" borderId="0" xfId="0" applyFont="1" applyAlignment="1">
      <alignment horizontal="center"/>
    </xf>
    <xf numFmtId="0" fontId="44" fillId="0" borderId="0" xfId="0" applyFont="1" applyAlignment="1">
      <alignment horizontal="center"/>
    </xf>
    <xf numFmtId="0" fontId="20" fillId="0" borderId="0" xfId="0" quotePrefix="1" applyFont="1"/>
    <xf numFmtId="0" fontId="0" fillId="0" borderId="0" xfId="0" applyAlignment="1">
      <alignment horizontal="left"/>
    </xf>
    <xf numFmtId="0" fontId="46" fillId="0" borderId="0" xfId="0" applyFont="1" applyAlignment="1">
      <alignment horizontal="center"/>
    </xf>
    <xf numFmtId="0" fontId="45" fillId="0" borderId="0" xfId="0" applyFont="1"/>
    <xf numFmtId="0" fontId="20" fillId="0" borderId="0" xfId="0" applyFont="1" applyBorder="1" applyAlignment="1">
      <alignment horizontal="right" vertical="center"/>
    </xf>
    <xf numFmtId="0" fontId="20" fillId="0" borderId="0" xfId="0" applyFont="1" applyBorder="1" applyAlignment="1">
      <alignment horizontal="center" vertical="center"/>
    </xf>
    <xf numFmtId="0" fontId="0" fillId="0" borderId="0" xfId="0" applyFont="1" applyAlignment="1">
      <alignment vertical="center"/>
    </xf>
    <xf numFmtId="0" fontId="11" fillId="0" borderId="0" xfId="0" applyFont="1" applyAlignment="1">
      <alignment vertical="center"/>
    </xf>
    <xf numFmtId="0" fontId="47" fillId="0" borderId="0" xfId="0" applyFont="1"/>
    <xf numFmtId="1" fontId="47" fillId="0" borderId="0" xfId="0" applyNumberFormat="1" applyFont="1"/>
    <xf numFmtId="2" fontId="47" fillId="0" borderId="0" xfId="0" applyNumberFormat="1" applyFont="1"/>
    <xf numFmtId="0" fontId="0" fillId="0" borderId="0" xfId="0" applyAlignment="1">
      <alignment vertical="center"/>
    </xf>
    <xf numFmtId="0" fontId="7" fillId="0" borderId="0" xfId="0" applyFont="1" applyAlignment="1">
      <alignment vertical="center"/>
    </xf>
    <xf numFmtId="0" fontId="48" fillId="0" borderId="0" xfId="0" applyFont="1"/>
    <xf numFmtId="0" fontId="23" fillId="0" borderId="0" xfId="0" applyFont="1"/>
    <xf numFmtId="0" fontId="22" fillId="0" borderId="0" xfId="0" applyFont="1" applyAlignment="1">
      <alignment horizontal="center"/>
    </xf>
    <xf numFmtId="164" fontId="0" fillId="0" borderId="0" xfId="0" applyNumberFormat="1" applyFont="1"/>
    <xf numFmtId="2" fontId="48" fillId="0" borderId="0" xfId="0" applyNumberFormat="1" applyFont="1"/>
    <xf numFmtId="2" fontId="20" fillId="0" borderId="0" xfId="0" applyNumberFormat="1" applyFont="1"/>
    <xf numFmtId="164" fontId="20" fillId="0" borderId="0" xfId="0" applyNumberFormat="1" applyFont="1"/>
    <xf numFmtId="0" fontId="15" fillId="0" borderId="0" xfId="0" applyFont="1" applyFill="1" applyAlignment="1">
      <alignment vertical="center"/>
    </xf>
    <xf numFmtId="0" fontId="0" fillId="0" borderId="0" xfId="0" applyFill="1" applyAlignment="1">
      <alignment vertical="center"/>
    </xf>
    <xf numFmtId="0" fontId="43" fillId="0" borderId="0" xfId="0" applyFont="1" applyFill="1" applyAlignment="1">
      <alignment vertical="center"/>
    </xf>
    <xf numFmtId="0" fontId="0" fillId="0" borderId="0" xfId="0" applyFont="1" applyFill="1" applyAlignment="1">
      <alignment vertical="center"/>
    </xf>
    <xf numFmtId="49" fontId="0" fillId="0" borderId="0" xfId="0" applyNumberFormat="1" applyAlignment="1">
      <alignment vertical="center"/>
    </xf>
    <xf numFmtId="0" fontId="0" fillId="0" borderId="0" xfId="0" applyAlignment="1">
      <alignment horizontal="left" vertical="center"/>
    </xf>
    <xf numFmtId="0" fontId="49" fillId="0" borderId="0" xfId="0" applyFont="1" applyAlignment="1">
      <alignment vertical="center"/>
    </xf>
    <xf numFmtId="164" fontId="0" fillId="0" borderId="0" xfId="0" applyNumberFormat="1"/>
    <xf numFmtId="0" fontId="7" fillId="0" borderId="0" xfId="0" applyFont="1" applyFill="1"/>
    <xf numFmtId="0" fontId="20" fillId="0" borderId="0" xfId="0" applyFont="1" applyAlignment="1">
      <alignment vertical="center"/>
    </xf>
    <xf numFmtId="0" fontId="20" fillId="0" borderId="0" xfId="0" applyFont="1" applyFill="1" applyAlignment="1">
      <alignment vertical="center"/>
    </xf>
    <xf numFmtId="0" fontId="50" fillId="0" borderId="0" xfId="0" applyFont="1"/>
    <xf numFmtId="0" fontId="51" fillId="0" borderId="0" xfId="0" applyFont="1"/>
    <xf numFmtId="0" fontId="52" fillId="0" borderId="0" xfId="0" applyFont="1" applyAlignment="1">
      <alignment horizontal="right" vertical="center"/>
    </xf>
    <xf numFmtId="0" fontId="52" fillId="0" borderId="0" xfId="0" applyFont="1" applyFill="1" applyAlignment="1">
      <alignment vertical="center"/>
    </xf>
    <xf numFmtId="16" fontId="20" fillId="0" borderId="0" xfId="0" applyNumberFormat="1" applyFont="1"/>
    <xf numFmtId="22" fontId="7" fillId="0" borderId="0" xfId="0" applyNumberFormat="1" applyFont="1"/>
    <xf numFmtId="0" fontId="4" fillId="0" borderId="1" xfId="0" applyFont="1" applyBorder="1" applyAlignment="1">
      <alignment horizontal="center"/>
    </xf>
    <xf numFmtId="0" fontId="4" fillId="3" borderId="1" xfId="0" applyFont="1" applyFill="1" applyBorder="1" applyAlignment="1">
      <alignment horizontal="center"/>
    </xf>
    <xf numFmtId="0" fontId="26" fillId="0" borderId="0" xfId="0" applyFont="1" applyAlignment="1">
      <alignment horizontal="center"/>
    </xf>
    <xf numFmtId="0" fontId="54" fillId="4" borderId="3" xfId="0" applyFont="1" applyFill="1" applyBorder="1" applyAlignment="1">
      <alignment vertical="center"/>
    </xf>
    <xf numFmtId="0" fontId="55" fillId="4" borderId="0" xfId="0" applyFont="1" applyFill="1" applyBorder="1" applyAlignment="1">
      <alignment vertical="center"/>
    </xf>
    <xf numFmtId="1" fontId="0" fillId="0" borderId="0" xfId="0" applyNumberFormat="1" applyFont="1"/>
    <xf numFmtId="1" fontId="20" fillId="0" borderId="0" xfId="0" applyNumberFormat="1" applyFont="1"/>
    <xf numFmtId="2" fontId="45" fillId="0" borderId="0" xfId="0" applyNumberFormat="1" applyFont="1"/>
    <xf numFmtId="164" fontId="45" fillId="0" borderId="0" xfId="0" applyNumberFormat="1" applyFont="1"/>
    <xf numFmtId="166" fontId="0" fillId="0" borderId="0" xfId="0" applyNumberFormat="1"/>
    <xf numFmtId="166" fontId="45" fillId="0" borderId="0" xfId="0" applyNumberFormat="1" applyFont="1"/>
    <xf numFmtId="0" fontId="3" fillId="0" borderId="1" xfId="0" applyFont="1" applyBorder="1" applyAlignment="1">
      <alignment horizontal="center"/>
    </xf>
    <xf numFmtId="0" fontId="20" fillId="0" borderId="0" xfId="0" applyFont="1" applyAlignment="1">
      <alignment horizontal="right"/>
    </xf>
    <xf numFmtId="0" fontId="52" fillId="0" borderId="0" xfId="0" applyFont="1" applyAlignment="1">
      <alignment horizontal="left"/>
    </xf>
    <xf numFmtId="0" fontId="29" fillId="0" borderId="0" xfId="0" applyFont="1" applyBorder="1" applyAlignment="1">
      <alignment horizontal="right" vertical="center"/>
    </xf>
    <xf numFmtId="0" fontId="0" fillId="0" borderId="0" xfId="0" applyFont="1" applyAlignment="1">
      <alignment horizontal="right"/>
    </xf>
    <xf numFmtId="0" fontId="0" fillId="0" borderId="0" xfId="0" applyAlignment="1">
      <alignment horizontal="right" vertical="center"/>
    </xf>
    <xf numFmtId="0" fontId="43" fillId="0" borderId="0" xfId="0" applyFont="1" applyFill="1" applyAlignment="1">
      <alignment horizontal="right" vertical="center"/>
    </xf>
    <xf numFmtId="0" fontId="11" fillId="0" borderId="0" xfId="0" applyFont="1" applyAlignment="1">
      <alignment horizontal="right"/>
    </xf>
    <xf numFmtId="0" fontId="7" fillId="0" borderId="0" xfId="0" applyFont="1" applyAlignment="1">
      <alignment horizontal="right"/>
    </xf>
    <xf numFmtId="0" fontId="0" fillId="0" borderId="0" xfId="0" applyFont="1" applyBorder="1" applyAlignment="1">
      <alignment horizontal="right"/>
    </xf>
    <xf numFmtId="0" fontId="7" fillId="0" borderId="0" xfId="2" applyFont="1" applyAlignment="1">
      <alignment horizontal="right"/>
    </xf>
    <xf numFmtId="0" fontId="26" fillId="0" borderId="0" xfId="0" applyFont="1" applyAlignment="1">
      <alignment horizontal="center"/>
    </xf>
    <xf numFmtId="0" fontId="0" fillId="0" borderId="0" xfId="0" applyFont="1" applyAlignment="1">
      <alignment horizontal="center" vertical="center"/>
    </xf>
    <xf numFmtId="0" fontId="0" fillId="0" borderId="0" xfId="0" applyFont="1" applyAlignment="1">
      <alignment horizontal="left" vertical="center"/>
    </xf>
    <xf numFmtId="0" fontId="7" fillId="0" borderId="0" xfId="2" applyFont="1"/>
    <xf numFmtId="0" fontId="57" fillId="0" borderId="0" xfId="0" applyFont="1" applyAlignment="1">
      <alignment horizontal="left" vertical="center"/>
    </xf>
    <xf numFmtId="0" fontId="57" fillId="0" borderId="0" xfId="0" applyFont="1" applyAlignment="1">
      <alignment horizontal="center" vertical="center"/>
    </xf>
    <xf numFmtId="0" fontId="58" fillId="0" borderId="0" xfId="0" applyFont="1"/>
    <xf numFmtId="0" fontId="57" fillId="0" borderId="0" xfId="0" applyFont="1"/>
    <xf numFmtId="0" fontId="25" fillId="0" borderId="0" xfId="0" applyFont="1" applyAlignment="1">
      <alignment horizontal="right"/>
    </xf>
    <xf numFmtId="0" fontId="57" fillId="0" borderId="0" xfId="2" applyFont="1" applyAlignment="1">
      <alignment horizontal="right"/>
    </xf>
    <xf numFmtId="0" fontId="29" fillId="0" borderId="0" xfId="0" applyFont="1" applyAlignment="1">
      <alignment horizontal="right"/>
    </xf>
    <xf numFmtId="0" fontId="9" fillId="0" borderId="0" xfId="0" applyFont="1"/>
    <xf numFmtId="49" fontId="20" fillId="0" borderId="0" xfId="0" applyNumberFormat="1" applyFont="1"/>
    <xf numFmtId="0" fontId="59" fillId="0" borderId="0" xfId="0" applyFont="1" applyAlignment="1">
      <alignment horizontal="right"/>
    </xf>
    <xf numFmtId="2" fontId="60" fillId="0" borderId="0" xfId="0" applyNumberFormat="1" applyFont="1"/>
    <xf numFmtId="2" fontId="28" fillId="0" borderId="0" xfId="0" applyNumberFormat="1" applyFont="1" applyAlignment="1">
      <alignment horizontal="right"/>
    </xf>
    <xf numFmtId="0" fontId="60" fillId="0" borderId="0" xfId="0" applyFont="1"/>
    <xf numFmtId="0" fontId="60" fillId="0" borderId="0" xfId="0" applyFont="1" applyAlignment="1">
      <alignment horizontal="center"/>
    </xf>
    <xf numFmtId="0" fontId="60" fillId="0" borderId="0" xfId="0" applyFont="1" applyBorder="1" applyAlignment="1">
      <alignment horizontal="right" vertical="center"/>
    </xf>
    <xf numFmtId="0" fontId="60" fillId="0" borderId="0" xfId="0" applyFont="1" applyBorder="1" applyAlignment="1">
      <alignment horizontal="center" vertical="center"/>
    </xf>
    <xf numFmtId="0" fontId="60" fillId="0" borderId="0" xfId="2" applyFont="1" applyAlignment="1">
      <alignment horizontal="right"/>
    </xf>
    <xf numFmtId="0" fontId="60" fillId="0" borderId="0" xfId="0" applyFont="1" applyAlignment="1">
      <alignment horizontal="left" vertical="center"/>
    </xf>
    <xf numFmtId="0" fontId="61" fillId="0" borderId="0" xfId="0" applyFont="1"/>
    <xf numFmtId="0" fontId="60" fillId="0" borderId="0" xfId="0" applyFont="1" applyAlignment="1">
      <alignment vertical="center"/>
    </xf>
    <xf numFmtId="0" fontId="20" fillId="0" borderId="0" xfId="0" applyFont="1" applyAlignment="1">
      <alignment horizontal="left" vertical="center"/>
    </xf>
    <xf numFmtId="0" fontId="20" fillId="0" borderId="0" xfId="2" applyFont="1"/>
    <xf numFmtId="0" fontId="20" fillId="0" borderId="0" xfId="0" applyFont="1" applyAlignment="1">
      <alignment horizontal="center" vertical="center"/>
    </xf>
    <xf numFmtId="0" fontId="20" fillId="0" borderId="0" xfId="0" applyFont="1" applyBorder="1" applyAlignment="1">
      <alignment horizontal="left" vertical="center"/>
    </xf>
    <xf numFmtId="0" fontId="20" fillId="0" borderId="0" xfId="0" applyFont="1" applyBorder="1" applyAlignment="1">
      <alignment vertical="center"/>
    </xf>
    <xf numFmtId="0" fontId="27" fillId="0" borderId="0" xfId="0" applyFont="1" applyAlignment="1">
      <alignment horizontal="left"/>
    </xf>
    <xf numFmtId="0" fontId="2" fillId="0" borderId="1" xfId="0" applyFont="1" applyBorder="1" applyAlignment="1">
      <alignment horizontal="center"/>
    </xf>
    <xf numFmtId="0" fontId="2" fillId="3" borderId="1" xfId="0" applyFont="1" applyFill="1" applyBorder="1" applyAlignment="1">
      <alignment horizontal="center"/>
    </xf>
    <xf numFmtId="0" fontId="4" fillId="0" borderId="1" xfId="0" applyFont="1" applyBorder="1" applyAlignment="1">
      <alignment horizontal="left"/>
    </xf>
    <xf numFmtId="0" fontId="6" fillId="0" borderId="1" xfId="0" applyFont="1" applyBorder="1" applyAlignment="1">
      <alignment horizontal="left"/>
    </xf>
    <xf numFmtId="0" fontId="5" fillId="3" borderId="1" xfId="0" applyFont="1" applyFill="1" applyBorder="1" applyAlignment="1">
      <alignment horizontal="left"/>
    </xf>
    <xf numFmtId="0" fontId="6" fillId="3" borderId="1" xfId="0" applyFont="1" applyFill="1" applyBorder="1" applyAlignment="1">
      <alignment horizontal="left"/>
    </xf>
    <xf numFmtId="0" fontId="38" fillId="2" borderId="1" xfId="0" applyFont="1" applyFill="1" applyBorder="1" applyAlignment="1">
      <alignment horizontal="center"/>
    </xf>
    <xf numFmtId="14" fontId="34" fillId="4" borderId="0" xfId="0" applyNumberFormat="1" applyFont="1" applyFill="1" applyBorder="1" applyAlignment="1">
      <alignment horizontal="left" vertical="top"/>
    </xf>
    <xf numFmtId="0" fontId="26" fillId="0" borderId="0" xfId="0" applyFont="1" applyAlignment="1">
      <alignment horizontal="center"/>
    </xf>
    <xf numFmtId="0" fontId="15" fillId="0" borderId="0" xfId="0" applyFont="1" applyAlignment="1">
      <alignment horizontal="center"/>
    </xf>
    <xf numFmtId="0" fontId="8" fillId="5" borderId="0" xfId="0" applyFont="1" applyFill="1"/>
    <xf numFmtId="0" fontId="0" fillId="5" borderId="0" xfId="0" applyFill="1"/>
    <xf numFmtId="0" fontId="8" fillId="0" borderId="0" xfId="0" applyFont="1" applyFill="1"/>
  </cellXfs>
  <cellStyles count="3">
    <cellStyle name="Normal" xfId="0" builtinId="0"/>
    <cellStyle name="Normal 2" xfId="2" xr:uid="{00000000-0005-0000-0000-000001000000}"/>
    <cellStyle name="Normal 3" xfId="1" xr:uid="{00000000-0005-0000-0000-000002000000}"/>
  </cellStyles>
  <dxfs count="0"/>
  <tableStyles count="0" defaultTableStyle="TableStyleMedium2" defaultPivotStyle="PivotStyleLight16"/>
  <colors>
    <mruColors>
      <color rgb="FF0000FF"/>
      <color rgb="FF4454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activeX/activeX8.xml><?xml version="1.0" encoding="utf-8"?>
<ax:ocx xmlns:ax="http://schemas.microsoft.com/office/2006/activeX" xmlns:r="http://schemas.openxmlformats.org/officeDocument/2006/relationships" ax:classid="{8BD21D30-EC42-11CE-9E0D-00AA006002F3}" r:id="rId1"/>
</file>

<file path=xl/activeX/activeX9.xml><?xml version="1.0" encoding="utf-8"?>
<ax:ocx xmlns:ax="http://schemas.microsoft.com/office/2006/activeX" xmlns:r="http://schemas.openxmlformats.org/officeDocument/2006/relationships" ax:classid="{D7053240-CE69-11CD-A777-00DD01143C57}" r:id="rId1"/>
</file>

<file path=xl/activeX/activeX10.xml><?xml version="1.0" encoding="utf-8"?>
<ax:ocx xmlns:ax="http://schemas.microsoft.com/office/2006/activeX" xmlns:r="http://schemas.openxmlformats.org/officeDocument/2006/relationships" ax:classid="{D7053240-CE69-11CD-A777-00DD01143C57}" r:id="rId1"/>
</file>

<file path=xl/activeX/activeX11.xml><?xml version="1.0" encoding="utf-8"?>
<ax:ocx xmlns:ax="http://schemas.microsoft.com/office/2006/activeX" xmlns:r="http://schemas.openxmlformats.org/officeDocument/2006/relationships" ax:classid="{D7053240-CE69-11CD-A777-00DD01143C57}" r:id="rId1"/>
</file>

<file path=xl/activeX/activeX12.xml><?xml version="1.0" encoding="utf-8"?>
<ax:ocx xmlns:ax="http://schemas.microsoft.com/office/2006/activeX" xmlns:r="http://schemas.openxmlformats.org/officeDocument/2006/relationships" ax:classid="{D7053240-CE69-11CD-A777-00DD01143C57}" r:id="rId1"/>
</file>

<file path=xl/activeX/activeX13.xml><?xml version="1.0" encoding="utf-8"?>
<ax:ocx xmlns:ax="http://schemas.microsoft.com/office/2006/activeX" xmlns:r="http://schemas.openxmlformats.org/officeDocument/2006/relationships" ax:classid="{8BD21D30-EC42-11CE-9E0D-00AA006002F3}" r:id="rId1"/>
</file>

<file path=xl/activeX/activeX14.xml><?xml version="1.0" encoding="utf-8"?>
<ax:ocx xmlns:ax="http://schemas.microsoft.com/office/2006/activeX" xmlns:r="http://schemas.openxmlformats.org/officeDocument/2006/relationships" ax:classid="{D7053240-CE69-11CD-A777-00DD01143C57}" r:id="rId1"/>
</file>

<file path=xl/activeX/activeX15.xml><?xml version="1.0" encoding="utf-8"?>
<ax:ocx xmlns:ax="http://schemas.microsoft.com/office/2006/activeX" xmlns:r="http://schemas.openxmlformats.org/officeDocument/2006/relationships" ax:classid="{D7053240-CE69-11CD-A777-00DD01143C57}" r:id="rId1"/>
</file>

<file path=xl/activeX/activeX16.xml><?xml version="1.0" encoding="utf-8"?>
<ax:ocx xmlns:ax="http://schemas.microsoft.com/office/2006/activeX" xmlns:r="http://schemas.openxmlformats.org/officeDocument/2006/relationships" ax:classid="{D7053240-CE69-11CD-A777-00DD01143C57}" r:id="rId1"/>
</file>

<file path=xl/activeX/activeX17.xml><?xml version="1.0" encoding="utf-8"?>
<ax:ocx xmlns:ax="http://schemas.microsoft.com/office/2006/activeX" xmlns:r="http://schemas.openxmlformats.org/officeDocument/2006/relationships" ax:classid="{D7053240-CE69-11CD-A777-00DD01143C57}" r:id="rId1"/>
</file>

<file path=xl/activeX/activeX18.xml><?xml version="1.0" encoding="utf-8"?>
<ax:ocx xmlns:ax="http://schemas.microsoft.com/office/2006/activeX" xmlns:r="http://schemas.openxmlformats.org/officeDocument/2006/relationships" ax:classid="{D7053240-CE69-11CD-A777-00DD01143C57}" r:id="rId1"/>
</file>

<file path=xl/activeX/activeX19.xml><?xml version="1.0" encoding="utf-8"?>
<ax:ocx xmlns:ax="http://schemas.microsoft.com/office/2006/activeX" xmlns:r="http://schemas.openxmlformats.org/officeDocument/2006/relationships" ax:classid="{D7053240-CE69-11CD-A777-00DD01143C57}" r:id="rId1"/>
</file>

<file path=xl/activeX/activeX20.xml><?xml version="1.0" encoding="utf-8"?>
<ax:ocx xmlns:ax="http://schemas.microsoft.com/office/2006/activeX" xmlns:r="http://schemas.openxmlformats.org/officeDocument/2006/relationships" ax:classid="{D7053240-CE69-11CD-A777-00DD01143C57}" r:id="rId1"/>
</file>

<file path=xl/activeX/activeX21.xml><?xml version="1.0" encoding="utf-8"?>
<ax:ocx xmlns:ax="http://schemas.microsoft.com/office/2006/activeX" xmlns:r="http://schemas.openxmlformats.org/officeDocument/2006/relationships" ax:classid="{8BD21D30-EC42-11CE-9E0D-00AA006002F3}" r:id="rId1"/>
</file>

<file path=xl/activeX/activeX22.xml><?xml version="1.0" encoding="utf-8"?>
<ax:ocx xmlns:ax="http://schemas.microsoft.com/office/2006/activeX" xmlns:r="http://schemas.openxmlformats.org/officeDocument/2006/relationships" ax:classid="{D7053240-CE69-11CD-A777-00DD01143C57}" r:id="rId1"/>
</file>

<file path=xl/activeX/activeX23.xml><?xml version="1.0" encoding="utf-8"?>
<ax:ocx xmlns:ax="http://schemas.microsoft.com/office/2006/activeX" xmlns:r="http://schemas.openxmlformats.org/officeDocument/2006/relationships" ax:classid="{D7053240-CE69-11CD-A777-00DD01143C57}" r:id="rId1"/>
</file>

<file path=xl/activeX/activeX24.xml><?xml version="1.0" encoding="utf-8"?>
<ax:ocx xmlns:ax="http://schemas.microsoft.com/office/2006/activeX" xmlns:r="http://schemas.openxmlformats.org/officeDocument/2006/relationships" ax:classid="{D7053240-CE69-11CD-A777-00DD01143C57}" r:id="rId1"/>
</file>

<file path=xl/activeX/activeX25.xml><?xml version="1.0" encoding="utf-8"?>
<ax:ocx xmlns:ax="http://schemas.microsoft.com/office/2006/activeX" xmlns:r="http://schemas.openxmlformats.org/officeDocument/2006/relationships" ax:classid="{D7053240-CE69-11CD-A777-00DD01143C57}" r:id="rId1"/>
</file>

<file path=xl/activeX/activeX26.xml><?xml version="1.0" encoding="utf-8"?>
<ax:ocx xmlns:ax="http://schemas.microsoft.com/office/2006/activeX" xmlns:r="http://schemas.openxmlformats.org/officeDocument/2006/relationships" ax:classid="{8BD21D30-EC42-11CE-9E0D-00AA006002F3}" r:id="rId1"/>
</file>

<file path=xl/activeX/activeX27.xml><?xml version="1.0" encoding="utf-8"?>
<ax:ocx xmlns:ax="http://schemas.microsoft.com/office/2006/activeX" xmlns:r="http://schemas.openxmlformats.org/officeDocument/2006/relationships" ax:classid="{D7053240-CE69-11CD-A777-00DD01143C57}" r:id="rId1"/>
</file>

<file path=xl/activeX/activeX28.xml><?xml version="1.0" encoding="utf-8"?>
<ax:ocx xmlns:ax="http://schemas.microsoft.com/office/2006/activeX" xmlns:r="http://schemas.openxmlformats.org/officeDocument/2006/relationships" ax:classid="{D7053240-CE69-11CD-A777-00DD01143C57}" r:id="rId1"/>
</file>

<file path=xl/activeX/activeX29.xml><?xml version="1.0" encoding="utf-8"?>
<ax:ocx xmlns:ax="http://schemas.microsoft.com/office/2006/activeX" xmlns:r="http://schemas.openxmlformats.org/officeDocument/2006/relationships" ax:classid="{D7053240-CE69-11CD-A777-00DD01143C57}" r:id="rId1"/>
</file>

<file path=xl/activeX/activeX30.xml><?xml version="1.0" encoding="utf-8"?>
<ax:ocx xmlns:ax="http://schemas.microsoft.com/office/2006/activeX" xmlns:r="http://schemas.openxmlformats.org/officeDocument/2006/relationships" ax:classid="{D7053240-CE69-11CD-A777-00DD01143C57}" r:id="rId1"/>
</file>

<file path=xl/activeX/activeX31.xml><?xml version="1.0" encoding="utf-8"?>
<ax:ocx xmlns:ax="http://schemas.microsoft.com/office/2006/activeX" xmlns:r="http://schemas.openxmlformats.org/officeDocument/2006/relationships" ax:classid="{8BD21D30-EC42-11CE-9E0D-00AA006002F3}" r:id="rId1"/>
</file>

<file path=xl/activeX/activeX32.xml><?xml version="1.0" encoding="utf-8"?>
<ax:ocx xmlns:ax="http://schemas.microsoft.com/office/2006/activeX" xmlns:r="http://schemas.openxmlformats.org/officeDocument/2006/relationships" ax:classid="{D7053240-CE69-11CD-A777-00DD01143C57}" r:id="rId1"/>
</file>

<file path=xl/activeX/activeX33.xml><?xml version="1.0" encoding="utf-8"?>
<ax:ocx xmlns:ax="http://schemas.microsoft.com/office/2006/activeX" xmlns:r="http://schemas.openxmlformats.org/officeDocument/2006/relationships" ax:classid="{D7053240-CE69-11CD-A777-00DD01143C57}" r:id="rId1"/>
</file>

<file path=xl/activeX/activeX34.xml><?xml version="1.0" encoding="utf-8"?>
<ax:ocx xmlns:ax="http://schemas.microsoft.com/office/2006/activeX" xmlns:r="http://schemas.openxmlformats.org/officeDocument/2006/relationships" ax:classid="{D7053240-CE69-11CD-A777-00DD01143C57}" r:id="rId1"/>
</file>

<file path=xl/activeX/activeX35.xml><?xml version="1.0" encoding="utf-8"?>
<ax:ocx xmlns:ax="http://schemas.microsoft.com/office/2006/activeX" xmlns:r="http://schemas.openxmlformats.org/officeDocument/2006/relationships" ax:classid="{D7053240-CE69-11CD-A777-00DD01143C57}" r:id="rId1"/>
</file>

<file path=xl/activeX/activeX36.xml><?xml version="1.0" encoding="utf-8"?>
<ax:ocx xmlns:ax="http://schemas.microsoft.com/office/2006/activeX" xmlns:r="http://schemas.openxmlformats.org/officeDocument/2006/relationships" ax:classid="{8BD21D30-EC42-11CE-9E0D-00AA006002F3}" r:id="rId1"/>
</file>

<file path=xl/activeX/activeX37.xml><?xml version="1.0" encoding="utf-8"?>
<ax:ocx xmlns:ax="http://schemas.microsoft.com/office/2006/activeX" xmlns:r="http://schemas.openxmlformats.org/officeDocument/2006/relationships" ax:classid="{D7053240-CE69-11CD-A777-00DD01143C57}" r:id="rId1"/>
</file>

<file path=xl/activeX/activeX38.xml><?xml version="1.0" encoding="utf-8"?>
<ax:ocx xmlns:ax="http://schemas.microsoft.com/office/2006/activeX" xmlns:r="http://schemas.openxmlformats.org/officeDocument/2006/relationships" ax:classid="{D7053240-CE69-11CD-A777-00DD01143C57}" r:id="rId1"/>
</file>

<file path=xl/activeX/activeX39.xml><?xml version="1.0" encoding="utf-8"?>
<ax:ocx xmlns:ax="http://schemas.microsoft.com/office/2006/activeX" xmlns:r="http://schemas.openxmlformats.org/officeDocument/2006/relationships" ax:classid="{D7053240-CE69-11CD-A777-00DD01143C57}" r:id="rId1"/>
</file>

<file path=xl/activeX/activeX40.xml><?xml version="1.0" encoding="utf-8"?>
<ax:ocx xmlns:ax="http://schemas.microsoft.com/office/2006/activeX" xmlns:r="http://schemas.openxmlformats.org/officeDocument/2006/relationships" ax:classid="{D7053240-CE69-11CD-A777-00DD01143C57}" r:id="rId1"/>
</file>

<file path=xl/activeX/activeX41.xml><?xml version="1.0" encoding="utf-8"?>
<ax:ocx xmlns:ax="http://schemas.microsoft.com/office/2006/activeX" xmlns:r="http://schemas.openxmlformats.org/officeDocument/2006/relationships" ax:classid="{8BD21D30-EC42-11CE-9E0D-00AA006002F3}" r:id="rId1"/>
</file>

<file path=xl/activeX/activeX42.xml><?xml version="1.0" encoding="utf-8"?>
<ax:ocx xmlns:ax="http://schemas.microsoft.com/office/2006/activeX" xmlns:r="http://schemas.openxmlformats.org/officeDocument/2006/relationships" ax:classid="{D7053240-CE69-11CD-A777-00DD01143C57}" r:id="rId1"/>
</file>

<file path=xl/activeX/activeX43.xml><?xml version="1.0" encoding="utf-8"?>
<ax:ocx xmlns:ax="http://schemas.microsoft.com/office/2006/activeX" xmlns:r="http://schemas.openxmlformats.org/officeDocument/2006/relationships" ax:classid="{D7053240-CE69-11CD-A777-00DD01143C57}" r:id="rId1"/>
</file>

<file path=xl/activeX/activeX44.xml><?xml version="1.0" encoding="utf-8"?>
<ax:ocx xmlns:ax="http://schemas.microsoft.com/office/2006/activeX" xmlns:r="http://schemas.openxmlformats.org/officeDocument/2006/relationships" ax:classid="{D7053240-CE69-11CD-A777-00DD01143C57}" r:id="rId1"/>
</file>

<file path=xl/activeX/activeX45.xml><?xml version="1.0" encoding="utf-8"?>
<ax:ocx xmlns:ax="http://schemas.microsoft.com/office/2006/activeX" xmlns:r="http://schemas.openxmlformats.org/officeDocument/2006/relationships" ax:classid="{D7053240-CE69-11CD-A777-00DD01143C57}" r:id="rId1"/>
</file>

<file path=xl/activeX/activeX46.xml><?xml version="1.0" encoding="utf-8"?>
<ax:ocx xmlns:ax="http://schemas.microsoft.com/office/2006/activeX" xmlns:r="http://schemas.openxmlformats.org/officeDocument/2006/relationships" ax:classid="{D7053240-CE69-11CD-A777-00DD01143C57}" r:id="rId1"/>
</file>

<file path=xl/activeX/activeX47.xml><?xml version="1.0" encoding="utf-8"?>
<ax:ocx xmlns:ax="http://schemas.microsoft.com/office/2006/activeX" xmlns:r="http://schemas.openxmlformats.org/officeDocument/2006/relationships" ax:classid="{D7053240-CE69-11CD-A777-00DD01143C57}" r:id="rId1"/>
</file>

<file path=xl/activeX/activeX48.xml><?xml version="1.0" encoding="utf-8"?>
<ax:ocx xmlns:ax="http://schemas.microsoft.com/office/2006/activeX" xmlns:r="http://schemas.openxmlformats.org/officeDocument/2006/relationships" ax:classid="{8BD21D30-EC42-11CE-9E0D-00AA006002F3}" r:id="rId1"/>
</file>

<file path=xl/activeX/activeX49.xml><?xml version="1.0" encoding="utf-8"?>
<ax:ocx xmlns:ax="http://schemas.microsoft.com/office/2006/activeX" xmlns:r="http://schemas.openxmlformats.org/officeDocument/2006/relationships" ax:classid="{D7053240-CE69-11CD-A777-00DD01143C57}" r:id="rId1"/>
</file>

<file path=xl/activeX/activeX50.xml><?xml version="1.0" encoding="utf-8"?>
<ax:ocx xmlns:ax="http://schemas.microsoft.com/office/2006/activeX" xmlns:r="http://schemas.openxmlformats.org/officeDocument/2006/relationships" ax:classid="{D7053240-CE69-11CD-A777-00DD01143C57}" r:id="rId1"/>
</file>

<file path=xl/activeX/activeX51.xml><?xml version="1.0" encoding="utf-8"?>
<ax:ocx xmlns:ax="http://schemas.microsoft.com/office/2006/activeX" xmlns:r="http://schemas.openxmlformats.org/officeDocument/2006/relationships" ax:classid="{D7053240-CE69-11CD-A777-00DD01143C57}" r:id="rId1"/>
</file>

<file path=xl/activeX/activeX52.xml><?xml version="1.0" encoding="utf-8"?>
<ax:ocx xmlns:ax="http://schemas.microsoft.com/office/2006/activeX" xmlns:r="http://schemas.openxmlformats.org/officeDocument/2006/relationships" ax:classid="{8BD21D30-EC42-11CE-9E0D-00AA006002F3}" r:id="rId1"/>
</file>

<file path=xl/activeX/activeX53.xml><?xml version="1.0" encoding="utf-8"?>
<ax:ocx xmlns:ax="http://schemas.microsoft.com/office/2006/activeX" xmlns:r="http://schemas.openxmlformats.org/officeDocument/2006/relationships" ax:classid="{D7053240-CE69-11CD-A777-00DD01143C57}" r:id="rId1"/>
</file>

<file path=xl/activeX/activeX54.xml><?xml version="1.0" encoding="utf-8"?>
<ax:ocx xmlns:ax="http://schemas.microsoft.com/office/2006/activeX" xmlns:r="http://schemas.openxmlformats.org/officeDocument/2006/relationships" ax:classid="{D7053240-CE69-11CD-A777-00DD01143C57}" r:id="rId1"/>
</file>

<file path=xl/activeX/activeX55.xml><?xml version="1.0" encoding="utf-8"?>
<ax:ocx xmlns:ax="http://schemas.microsoft.com/office/2006/activeX" xmlns:r="http://schemas.openxmlformats.org/officeDocument/2006/relationships" ax:classid="{D7053240-CE69-11CD-A777-00DD01143C57}" r:id="rId1"/>
</file>

<file path=xl/activeX/activeX56.xml><?xml version="1.0" encoding="utf-8"?>
<ax:ocx xmlns:ax="http://schemas.microsoft.com/office/2006/activeX" xmlns:r="http://schemas.openxmlformats.org/officeDocument/2006/relationships" ax:classid="{D7053240-CE69-11CD-A777-00DD01143C57}" r:id="rId1"/>
</file>

<file path=xl/activeX/activeX57.xml><?xml version="1.0" encoding="utf-8"?>
<ax:ocx xmlns:ax="http://schemas.microsoft.com/office/2006/activeX" xmlns:r="http://schemas.openxmlformats.org/officeDocument/2006/relationships" ax:classid="{D7053240-CE69-11CD-A777-00DD01143C57}" r:id="rId1"/>
</file>

<file path=xl/activeX/activeX58.xml><?xml version="1.0" encoding="utf-8"?>
<ax:ocx xmlns:ax="http://schemas.microsoft.com/office/2006/activeX" xmlns:r="http://schemas.openxmlformats.org/officeDocument/2006/relationships" ax:classid="{D7053240-CE69-11CD-A777-00DD01143C57}" r:id="rId1"/>
</file>

<file path=xl/activeX/activeX59.xml><?xml version="1.0" encoding="utf-8"?>
<ax:ocx xmlns:ax="http://schemas.microsoft.com/office/2006/activeX" xmlns:r="http://schemas.openxmlformats.org/officeDocument/2006/relationships" ax:classid="{D7053240-CE69-11CD-A777-00DD01143C57}" r:id="rId1"/>
</file>

<file path=xl/activeX/activeX60.xml><?xml version="1.0" encoding="utf-8"?>
<ax:ocx xmlns:ax="http://schemas.microsoft.com/office/2006/activeX" xmlns:r="http://schemas.openxmlformats.org/officeDocument/2006/relationships" ax:classid="{D7053240-CE69-11CD-A777-00DD01143C57}" r:id="rId1"/>
</file>

<file path=xl/activeX/activeX61.xml><?xml version="1.0" encoding="utf-8"?>
<ax:ocx xmlns:ax="http://schemas.microsoft.com/office/2006/activeX" xmlns:r="http://schemas.openxmlformats.org/officeDocument/2006/relationships" ax:classid="{D7053240-CE69-11CD-A777-00DD01143C57}" r:id="rId1"/>
</file>

<file path=xl/activeX/activeX62.xml><?xml version="1.0" encoding="utf-8"?>
<ax:ocx xmlns:ax="http://schemas.microsoft.com/office/2006/activeX" xmlns:r="http://schemas.openxmlformats.org/officeDocument/2006/relationships" ax:classid="{D7053240-CE69-11CD-A777-00DD01143C57}" r:id="rId1"/>
</file>

<file path=xl/activeX/activeX63.xml><?xml version="1.0" encoding="utf-8"?>
<ax:ocx xmlns:ax="http://schemas.microsoft.com/office/2006/activeX" xmlns:r="http://schemas.openxmlformats.org/officeDocument/2006/relationships" ax:classid="{D7053240-CE69-11CD-A777-00DD01143C57}" r:id="rId1"/>
</file>

<file path=xl/activeX/activeX64.xml><?xml version="1.0" encoding="utf-8"?>
<ax:ocx xmlns:ax="http://schemas.microsoft.com/office/2006/activeX" xmlns:r="http://schemas.openxmlformats.org/officeDocument/2006/relationships" ax:classid="{D7053240-CE69-11CD-A777-00DD01143C57}" r:id="rId1"/>
</file>

<file path=xl/activeX/activeX65.xml><?xml version="1.0" encoding="utf-8"?>
<ax:ocx xmlns:ax="http://schemas.microsoft.com/office/2006/activeX" xmlns:r="http://schemas.openxmlformats.org/officeDocument/2006/relationships" ax:classid="{D7053240-CE69-11CD-A777-00DD01143C57}" r:id="rId1"/>
</file>

<file path=xl/activeX/activeX66.xml><?xml version="1.0" encoding="utf-8"?>
<ax:ocx xmlns:ax="http://schemas.microsoft.com/office/2006/activeX" xmlns:r="http://schemas.openxmlformats.org/officeDocument/2006/relationships" ax:classid="{D7053240-CE69-11CD-A777-00DD01143C57}" r:id="rId1"/>
</file>

<file path=xl/activeX/activeX67.xml><?xml version="1.0" encoding="utf-8"?>
<ax:ocx xmlns:ax="http://schemas.microsoft.com/office/2006/activeX" xmlns:r="http://schemas.openxmlformats.org/officeDocument/2006/relationships" ax:classid="{D7053240-CE69-11CD-A777-00DD01143C57}" r:id="rId1"/>
</file>

<file path=xl/activeX/activeX68.xml><?xml version="1.0" encoding="utf-8"?>
<ax:ocx xmlns:ax="http://schemas.microsoft.com/office/2006/activeX" xmlns:r="http://schemas.openxmlformats.org/officeDocument/2006/relationships" ax:classid="{8BD21D30-EC42-11CE-9E0D-00AA006002F3}" r:id="rId1"/>
</file>

<file path=xl/activeX/activeX69.xml><?xml version="1.0" encoding="utf-8"?>
<ax:ocx xmlns:ax="http://schemas.microsoft.com/office/2006/activeX" xmlns:r="http://schemas.openxmlformats.org/officeDocument/2006/relationships" ax:classid="{D7053240-CE69-11CD-A777-00DD01143C57}" r:id="rId1"/>
</file>

<file path=xl/activeX/activeX70.xml><?xml version="1.0" encoding="utf-8"?>
<ax:ocx xmlns:ax="http://schemas.microsoft.com/office/2006/activeX" xmlns:r="http://schemas.openxmlformats.org/officeDocument/2006/relationships" ax:classid="{D7053240-CE69-11CD-A777-00DD01143C57}" r:id="rId1"/>
</file>

<file path=xl/activeX/activeX71.xml><?xml version="1.0" encoding="utf-8"?>
<ax:ocx xmlns:ax="http://schemas.microsoft.com/office/2006/activeX" xmlns:r="http://schemas.openxmlformats.org/officeDocument/2006/relationships" ax:classid="{D7053240-CE69-11CD-A777-00DD01143C57}" r:id="rId1"/>
</file>

<file path=xl/activeX/activeX72.xml><?xml version="1.0" encoding="utf-8"?>
<ax:ocx xmlns:ax="http://schemas.microsoft.com/office/2006/activeX" xmlns:r="http://schemas.openxmlformats.org/officeDocument/2006/relationships" ax:classid="{D7053240-CE69-11CD-A777-00DD01143C57}"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32030620066297E-2"/>
          <c:y val="4.4100156494522709E-2"/>
          <c:w val="0.8740114344114065"/>
          <c:h val="0.88329180683400499"/>
        </c:manualLayout>
      </c:layout>
      <c:scatterChart>
        <c:scatterStyle val="lineMarker"/>
        <c:varyColors val="0"/>
        <c:ser>
          <c:idx val="0"/>
          <c:order val="0"/>
          <c:tx>
            <c:strRef>
              <c:f>PARM.DAT!$O$3:$O$5</c:f>
              <c:strCache>
                <c:ptCount val="3"/>
              </c:strCache>
            </c:strRef>
          </c:tx>
          <c:spPr>
            <a:ln w="19050" cap="rnd">
              <a:noFill/>
              <a:round/>
            </a:ln>
            <a:effectLst/>
          </c:spPr>
          <c:marker>
            <c:symbol val="circle"/>
            <c:size val="5"/>
            <c:spPr>
              <a:solidFill>
                <a:schemeClr val="accent1"/>
              </a:solidFill>
              <a:ln w="9525">
                <a:solidFill>
                  <a:schemeClr val="accent1"/>
                </a:solidFill>
              </a:ln>
              <a:effectLst/>
            </c:spPr>
          </c:marker>
          <c:xVal>
            <c:numRef>
              <c:f>PARM.DAT!$AU$6:$AU$25</c:f>
              <c:numCache>
                <c:formatCode>General</c:formatCode>
                <c:ptCount val="20"/>
                <c:pt idx="0">
                  <c:v>0</c:v>
                </c:pt>
                <c:pt idx="1">
                  <c:v>0.7</c:v>
                </c:pt>
                <c:pt idx="2">
                  <c:v>1.4</c:v>
                </c:pt>
                <c:pt idx="3">
                  <c:v>2.0999999999999996</c:v>
                </c:pt>
                <c:pt idx="4">
                  <c:v>2.8</c:v>
                </c:pt>
                <c:pt idx="5">
                  <c:v>3.5</c:v>
                </c:pt>
                <c:pt idx="6">
                  <c:v>4.1999999999999993</c:v>
                </c:pt>
                <c:pt idx="7">
                  <c:v>4.8999999999999995</c:v>
                </c:pt>
                <c:pt idx="8">
                  <c:v>5.6</c:v>
                </c:pt>
                <c:pt idx="9">
                  <c:v>6.3</c:v>
                </c:pt>
                <c:pt idx="10">
                  <c:v>7</c:v>
                </c:pt>
                <c:pt idx="11">
                  <c:v>7.6999999999999993</c:v>
                </c:pt>
                <c:pt idx="12">
                  <c:v>8.3999999999999986</c:v>
                </c:pt>
                <c:pt idx="13">
                  <c:v>9.1</c:v>
                </c:pt>
                <c:pt idx="14">
                  <c:v>9.7999999999999989</c:v>
                </c:pt>
                <c:pt idx="15">
                  <c:v>10.5</c:v>
                </c:pt>
                <c:pt idx="16">
                  <c:v>11.2</c:v>
                </c:pt>
                <c:pt idx="17">
                  <c:v>11.899999999999999</c:v>
                </c:pt>
                <c:pt idx="18">
                  <c:v>12.6</c:v>
                </c:pt>
                <c:pt idx="19">
                  <c:v>13.299999999999999</c:v>
                </c:pt>
              </c:numCache>
            </c:numRef>
          </c:xVal>
          <c:yVal>
            <c:numRef>
              <c:f>PARM.DAT!$AV$6:$AV$25</c:f>
              <c:numCache>
                <c:formatCode>0.0E+00</c:formatCode>
                <c:ptCount val="20"/>
                <c:pt idx="0">
                  <c:v>0</c:v>
                </c:pt>
                <c:pt idx="1">
                  <c:v>1.4261046436132766E-2</c:v>
                </c:pt>
                <c:pt idx="2">
                  <c:v>3.9405479951089575E-2</c:v>
                </c:pt>
                <c:pt idx="3">
                  <c:v>8.0238032205428966E-2</c:v>
                </c:pt>
                <c:pt idx="4">
                  <c:v>0.14156279711511155</c:v>
                </c:pt>
                <c:pt idx="5">
                  <c:v>0.22615316664055121</c:v>
                </c:pt>
                <c:pt idx="6">
                  <c:v>0.33208392395918168</c:v>
                </c:pt>
                <c:pt idx="7">
                  <c:v>0.45126545716373684</c:v>
                </c:pt>
                <c:pt idx="8">
                  <c:v>0.57127069940979536</c:v>
                </c:pt>
                <c:pt idx="9">
                  <c:v>0.68002476011034163</c:v>
                </c:pt>
                <c:pt idx="10">
                  <c:v>0.76999999999999968</c:v>
                </c:pt>
                <c:pt idx="11">
                  <c:v>0.8392538059307143</c:v>
                </c:pt>
                <c:pt idx="12">
                  <c:v>0.88980619086963175</c:v>
                </c:pt>
                <c:pt idx="13">
                  <c:v>0.92538516968459239</c:v>
                </c:pt>
                <c:pt idx="14">
                  <c:v>0.94983848407396587</c:v>
                </c:pt>
                <c:pt idx="15">
                  <c:v>0.96640162498372095</c:v>
                </c:pt>
                <c:pt idx="16">
                  <c:v>0.97752687040115716</c:v>
                </c:pt>
                <c:pt idx="17">
                  <c:v>0.98496751515045788</c:v>
                </c:pt>
                <c:pt idx="18">
                  <c:v>0.98993543273216722</c:v>
                </c:pt>
                <c:pt idx="19">
                  <c:v>0.99325208534252396</c:v>
                </c:pt>
              </c:numCache>
            </c:numRef>
          </c:yVal>
          <c:smooth val="0"/>
          <c:extLst>
            <c:ext xmlns:c16="http://schemas.microsoft.com/office/drawing/2014/chart" uri="{C3380CC4-5D6E-409C-BE32-E72D297353CC}">
              <c16:uniqueId val="{00000000-42C8-4413-8C05-5DBA450AAD7F}"/>
            </c:ext>
          </c:extLst>
        </c:ser>
        <c:dLbls>
          <c:showLegendKey val="0"/>
          <c:showVal val="0"/>
          <c:showCatName val="0"/>
          <c:showSerName val="0"/>
          <c:showPercent val="0"/>
          <c:showBubbleSize val="0"/>
        </c:dLbls>
        <c:axId val="127474280"/>
        <c:axId val="127474672"/>
      </c:scatterChart>
      <c:valAx>
        <c:axId val="1274742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474672"/>
        <c:crosses val="autoZero"/>
        <c:crossBetween val="midCat"/>
      </c:valAx>
      <c:valAx>
        <c:axId val="1274746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4742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 Id="rId5" Type="http://schemas.openxmlformats.org/officeDocument/2006/relationships/image" Target="../media/image9.emf"/><Relationship Id="rId4"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5.emf"/><Relationship Id="rId1" Type="http://schemas.openxmlformats.org/officeDocument/2006/relationships/image" Target="../media/image16.emf"/><Relationship Id="rId5" Type="http://schemas.openxmlformats.org/officeDocument/2006/relationships/image" Target="../media/image18.emf"/><Relationship Id="rId4" Type="http://schemas.openxmlformats.org/officeDocument/2006/relationships/image" Target="../media/image17.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6.emf"/><Relationship Id="rId2" Type="http://schemas.openxmlformats.org/officeDocument/2006/relationships/image" Target="../media/image24.emf"/><Relationship Id="rId1" Type="http://schemas.openxmlformats.org/officeDocument/2006/relationships/image" Target="../media/image25.emf"/><Relationship Id="rId5" Type="http://schemas.openxmlformats.org/officeDocument/2006/relationships/image" Target="../media/image22.emf"/><Relationship Id="rId4" Type="http://schemas.openxmlformats.org/officeDocument/2006/relationships/image" Target="../media/image23.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29.emf"/><Relationship Id="rId1" Type="http://schemas.openxmlformats.org/officeDocument/2006/relationships/image" Target="../media/image30.emf"/><Relationship Id="rId5" Type="http://schemas.openxmlformats.org/officeDocument/2006/relationships/image" Target="../media/image27.emf"/><Relationship Id="rId4" Type="http://schemas.openxmlformats.org/officeDocument/2006/relationships/image" Target="../media/image28.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 Id="rId5" Type="http://schemas.openxmlformats.org/officeDocument/2006/relationships/image" Target="../media/image32.emf"/><Relationship Id="rId4" Type="http://schemas.openxmlformats.org/officeDocument/2006/relationships/image" Target="../media/image33.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41.emf"/><Relationship Id="rId2" Type="http://schemas.openxmlformats.org/officeDocument/2006/relationships/image" Target="../media/image39.emf"/><Relationship Id="rId1" Type="http://schemas.openxmlformats.org/officeDocument/2006/relationships/image" Target="../media/image40.emf"/><Relationship Id="rId5" Type="http://schemas.openxmlformats.org/officeDocument/2006/relationships/image" Target="../media/image37.emf"/><Relationship Id="rId4" Type="http://schemas.openxmlformats.org/officeDocument/2006/relationships/image" Target="../media/image3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4.emf"/><Relationship Id="rId1" Type="http://schemas.openxmlformats.org/officeDocument/2006/relationships/image" Target="../media/image45.emf"/><Relationship Id="rId5" Type="http://schemas.openxmlformats.org/officeDocument/2006/relationships/image" Target="../media/image42.emf"/><Relationship Id="rId4" Type="http://schemas.openxmlformats.org/officeDocument/2006/relationships/image" Target="../media/image43.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50.emf"/><Relationship Id="rId2" Type="http://schemas.openxmlformats.org/officeDocument/2006/relationships/image" Target="../media/image49.emf"/><Relationship Id="rId1" Type="http://schemas.openxmlformats.org/officeDocument/2006/relationships/image" Target="../media/image48.emf"/><Relationship Id="rId5" Type="http://schemas.openxmlformats.org/officeDocument/2006/relationships/image" Target="../media/image51.emf"/><Relationship Id="rId4" Type="http://schemas.openxmlformats.org/officeDocument/2006/relationships/image" Target="../media/image47.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5.emf"/><Relationship Id="rId1" Type="http://schemas.openxmlformats.org/officeDocument/2006/relationships/image" Target="../media/image56.emf"/><Relationship Id="rId5" Type="http://schemas.openxmlformats.org/officeDocument/2006/relationships/image" Target="../media/image52.emf"/><Relationship Id="rId4" Type="http://schemas.openxmlformats.org/officeDocument/2006/relationships/image" Target="../media/image53.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57.emf"/><Relationship Id="rId1" Type="http://schemas.openxmlformats.org/officeDocument/2006/relationships/image" Target="../media/image58.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60.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65.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 Id="rId5" Type="http://schemas.openxmlformats.org/officeDocument/2006/relationships/image" Target="../media/image71.emf"/><Relationship Id="rId4" Type="http://schemas.openxmlformats.org/officeDocument/2006/relationships/image" Target="../media/image70.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74.emf"/><Relationship Id="rId2" Type="http://schemas.openxmlformats.org/officeDocument/2006/relationships/image" Target="../media/image72.emf"/><Relationship Id="rId1" Type="http://schemas.openxmlformats.org/officeDocument/2006/relationships/image" Target="../media/image73.emf"/></Relationships>
</file>

<file path=xl/drawings/drawing1.xml><?xml version="1.0" encoding="utf-8"?>
<xdr:wsDr xmlns:xdr="http://schemas.openxmlformats.org/drawingml/2006/spreadsheetDrawing" xmlns:a="http://schemas.openxmlformats.org/drawingml/2006/main">
  <xdr:oneCellAnchor>
    <xdr:from>
      <xdr:col>8</xdr:col>
      <xdr:colOff>291465</xdr:colOff>
      <xdr:row>1</xdr:row>
      <xdr:rowOff>34290</xdr:rowOff>
    </xdr:from>
    <xdr:ext cx="1981200" cy="884897"/>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06091" y="216213"/>
          <a:ext cx="1981200" cy="884897"/>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oneCellAnchor>
  <xdr:twoCellAnchor editAs="oneCell">
    <xdr:from>
      <xdr:col>1</xdr:col>
      <xdr:colOff>495300</xdr:colOff>
      <xdr:row>1</xdr:row>
      <xdr:rowOff>16163</xdr:rowOff>
    </xdr:from>
    <xdr:to>
      <xdr:col>2</xdr:col>
      <xdr:colOff>1438275</xdr:colOff>
      <xdr:row>4</xdr:row>
      <xdr:rowOff>180974</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76275" y="206663"/>
          <a:ext cx="1762125" cy="9077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76200</xdr:colOff>
          <xdr:row>0</xdr:row>
          <xdr:rowOff>66675</xdr:rowOff>
        </xdr:from>
        <xdr:to>
          <xdr:col>4</xdr:col>
          <xdr:colOff>485775</xdr:colOff>
          <xdr:row>1</xdr:row>
          <xdr:rowOff>123825</xdr:rowOff>
        </xdr:to>
        <xdr:sp macro="" textlink="">
          <xdr:nvSpPr>
            <xdr:cNvPr id="34817" name="cmdReadFil"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523875</xdr:colOff>
          <xdr:row>0</xdr:row>
          <xdr:rowOff>66675</xdr:rowOff>
        </xdr:from>
        <xdr:to>
          <xdr:col>6</xdr:col>
          <xdr:colOff>323850</xdr:colOff>
          <xdr:row>1</xdr:row>
          <xdr:rowOff>123825</xdr:rowOff>
        </xdr:to>
        <xdr:sp macro="" textlink="">
          <xdr:nvSpPr>
            <xdr:cNvPr id="34818" name="cmdWriteFil" hidden="1">
              <a:extLst>
                <a:ext uri="{63B3BB69-23CF-44E3-9099-C40C66FF867C}">
                  <a14:compatExt spid="_x0000_s34818"/>
                </a:ext>
                <a:ext uri="{FF2B5EF4-FFF2-40B4-BE49-F238E27FC236}">
                  <a16:creationId xmlns:a16="http://schemas.microsoft.com/office/drawing/2014/main" id="{00000000-0008-0000-0100-000002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523875</xdr:colOff>
          <xdr:row>0</xdr:row>
          <xdr:rowOff>66675</xdr:rowOff>
        </xdr:from>
        <xdr:to>
          <xdr:col>8</xdr:col>
          <xdr:colOff>314325</xdr:colOff>
          <xdr:row>1</xdr:row>
          <xdr:rowOff>123825</xdr:rowOff>
        </xdr:to>
        <xdr:sp macro="" textlink="">
          <xdr:nvSpPr>
            <xdr:cNvPr id="34819" name="cmdRun" hidden="1">
              <a:extLst>
                <a:ext uri="{63B3BB69-23CF-44E3-9099-C40C66FF867C}">
                  <a14:compatExt spid="_x0000_s34819"/>
                </a:ext>
                <a:ext uri="{FF2B5EF4-FFF2-40B4-BE49-F238E27FC236}">
                  <a16:creationId xmlns:a16="http://schemas.microsoft.com/office/drawing/2014/main" id="{00000000-0008-0000-0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38100</xdr:colOff>
          <xdr:row>0</xdr:row>
          <xdr:rowOff>76200</xdr:rowOff>
        </xdr:from>
        <xdr:to>
          <xdr:col>7</xdr:col>
          <xdr:colOff>447675</xdr:colOff>
          <xdr:row>1</xdr:row>
          <xdr:rowOff>133350</xdr:rowOff>
        </xdr:to>
        <xdr:sp macro="" textlink="">
          <xdr:nvSpPr>
            <xdr:cNvPr id="4097" name="cmdReadRun"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0</xdr:row>
          <xdr:rowOff>76200</xdr:rowOff>
        </xdr:from>
        <xdr:to>
          <xdr:col>9</xdr:col>
          <xdr:colOff>295275</xdr:colOff>
          <xdr:row>1</xdr:row>
          <xdr:rowOff>133350</xdr:rowOff>
        </xdr:to>
        <xdr:sp macro="" textlink="">
          <xdr:nvSpPr>
            <xdr:cNvPr id="4098" name="cmdWriteRun"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457200</xdr:colOff>
          <xdr:row>0</xdr:row>
          <xdr:rowOff>76200</xdr:rowOff>
        </xdr:from>
        <xdr:to>
          <xdr:col>11</xdr:col>
          <xdr:colOff>247650</xdr:colOff>
          <xdr:row>1</xdr:row>
          <xdr:rowOff>133350</xdr:rowOff>
        </xdr:to>
        <xdr:sp macro="" textlink="">
          <xdr:nvSpPr>
            <xdr:cNvPr id="4101" name="cmdRun"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228600</xdr:colOff>
          <xdr:row>0</xdr:row>
          <xdr:rowOff>219075</xdr:rowOff>
        </xdr:from>
        <xdr:to>
          <xdr:col>10</xdr:col>
          <xdr:colOff>28575</xdr:colOff>
          <xdr:row>1</xdr:row>
          <xdr:rowOff>209550</xdr:rowOff>
        </xdr:to>
        <xdr:sp macro="" textlink="">
          <xdr:nvSpPr>
            <xdr:cNvPr id="1025" name="cmdWrite"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371475</xdr:colOff>
          <xdr:row>0</xdr:row>
          <xdr:rowOff>219075</xdr:rowOff>
        </xdr:from>
        <xdr:to>
          <xdr:col>8</xdr:col>
          <xdr:colOff>171450</xdr:colOff>
          <xdr:row>1</xdr:row>
          <xdr:rowOff>209550</xdr:rowOff>
        </xdr:to>
        <xdr:sp macro="" textlink="">
          <xdr:nvSpPr>
            <xdr:cNvPr id="1028" name="cmdRead"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0</xdr:row>
          <xdr:rowOff>219075</xdr:rowOff>
        </xdr:from>
        <xdr:to>
          <xdr:col>11</xdr:col>
          <xdr:colOff>552450</xdr:colOff>
          <xdr:row>1</xdr:row>
          <xdr:rowOff>209550</xdr:rowOff>
        </xdr:to>
        <xdr:sp macro="" textlink="">
          <xdr:nvSpPr>
            <xdr:cNvPr id="1032" name="cmdRun"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57150</xdr:colOff>
          <xdr:row>2</xdr:row>
          <xdr:rowOff>9525</xdr:rowOff>
        </xdr:to>
        <xdr:sp macro="" textlink="">
          <xdr:nvSpPr>
            <xdr:cNvPr id="1034" name="cmbBoxCont" hidden="1">
              <a:extLst>
                <a:ext uri="{63B3BB69-23CF-44E3-9099-C40C66FF867C}">
                  <a14:compatExt spid="_x0000_s1034"/>
                </a:ext>
                <a:ext uri="{FF2B5EF4-FFF2-40B4-BE49-F238E27FC236}">
                  <a16:creationId xmlns:a16="http://schemas.microsoft.com/office/drawing/2014/main" id="{00000000-0008-0000-03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0</xdr:row>
          <xdr:rowOff>219075</xdr:rowOff>
        </xdr:from>
        <xdr:to>
          <xdr:col>6</xdr:col>
          <xdr:colOff>257175</xdr:colOff>
          <xdr:row>1</xdr:row>
          <xdr:rowOff>209550</xdr:rowOff>
        </xdr:to>
        <xdr:sp macro="" textlink="">
          <xdr:nvSpPr>
            <xdr:cNvPr id="1036" name="cmdGetCont" hidden="1">
              <a:extLst>
                <a:ext uri="{63B3BB69-23CF-44E3-9099-C40C66FF867C}">
                  <a14:compatExt spid="_x0000_s1036"/>
                </a:ext>
                <a:ext uri="{FF2B5EF4-FFF2-40B4-BE49-F238E27FC236}">
                  <a16:creationId xmlns:a16="http://schemas.microsoft.com/office/drawing/2014/main" id="{00000000-0008-0000-03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2657475</xdr:colOff>
          <xdr:row>0</xdr:row>
          <xdr:rowOff>257175</xdr:rowOff>
        </xdr:from>
        <xdr:to>
          <xdr:col>1</xdr:col>
          <xdr:colOff>3705225</xdr:colOff>
          <xdr:row>2</xdr:row>
          <xdr:rowOff>19050</xdr:rowOff>
        </xdr:to>
        <xdr:sp macro="" textlink="">
          <xdr:nvSpPr>
            <xdr:cNvPr id="47105" name="cmdReadSub" hidden="1">
              <a:extLst>
                <a:ext uri="{63B3BB69-23CF-44E3-9099-C40C66FF867C}">
                  <a14:compatExt spid="_x0000_s47105"/>
                </a:ext>
                <a:ext uri="{FF2B5EF4-FFF2-40B4-BE49-F238E27FC236}">
                  <a16:creationId xmlns:a16="http://schemas.microsoft.com/office/drawing/2014/main" id="{00000000-0008-0000-0400-000001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3743325</xdr:colOff>
          <xdr:row>0</xdr:row>
          <xdr:rowOff>257175</xdr:rowOff>
        </xdr:from>
        <xdr:to>
          <xdr:col>1</xdr:col>
          <xdr:colOff>4791075</xdr:colOff>
          <xdr:row>2</xdr:row>
          <xdr:rowOff>19050</xdr:rowOff>
        </xdr:to>
        <xdr:sp macro="" textlink="">
          <xdr:nvSpPr>
            <xdr:cNvPr id="47106" name="cmdWriteSub" hidden="1">
              <a:extLst>
                <a:ext uri="{63B3BB69-23CF-44E3-9099-C40C66FF867C}">
                  <a14:compatExt spid="_x0000_s47106"/>
                </a:ext>
                <a:ext uri="{FF2B5EF4-FFF2-40B4-BE49-F238E27FC236}">
                  <a16:creationId xmlns:a16="http://schemas.microsoft.com/office/drawing/2014/main" id="{00000000-0008-0000-04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0</xdr:row>
          <xdr:rowOff>257175</xdr:rowOff>
        </xdr:from>
        <xdr:to>
          <xdr:col>3</xdr:col>
          <xdr:colOff>238125</xdr:colOff>
          <xdr:row>2</xdr:row>
          <xdr:rowOff>19050</xdr:rowOff>
        </xdr:to>
        <xdr:sp macro="" textlink="">
          <xdr:nvSpPr>
            <xdr:cNvPr id="47107" name="cmdRun" hidden="1">
              <a:extLst>
                <a:ext uri="{63B3BB69-23CF-44E3-9099-C40C66FF867C}">
                  <a14:compatExt spid="_x0000_s47107"/>
                </a:ext>
                <a:ext uri="{FF2B5EF4-FFF2-40B4-BE49-F238E27FC236}">
                  <a16:creationId xmlns:a16="http://schemas.microsoft.com/office/drawing/2014/main" id="{00000000-0008-0000-0400-000003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1</xdr:col>
          <xdr:colOff>1476375</xdr:colOff>
          <xdr:row>1</xdr:row>
          <xdr:rowOff>247650</xdr:rowOff>
        </xdr:to>
        <xdr:sp macro="" textlink="">
          <xdr:nvSpPr>
            <xdr:cNvPr id="47113" name="cmbBoxSub" hidden="1">
              <a:extLst>
                <a:ext uri="{63B3BB69-23CF-44E3-9099-C40C66FF867C}">
                  <a14:compatExt spid="_x0000_s47113"/>
                </a:ext>
                <a:ext uri="{FF2B5EF4-FFF2-40B4-BE49-F238E27FC236}">
                  <a16:creationId xmlns:a16="http://schemas.microsoft.com/office/drawing/2014/main" id="{00000000-0008-0000-0400-000009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1533525</xdr:colOff>
          <xdr:row>0</xdr:row>
          <xdr:rowOff>257175</xdr:rowOff>
        </xdr:from>
        <xdr:to>
          <xdr:col>1</xdr:col>
          <xdr:colOff>2552700</xdr:colOff>
          <xdr:row>2</xdr:row>
          <xdr:rowOff>9525</xdr:rowOff>
        </xdr:to>
        <xdr:sp macro="" textlink="">
          <xdr:nvSpPr>
            <xdr:cNvPr id="47114" name="cmdGetSub" hidden="1">
              <a:extLst>
                <a:ext uri="{63B3BB69-23CF-44E3-9099-C40C66FF867C}">
                  <a14:compatExt spid="_x0000_s47114"/>
                </a:ext>
                <a:ext uri="{FF2B5EF4-FFF2-40B4-BE49-F238E27FC236}">
                  <a16:creationId xmlns:a16="http://schemas.microsoft.com/office/drawing/2014/main" id="{00000000-0008-0000-0400-00000A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47625</xdr:colOff>
          <xdr:row>0</xdr:row>
          <xdr:rowOff>57150</xdr:rowOff>
        </xdr:from>
        <xdr:to>
          <xdr:col>6</xdr:col>
          <xdr:colOff>457200</xdr:colOff>
          <xdr:row>1</xdr:row>
          <xdr:rowOff>114300</xdr:rowOff>
        </xdr:to>
        <xdr:sp macro="" textlink="">
          <xdr:nvSpPr>
            <xdr:cNvPr id="11265" name="cmdReadDim"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504825</xdr:colOff>
          <xdr:row>0</xdr:row>
          <xdr:rowOff>57150</xdr:rowOff>
        </xdr:from>
        <xdr:to>
          <xdr:col>8</xdr:col>
          <xdr:colOff>304800</xdr:colOff>
          <xdr:row>1</xdr:row>
          <xdr:rowOff>123825</xdr:rowOff>
        </xdr:to>
        <xdr:sp macro="" textlink="">
          <xdr:nvSpPr>
            <xdr:cNvPr id="11266" name="cmdWriteDim" hidden="1">
              <a:extLst>
                <a:ext uri="{63B3BB69-23CF-44E3-9099-C40C66FF867C}">
                  <a14:compatExt spid="_x0000_s11266"/>
                </a:ext>
                <a:ext uri="{FF2B5EF4-FFF2-40B4-BE49-F238E27FC236}">
                  <a16:creationId xmlns:a16="http://schemas.microsoft.com/office/drawing/2014/main" id="{00000000-0008-0000-05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361950</xdr:colOff>
          <xdr:row>0</xdr:row>
          <xdr:rowOff>57150</xdr:rowOff>
        </xdr:from>
        <xdr:to>
          <xdr:col>10</xdr:col>
          <xdr:colOff>161925</xdr:colOff>
          <xdr:row>1</xdr:row>
          <xdr:rowOff>123825</xdr:rowOff>
        </xdr:to>
        <xdr:sp macro="" textlink="">
          <xdr:nvSpPr>
            <xdr:cNvPr id="11267" name="cmdRun" hidden="1">
              <a:extLst>
                <a:ext uri="{63B3BB69-23CF-44E3-9099-C40C66FF867C}">
                  <a14:compatExt spid="_x0000_s11267"/>
                </a:ext>
                <a:ext uri="{FF2B5EF4-FFF2-40B4-BE49-F238E27FC236}">
                  <a16:creationId xmlns:a16="http://schemas.microsoft.com/office/drawing/2014/main" id="{00000000-0008-0000-05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552450</xdr:colOff>
          <xdr:row>0</xdr:row>
          <xdr:rowOff>228600</xdr:rowOff>
        </xdr:from>
        <xdr:to>
          <xdr:col>8</xdr:col>
          <xdr:colOff>428625</xdr:colOff>
          <xdr:row>1</xdr:row>
          <xdr:rowOff>238125</xdr:rowOff>
        </xdr:to>
        <xdr:sp macro="" textlink="">
          <xdr:nvSpPr>
            <xdr:cNvPr id="12289" name="cmdReadParm"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447675</xdr:colOff>
          <xdr:row>0</xdr:row>
          <xdr:rowOff>228600</xdr:rowOff>
        </xdr:from>
        <xdr:to>
          <xdr:col>10</xdr:col>
          <xdr:colOff>314325</xdr:colOff>
          <xdr:row>1</xdr:row>
          <xdr:rowOff>238125</xdr:rowOff>
        </xdr:to>
        <xdr:sp macro="" textlink="">
          <xdr:nvSpPr>
            <xdr:cNvPr id="12290" name="cmdWriteParm"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0</xdr:row>
          <xdr:rowOff>228600</xdr:rowOff>
        </xdr:from>
        <xdr:to>
          <xdr:col>12</xdr:col>
          <xdr:colOff>238125</xdr:colOff>
          <xdr:row>1</xdr:row>
          <xdr:rowOff>238125</xdr:rowOff>
        </xdr:to>
        <xdr:sp macro="" textlink="">
          <xdr:nvSpPr>
            <xdr:cNvPr id="12291" name="cmdRun" hidden="1">
              <a:extLst>
                <a:ext uri="{63B3BB69-23CF-44E3-9099-C40C66FF867C}">
                  <a14:compatExt spid="_x0000_s12291"/>
                </a:ext>
                <a:ext uri="{FF2B5EF4-FFF2-40B4-BE49-F238E27FC236}">
                  <a16:creationId xmlns:a16="http://schemas.microsoft.com/office/drawing/2014/main" id="{00000000-0008-0000-06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45720</xdr:colOff>
      <xdr:row>3</xdr:row>
      <xdr:rowOff>41910</xdr:rowOff>
    </xdr:from>
    <xdr:to>
      <xdr:col>49</xdr:col>
      <xdr:colOff>567690</xdr:colOff>
      <xdr:row>22</xdr:row>
      <xdr:rowOff>28575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66675</xdr:colOff>
          <xdr:row>2</xdr:row>
          <xdr:rowOff>9525</xdr:rowOff>
        </xdr:to>
        <xdr:sp macro="" textlink="">
          <xdr:nvSpPr>
            <xdr:cNvPr id="12293" name="cmbBoxParm"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0</xdr:row>
          <xdr:rowOff>228600</xdr:rowOff>
        </xdr:from>
        <xdr:to>
          <xdr:col>6</xdr:col>
          <xdr:colOff>495300</xdr:colOff>
          <xdr:row>1</xdr:row>
          <xdr:rowOff>238125</xdr:rowOff>
        </xdr:to>
        <xdr:sp macro="" textlink="">
          <xdr:nvSpPr>
            <xdr:cNvPr id="12294" name="cmbGetParm" hidden="1">
              <a:extLst>
                <a:ext uri="{63B3BB69-23CF-44E3-9099-C40C66FF867C}">
                  <a14:compatExt spid="_x0000_s12294"/>
                </a:ext>
                <a:ext uri="{FF2B5EF4-FFF2-40B4-BE49-F238E27FC236}">
                  <a16:creationId xmlns:a16="http://schemas.microsoft.com/office/drawing/2014/main" id="{00000000-0008-0000-0600-00000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533400</xdr:colOff>
          <xdr:row>0</xdr:row>
          <xdr:rowOff>247650</xdr:rowOff>
        </xdr:from>
        <xdr:to>
          <xdr:col>8</xdr:col>
          <xdr:colOff>333375</xdr:colOff>
          <xdr:row>2</xdr:row>
          <xdr:rowOff>0</xdr:rowOff>
        </xdr:to>
        <xdr:sp macro="" textlink="">
          <xdr:nvSpPr>
            <xdr:cNvPr id="49153" name="cmdReadTil" hidden="1">
              <a:extLst>
                <a:ext uri="{63B3BB69-23CF-44E3-9099-C40C66FF867C}">
                  <a14:compatExt spid="_x0000_s49153"/>
                </a:ext>
                <a:ext uri="{FF2B5EF4-FFF2-40B4-BE49-F238E27FC236}">
                  <a16:creationId xmlns:a16="http://schemas.microsoft.com/office/drawing/2014/main" id="{00000000-0008-0000-0700-000001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371475</xdr:colOff>
          <xdr:row>0</xdr:row>
          <xdr:rowOff>247650</xdr:rowOff>
        </xdr:from>
        <xdr:to>
          <xdr:col>10</xdr:col>
          <xdr:colOff>171450</xdr:colOff>
          <xdr:row>2</xdr:row>
          <xdr:rowOff>0</xdr:rowOff>
        </xdr:to>
        <xdr:sp macro="" textlink="">
          <xdr:nvSpPr>
            <xdr:cNvPr id="49154" name="cmdWriteTil" hidden="1">
              <a:extLst>
                <a:ext uri="{63B3BB69-23CF-44E3-9099-C40C66FF867C}">
                  <a14:compatExt spid="_x0000_s49154"/>
                </a:ext>
                <a:ext uri="{FF2B5EF4-FFF2-40B4-BE49-F238E27FC236}">
                  <a16:creationId xmlns:a16="http://schemas.microsoft.com/office/drawing/2014/main" id="{00000000-0008-0000-07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0</xdr:row>
          <xdr:rowOff>247650</xdr:rowOff>
        </xdr:from>
        <xdr:to>
          <xdr:col>12</xdr:col>
          <xdr:colOff>76200</xdr:colOff>
          <xdr:row>2</xdr:row>
          <xdr:rowOff>0</xdr:rowOff>
        </xdr:to>
        <xdr:sp macro="" textlink="">
          <xdr:nvSpPr>
            <xdr:cNvPr id="49155" name="cmdRun" hidden="1">
              <a:extLst>
                <a:ext uri="{63B3BB69-23CF-44E3-9099-C40C66FF867C}">
                  <a14:compatExt spid="_x0000_s49155"/>
                </a:ext>
                <a:ext uri="{FF2B5EF4-FFF2-40B4-BE49-F238E27FC236}">
                  <a16:creationId xmlns:a16="http://schemas.microsoft.com/office/drawing/2014/main" id="{00000000-0008-0000-0700-000003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28575</xdr:colOff>
          <xdr:row>2</xdr:row>
          <xdr:rowOff>9525</xdr:rowOff>
        </xdr:to>
        <xdr:sp macro="" textlink="">
          <xdr:nvSpPr>
            <xdr:cNvPr id="49191" name="cmbBoxTil" hidden="1">
              <a:extLst>
                <a:ext uri="{63B3BB69-23CF-44E3-9099-C40C66FF867C}">
                  <a14:compatExt spid="_x0000_s49191"/>
                </a:ext>
                <a:ext uri="{FF2B5EF4-FFF2-40B4-BE49-F238E27FC236}">
                  <a16:creationId xmlns:a16="http://schemas.microsoft.com/office/drawing/2014/main" id="{00000000-0008-0000-0700-000027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0</xdr:row>
          <xdr:rowOff>247650</xdr:rowOff>
        </xdr:from>
        <xdr:to>
          <xdr:col>6</xdr:col>
          <xdr:colOff>428625</xdr:colOff>
          <xdr:row>2</xdr:row>
          <xdr:rowOff>0</xdr:rowOff>
        </xdr:to>
        <xdr:sp macro="" textlink="">
          <xdr:nvSpPr>
            <xdr:cNvPr id="49192" name="cmdGetTil" hidden="1">
              <a:extLst>
                <a:ext uri="{63B3BB69-23CF-44E3-9099-C40C66FF867C}">
                  <a14:compatExt spid="_x0000_s49192"/>
                </a:ext>
                <a:ext uri="{FF2B5EF4-FFF2-40B4-BE49-F238E27FC236}">
                  <a16:creationId xmlns:a16="http://schemas.microsoft.com/office/drawing/2014/main" id="{00000000-0008-0000-0700-000028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552450</xdr:colOff>
          <xdr:row>0</xdr:row>
          <xdr:rowOff>247650</xdr:rowOff>
        </xdr:from>
        <xdr:to>
          <xdr:col>8</xdr:col>
          <xdr:colOff>390525</xdr:colOff>
          <xdr:row>2</xdr:row>
          <xdr:rowOff>9525</xdr:rowOff>
        </xdr:to>
        <xdr:sp macro="" textlink="">
          <xdr:nvSpPr>
            <xdr:cNvPr id="61441" name="cmdReadCrop" hidden="1">
              <a:extLst>
                <a:ext uri="{63B3BB69-23CF-44E3-9099-C40C66FF867C}">
                  <a14:compatExt spid="_x0000_s61441"/>
                </a:ext>
                <a:ext uri="{FF2B5EF4-FFF2-40B4-BE49-F238E27FC236}">
                  <a16:creationId xmlns:a16="http://schemas.microsoft.com/office/drawing/2014/main" id="{00000000-0008-0000-0800-000001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409575</xdr:colOff>
          <xdr:row>0</xdr:row>
          <xdr:rowOff>247650</xdr:rowOff>
        </xdr:from>
        <xdr:to>
          <xdr:col>10</xdr:col>
          <xdr:colOff>247650</xdr:colOff>
          <xdr:row>2</xdr:row>
          <xdr:rowOff>9525</xdr:rowOff>
        </xdr:to>
        <xdr:sp macro="" textlink="">
          <xdr:nvSpPr>
            <xdr:cNvPr id="61442" name="cmdWriteCrop" hidden="1">
              <a:extLst>
                <a:ext uri="{63B3BB69-23CF-44E3-9099-C40C66FF867C}">
                  <a14:compatExt spid="_x0000_s61442"/>
                </a:ext>
                <a:ext uri="{FF2B5EF4-FFF2-40B4-BE49-F238E27FC236}">
                  <a16:creationId xmlns:a16="http://schemas.microsoft.com/office/drawing/2014/main" id="{00000000-0008-0000-08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323850</xdr:colOff>
          <xdr:row>0</xdr:row>
          <xdr:rowOff>247650</xdr:rowOff>
        </xdr:from>
        <xdr:to>
          <xdr:col>12</xdr:col>
          <xdr:colOff>171450</xdr:colOff>
          <xdr:row>2</xdr:row>
          <xdr:rowOff>9525</xdr:rowOff>
        </xdr:to>
        <xdr:sp macro="" textlink="">
          <xdr:nvSpPr>
            <xdr:cNvPr id="61443" name="cmdRun" hidden="1">
              <a:extLst>
                <a:ext uri="{63B3BB69-23CF-44E3-9099-C40C66FF867C}">
                  <a14:compatExt spid="_x0000_s61443"/>
                </a:ext>
                <a:ext uri="{FF2B5EF4-FFF2-40B4-BE49-F238E27FC236}">
                  <a16:creationId xmlns:a16="http://schemas.microsoft.com/office/drawing/2014/main" id="{00000000-0008-0000-0800-000003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57150</xdr:colOff>
          <xdr:row>2</xdr:row>
          <xdr:rowOff>9525</xdr:rowOff>
        </xdr:to>
        <xdr:sp macro="" textlink="">
          <xdr:nvSpPr>
            <xdr:cNvPr id="61504" name="cmbBoxCrop" hidden="1">
              <a:extLst>
                <a:ext uri="{63B3BB69-23CF-44E3-9099-C40C66FF867C}">
                  <a14:compatExt spid="_x0000_s61504"/>
                </a:ext>
                <a:ext uri="{FF2B5EF4-FFF2-40B4-BE49-F238E27FC236}">
                  <a16:creationId xmlns:a16="http://schemas.microsoft.com/office/drawing/2014/main" id="{00000000-0008-0000-0800-000040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0</xdr:row>
          <xdr:rowOff>247650</xdr:rowOff>
        </xdr:from>
        <xdr:to>
          <xdr:col>6</xdr:col>
          <xdr:colOff>466725</xdr:colOff>
          <xdr:row>2</xdr:row>
          <xdr:rowOff>9525</xdr:rowOff>
        </xdr:to>
        <xdr:sp macro="" textlink="">
          <xdr:nvSpPr>
            <xdr:cNvPr id="61505" name="cmdGetCrop" hidden="1">
              <a:extLst>
                <a:ext uri="{63B3BB69-23CF-44E3-9099-C40C66FF867C}">
                  <a14:compatExt spid="_x0000_s61505"/>
                </a:ext>
                <a:ext uri="{FF2B5EF4-FFF2-40B4-BE49-F238E27FC236}">
                  <a16:creationId xmlns:a16="http://schemas.microsoft.com/office/drawing/2014/main" id="{00000000-0008-0000-0800-000041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0</xdr:row>
          <xdr:rowOff>238125</xdr:rowOff>
        </xdr:from>
        <xdr:to>
          <xdr:col>8</xdr:col>
          <xdr:colOff>314325</xdr:colOff>
          <xdr:row>1</xdr:row>
          <xdr:rowOff>238125</xdr:rowOff>
        </xdr:to>
        <xdr:sp macro="" textlink="">
          <xdr:nvSpPr>
            <xdr:cNvPr id="17420" name="cmdReadFert" hidden="1">
              <a:extLst>
                <a:ext uri="{63B3BB69-23CF-44E3-9099-C40C66FF867C}">
                  <a14:compatExt spid="_x0000_s17420"/>
                </a:ext>
                <a:ext uri="{FF2B5EF4-FFF2-40B4-BE49-F238E27FC236}">
                  <a16:creationId xmlns:a16="http://schemas.microsoft.com/office/drawing/2014/main" id="{00000000-0008-0000-09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342900</xdr:colOff>
          <xdr:row>0</xdr:row>
          <xdr:rowOff>238125</xdr:rowOff>
        </xdr:from>
        <xdr:to>
          <xdr:col>10</xdr:col>
          <xdr:colOff>142875</xdr:colOff>
          <xdr:row>1</xdr:row>
          <xdr:rowOff>238125</xdr:rowOff>
        </xdr:to>
        <xdr:sp macro="" textlink="">
          <xdr:nvSpPr>
            <xdr:cNvPr id="17421" name="cmdWriteFert" hidden="1">
              <a:extLst>
                <a:ext uri="{63B3BB69-23CF-44E3-9099-C40C66FF867C}">
                  <a14:compatExt spid="_x0000_s17421"/>
                </a:ext>
                <a:ext uri="{FF2B5EF4-FFF2-40B4-BE49-F238E27FC236}">
                  <a16:creationId xmlns:a16="http://schemas.microsoft.com/office/drawing/2014/main" id="{00000000-0008-0000-09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219075</xdr:colOff>
          <xdr:row>0</xdr:row>
          <xdr:rowOff>238125</xdr:rowOff>
        </xdr:from>
        <xdr:to>
          <xdr:col>12</xdr:col>
          <xdr:colOff>9525</xdr:colOff>
          <xdr:row>1</xdr:row>
          <xdr:rowOff>238125</xdr:rowOff>
        </xdr:to>
        <xdr:sp macro="" textlink="">
          <xdr:nvSpPr>
            <xdr:cNvPr id="17422" name="cmdRun" hidden="1">
              <a:extLst>
                <a:ext uri="{63B3BB69-23CF-44E3-9099-C40C66FF867C}">
                  <a14:compatExt spid="_x0000_s17422"/>
                </a:ext>
                <a:ext uri="{FF2B5EF4-FFF2-40B4-BE49-F238E27FC236}">
                  <a16:creationId xmlns:a16="http://schemas.microsoft.com/office/drawing/2014/main" id="{00000000-0008-0000-09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47625</xdr:colOff>
          <xdr:row>2</xdr:row>
          <xdr:rowOff>9525</xdr:rowOff>
        </xdr:to>
        <xdr:sp macro="" textlink="">
          <xdr:nvSpPr>
            <xdr:cNvPr id="17424" name="cmbBoxFert" hidden="1">
              <a:extLst>
                <a:ext uri="{63B3BB69-23CF-44E3-9099-C40C66FF867C}">
                  <a14:compatExt spid="_x0000_s17424"/>
                </a:ext>
                <a:ext uri="{FF2B5EF4-FFF2-40B4-BE49-F238E27FC236}">
                  <a16:creationId xmlns:a16="http://schemas.microsoft.com/office/drawing/2014/main" id="{00000000-0008-0000-09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0</xdr:row>
          <xdr:rowOff>238125</xdr:rowOff>
        </xdr:from>
        <xdr:to>
          <xdr:col>6</xdr:col>
          <xdr:colOff>428625</xdr:colOff>
          <xdr:row>1</xdr:row>
          <xdr:rowOff>238125</xdr:rowOff>
        </xdr:to>
        <xdr:sp macro="" textlink="">
          <xdr:nvSpPr>
            <xdr:cNvPr id="17426" name="cmdGetFert" hidden="1">
              <a:extLst>
                <a:ext uri="{63B3BB69-23CF-44E3-9099-C40C66FF867C}">
                  <a14:compatExt spid="_x0000_s17426"/>
                </a:ext>
                <a:ext uri="{FF2B5EF4-FFF2-40B4-BE49-F238E27FC236}">
                  <a16:creationId xmlns:a16="http://schemas.microsoft.com/office/drawing/2014/main" id="{00000000-0008-0000-0900-00001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514350</xdr:colOff>
          <xdr:row>0</xdr:row>
          <xdr:rowOff>247650</xdr:rowOff>
        </xdr:from>
        <xdr:to>
          <xdr:col>7</xdr:col>
          <xdr:colOff>209550</xdr:colOff>
          <xdr:row>2</xdr:row>
          <xdr:rowOff>0</xdr:rowOff>
        </xdr:to>
        <xdr:sp macro="" textlink="">
          <xdr:nvSpPr>
            <xdr:cNvPr id="18441" name="cmdReadPest" hidden="1">
              <a:extLst>
                <a:ext uri="{63B3BB69-23CF-44E3-9099-C40C66FF867C}">
                  <a14:compatExt spid="_x0000_s18441"/>
                </a:ext>
                <a:ext uri="{FF2B5EF4-FFF2-40B4-BE49-F238E27FC236}">
                  <a16:creationId xmlns:a16="http://schemas.microsoft.com/office/drawing/2014/main" id="{00000000-0008-0000-0A00-000009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0</xdr:row>
          <xdr:rowOff>247650</xdr:rowOff>
        </xdr:from>
        <xdr:to>
          <xdr:col>8</xdr:col>
          <xdr:colOff>571500</xdr:colOff>
          <xdr:row>2</xdr:row>
          <xdr:rowOff>0</xdr:rowOff>
        </xdr:to>
        <xdr:sp macro="" textlink="">
          <xdr:nvSpPr>
            <xdr:cNvPr id="18442" name="cmdWritePest" hidden="1">
              <a:extLst>
                <a:ext uri="{63B3BB69-23CF-44E3-9099-C40C66FF867C}">
                  <a14:compatExt spid="_x0000_s18442"/>
                </a:ext>
                <a:ext uri="{FF2B5EF4-FFF2-40B4-BE49-F238E27FC236}">
                  <a16:creationId xmlns:a16="http://schemas.microsoft.com/office/drawing/2014/main" id="{00000000-0008-0000-0A00-00000A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0</xdr:row>
          <xdr:rowOff>247650</xdr:rowOff>
        </xdr:from>
        <xdr:to>
          <xdr:col>10</xdr:col>
          <xdr:colOff>400050</xdr:colOff>
          <xdr:row>2</xdr:row>
          <xdr:rowOff>0</xdr:rowOff>
        </xdr:to>
        <xdr:sp macro="" textlink="">
          <xdr:nvSpPr>
            <xdr:cNvPr id="18443" name="cmdRun" hidden="1">
              <a:extLst>
                <a:ext uri="{63B3BB69-23CF-44E3-9099-C40C66FF867C}">
                  <a14:compatExt spid="_x0000_s18443"/>
                </a:ext>
                <a:ext uri="{FF2B5EF4-FFF2-40B4-BE49-F238E27FC236}">
                  <a16:creationId xmlns:a16="http://schemas.microsoft.com/office/drawing/2014/main" id="{00000000-0008-0000-0A00-00000B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2</xdr:col>
          <xdr:colOff>47625</xdr:colOff>
          <xdr:row>2</xdr:row>
          <xdr:rowOff>9525</xdr:rowOff>
        </xdr:to>
        <xdr:sp macro="" textlink="">
          <xdr:nvSpPr>
            <xdr:cNvPr id="18445" name="cmbBoxPest" hidden="1">
              <a:extLst>
                <a:ext uri="{63B3BB69-23CF-44E3-9099-C40C66FF867C}">
                  <a14:compatExt spid="_x0000_s18445"/>
                </a:ext>
                <a:ext uri="{FF2B5EF4-FFF2-40B4-BE49-F238E27FC236}">
                  <a16:creationId xmlns:a16="http://schemas.microsoft.com/office/drawing/2014/main" id="{00000000-0008-0000-0A00-00000D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0</xdr:row>
          <xdr:rowOff>247650</xdr:rowOff>
        </xdr:from>
        <xdr:to>
          <xdr:col>5</xdr:col>
          <xdr:colOff>438150</xdr:colOff>
          <xdr:row>2</xdr:row>
          <xdr:rowOff>0</xdr:rowOff>
        </xdr:to>
        <xdr:sp macro="" textlink="">
          <xdr:nvSpPr>
            <xdr:cNvPr id="18446" name="cmdGetPest" hidden="1">
              <a:extLst>
                <a:ext uri="{63B3BB69-23CF-44E3-9099-C40C66FF867C}">
                  <a14:compatExt spid="_x0000_s18446"/>
                </a:ext>
                <a:ext uri="{FF2B5EF4-FFF2-40B4-BE49-F238E27FC236}">
                  <a16:creationId xmlns:a16="http://schemas.microsoft.com/office/drawing/2014/main" id="{00000000-0008-0000-0A00-00000E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590550</xdr:colOff>
          <xdr:row>2</xdr:row>
          <xdr:rowOff>38100</xdr:rowOff>
        </xdr:from>
        <xdr:to>
          <xdr:col>8</xdr:col>
          <xdr:colOff>361950</xdr:colOff>
          <xdr:row>3</xdr:row>
          <xdr:rowOff>161925</xdr:rowOff>
        </xdr:to>
        <xdr:sp macro="" textlink="">
          <xdr:nvSpPr>
            <xdr:cNvPr id="30721" name="cmdReadOpc" hidden="1">
              <a:extLst>
                <a:ext uri="{63B3BB69-23CF-44E3-9099-C40C66FF867C}">
                  <a14:compatExt spid="_x0000_s30721"/>
                </a:ext>
                <a:ext uri="{FF2B5EF4-FFF2-40B4-BE49-F238E27FC236}">
                  <a16:creationId xmlns:a16="http://schemas.microsoft.com/office/drawing/2014/main" id="{00000000-0008-0000-0B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400050</xdr:colOff>
          <xdr:row>2</xdr:row>
          <xdr:rowOff>38100</xdr:rowOff>
        </xdr:from>
        <xdr:to>
          <xdr:col>10</xdr:col>
          <xdr:colOff>200025</xdr:colOff>
          <xdr:row>3</xdr:row>
          <xdr:rowOff>161925</xdr:rowOff>
        </xdr:to>
        <xdr:sp macro="" textlink="">
          <xdr:nvSpPr>
            <xdr:cNvPr id="30722" name="cmdWriteOpc" hidden="1">
              <a:extLst>
                <a:ext uri="{63B3BB69-23CF-44E3-9099-C40C66FF867C}">
                  <a14:compatExt spid="_x0000_s30722"/>
                </a:ext>
                <a:ext uri="{FF2B5EF4-FFF2-40B4-BE49-F238E27FC236}">
                  <a16:creationId xmlns:a16="http://schemas.microsoft.com/office/drawing/2014/main" id="{00000000-0008-0000-0B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133350</xdr:rowOff>
        </xdr:from>
        <xdr:to>
          <xdr:col>3</xdr:col>
          <xdr:colOff>76200</xdr:colOff>
          <xdr:row>4</xdr:row>
          <xdr:rowOff>0</xdr:rowOff>
        </xdr:to>
        <xdr:sp macro="" textlink="">
          <xdr:nvSpPr>
            <xdr:cNvPr id="30723" name="cmbBoxOpc" hidden="1">
              <a:extLst>
                <a:ext uri="{63B3BB69-23CF-44E3-9099-C40C66FF867C}">
                  <a14:compatExt spid="_x0000_s30723"/>
                </a:ext>
                <a:ext uri="{FF2B5EF4-FFF2-40B4-BE49-F238E27FC236}">
                  <a16:creationId xmlns:a16="http://schemas.microsoft.com/office/drawing/2014/main" id="{00000000-0008-0000-0B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xdr:row>
          <xdr:rowOff>38100</xdr:rowOff>
        </xdr:from>
        <xdr:to>
          <xdr:col>6</xdr:col>
          <xdr:colOff>457200</xdr:colOff>
          <xdr:row>3</xdr:row>
          <xdr:rowOff>161925</xdr:rowOff>
        </xdr:to>
        <xdr:sp macro="" textlink="">
          <xdr:nvSpPr>
            <xdr:cNvPr id="30739" name="cmdGetOpc" hidden="1">
              <a:extLst>
                <a:ext uri="{63B3BB69-23CF-44E3-9099-C40C66FF867C}">
                  <a14:compatExt spid="_x0000_s30739"/>
                </a:ext>
                <a:ext uri="{FF2B5EF4-FFF2-40B4-BE49-F238E27FC236}">
                  <a16:creationId xmlns:a16="http://schemas.microsoft.com/office/drawing/2014/main" id="{00000000-0008-0000-0B00-00001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400050</xdr:colOff>
          <xdr:row>2</xdr:row>
          <xdr:rowOff>38100</xdr:rowOff>
        </xdr:from>
        <xdr:to>
          <xdr:col>12</xdr:col>
          <xdr:colOff>190500</xdr:colOff>
          <xdr:row>3</xdr:row>
          <xdr:rowOff>171450</xdr:rowOff>
        </xdr:to>
        <xdr:sp macro="" textlink="">
          <xdr:nvSpPr>
            <xdr:cNvPr id="30740" name="cmdRun" hidden="1">
              <a:extLst>
                <a:ext uri="{63B3BB69-23CF-44E3-9099-C40C66FF867C}">
                  <a14:compatExt spid="_x0000_s30740"/>
                </a:ext>
                <a:ext uri="{FF2B5EF4-FFF2-40B4-BE49-F238E27FC236}">
                  <a16:creationId xmlns:a16="http://schemas.microsoft.com/office/drawing/2014/main" id="{00000000-0008-0000-0B00-00001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590550</xdr:colOff>
          <xdr:row>2</xdr:row>
          <xdr:rowOff>38100</xdr:rowOff>
        </xdr:from>
        <xdr:to>
          <xdr:col>8</xdr:col>
          <xdr:colOff>333375</xdr:colOff>
          <xdr:row>3</xdr:row>
          <xdr:rowOff>171450</xdr:rowOff>
        </xdr:to>
        <xdr:sp macro="" textlink="">
          <xdr:nvSpPr>
            <xdr:cNvPr id="72710" name="cmdReadSol" hidden="1">
              <a:extLst>
                <a:ext uri="{63B3BB69-23CF-44E3-9099-C40C66FF867C}">
                  <a14:compatExt spid="_x0000_s72710"/>
                </a:ext>
                <a:ext uri="{FF2B5EF4-FFF2-40B4-BE49-F238E27FC236}">
                  <a16:creationId xmlns:a16="http://schemas.microsoft.com/office/drawing/2014/main" id="{00000000-0008-0000-0C00-000006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400050</xdr:colOff>
          <xdr:row>2</xdr:row>
          <xdr:rowOff>38100</xdr:rowOff>
        </xdr:from>
        <xdr:to>
          <xdr:col>10</xdr:col>
          <xdr:colOff>200025</xdr:colOff>
          <xdr:row>3</xdr:row>
          <xdr:rowOff>171450</xdr:rowOff>
        </xdr:to>
        <xdr:sp macro="" textlink="">
          <xdr:nvSpPr>
            <xdr:cNvPr id="72711" name="cmdWriteSol" hidden="1">
              <a:extLst>
                <a:ext uri="{63B3BB69-23CF-44E3-9099-C40C66FF867C}">
                  <a14:compatExt spid="_x0000_s72711"/>
                </a:ext>
                <a:ext uri="{FF2B5EF4-FFF2-40B4-BE49-F238E27FC236}">
                  <a16:creationId xmlns:a16="http://schemas.microsoft.com/office/drawing/2014/main" id="{00000000-0008-0000-0C00-000007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133350</xdr:rowOff>
        </xdr:from>
        <xdr:to>
          <xdr:col>3</xdr:col>
          <xdr:colOff>76200</xdr:colOff>
          <xdr:row>4</xdr:row>
          <xdr:rowOff>0</xdr:rowOff>
        </xdr:to>
        <xdr:sp macro="" textlink="">
          <xdr:nvSpPr>
            <xdr:cNvPr id="72712" name="cmbBoxSol" hidden="1">
              <a:extLst>
                <a:ext uri="{63B3BB69-23CF-44E3-9099-C40C66FF867C}">
                  <a14:compatExt spid="_x0000_s72712"/>
                </a:ext>
                <a:ext uri="{FF2B5EF4-FFF2-40B4-BE49-F238E27FC236}">
                  <a16:creationId xmlns:a16="http://schemas.microsoft.com/office/drawing/2014/main" id="{00000000-0008-0000-0C00-000008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xdr:row>
          <xdr:rowOff>38100</xdr:rowOff>
        </xdr:from>
        <xdr:to>
          <xdr:col>6</xdr:col>
          <xdr:colOff>447675</xdr:colOff>
          <xdr:row>3</xdr:row>
          <xdr:rowOff>171450</xdr:rowOff>
        </xdr:to>
        <xdr:sp macro="" textlink="">
          <xdr:nvSpPr>
            <xdr:cNvPr id="72713" name="cmdGetSol" hidden="1">
              <a:extLst>
                <a:ext uri="{63B3BB69-23CF-44E3-9099-C40C66FF867C}">
                  <a14:compatExt spid="_x0000_s72713"/>
                </a:ext>
                <a:ext uri="{FF2B5EF4-FFF2-40B4-BE49-F238E27FC236}">
                  <a16:creationId xmlns:a16="http://schemas.microsoft.com/office/drawing/2014/main" id="{00000000-0008-0000-0C00-000009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400050</xdr:colOff>
          <xdr:row>2</xdr:row>
          <xdr:rowOff>38100</xdr:rowOff>
        </xdr:from>
        <xdr:to>
          <xdr:col>12</xdr:col>
          <xdr:colOff>200025</xdr:colOff>
          <xdr:row>3</xdr:row>
          <xdr:rowOff>171450</xdr:rowOff>
        </xdr:to>
        <xdr:sp macro="" textlink="">
          <xdr:nvSpPr>
            <xdr:cNvPr id="72714" name="cmdRunSol" hidden="1">
              <a:extLst>
                <a:ext uri="{63B3BB69-23CF-44E3-9099-C40C66FF867C}">
                  <a14:compatExt spid="_x0000_s72714"/>
                </a:ext>
                <a:ext uri="{FF2B5EF4-FFF2-40B4-BE49-F238E27FC236}">
                  <a16:creationId xmlns:a16="http://schemas.microsoft.com/office/drawing/2014/main" id="{00000000-0008-0000-0C00-00000A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2857500</xdr:colOff>
          <xdr:row>0</xdr:row>
          <xdr:rowOff>66675</xdr:rowOff>
        </xdr:from>
        <xdr:to>
          <xdr:col>2</xdr:col>
          <xdr:colOff>3876675</xdr:colOff>
          <xdr:row>1</xdr:row>
          <xdr:rowOff>123825</xdr:rowOff>
        </xdr:to>
        <xdr:sp macro="" textlink="">
          <xdr:nvSpPr>
            <xdr:cNvPr id="73729" name="cmdReadOpsc" hidden="1">
              <a:extLst>
                <a:ext uri="{63B3BB69-23CF-44E3-9099-C40C66FF867C}">
                  <a14:compatExt spid="_x0000_s73729"/>
                </a:ext>
                <a:ext uri="{FF2B5EF4-FFF2-40B4-BE49-F238E27FC236}">
                  <a16:creationId xmlns:a16="http://schemas.microsoft.com/office/drawing/2014/main" id="{00000000-0008-0000-0D00-0000012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3914775</xdr:colOff>
          <xdr:row>0</xdr:row>
          <xdr:rowOff>66675</xdr:rowOff>
        </xdr:from>
        <xdr:to>
          <xdr:col>3</xdr:col>
          <xdr:colOff>0</xdr:colOff>
          <xdr:row>1</xdr:row>
          <xdr:rowOff>123825</xdr:rowOff>
        </xdr:to>
        <xdr:sp macro="" textlink="">
          <xdr:nvSpPr>
            <xdr:cNvPr id="73730" name="cmdWriteOpsc" hidden="1">
              <a:extLst>
                <a:ext uri="{63B3BB69-23CF-44E3-9099-C40C66FF867C}">
                  <a14:compatExt spid="_x0000_s73730"/>
                </a:ext>
                <a:ext uri="{FF2B5EF4-FFF2-40B4-BE49-F238E27FC236}">
                  <a16:creationId xmlns:a16="http://schemas.microsoft.com/office/drawing/2014/main" id="{00000000-0008-0000-0D00-0000022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2857500</xdr:colOff>
          <xdr:row>0</xdr:row>
          <xdr:rowOff>66675</xdr:rowOff>
        </xdr:from>
        <xdr:to>
          <xdr:col>2</xdr:col>
          <xdr:colOff>3876675</xdr:colOff>
          <xdr:row>1</xdr:row>
          <xdr:rowOff>123825</xdr:rowOff>
        </xdr:to>
        <xdr:sp macro="" textlink="">
          <xdr:nvSpPr>
            <xdr:cNvPr id="82945" name="cmdReadSolc" hidden="1">
              <a:extLst>
                <a:ext uri="{63B3BB69-23CF-44E3-9099-C40C66FF867C}">
                  <a14:compatExt spid="_x0000_s82945"/>
                </a:ext>
                <a:ext uri="{FF2B5EF4-FFF2-40B4-BE49-F238E27FC236}">
                  <a16:creationId xmlns:a16="http://schemas.microsoft.com/office/drawing/2014/main" id="{00000000-0008-0000-0E00-0000014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3914775</xdr:colOff>
          <xdr:row>0</xdr:row>
          <xdr:rowOff>66675</xdr:rowOff>
        </xdr:from>
        <xdr:to>
          <xdr:col>3</xdr:col>
          <xdr:colOff>0</xdr:colOff>
          <xdr:row>1</xdr:row>
          <xdr:rowOff>123825</xdr:rowOff>
        </xdr:to>
        <xdr:sp macro="" textlink="">
          <xdr:nvSpPr>
            <xdr:cNvPr id="82946" name="cmdWriteSolc" hidden="1">
              <a:extLst>
                <a:ext uri="{63B3BB69-23CF-44E3-9099-C40C66FF867C}">
                  <a14:compatExt spid="_x0000_s82946"/>
                </a:ext>
                <a:ext uri="{FF2B5EF4-FFF2-40B4-BE49-F238E27FC236}">
                  <a16:creationId xmlns:a16="http://schemas.microsoft.com/office/drawing/2014/main" id="{00000000-0008-0000-0E00-0000024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628650</xdr:colOff>
          <xdr:row>0</xdr:row>
          <xdr:rowOff>76200</xdr:rowOff>
        </xdr:from>
        <xdr:to>
          <xdr:col>6</xdr:col>
          <xdr:colOff>209550</xdr:colOff>
          <xdr:row>1</xdr:row>
          <xdr:rowOff>123825</xdr:rowOff>
        </xdr:to>
        <xdr:sp macro="" textlink="">
          <xdr:nvSpPr>
            <xdr:cNvPr id="27649" name="cmdReadWtr"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0</xdr:row>
          <xdr:rowOff>66675</xdr:rowOff>
        </xdr:from>
        <xdr:to>
          <xdr:col>8</xdr:col>
          <xdr:colOff>57150</xdr:colOff>
          <xdr:row>1</xdr:row>
          <xdr:rowOff>114300</xdr:rowOff>
        </xdr:to>
        <xdr:sp macro="" textlink="">
          <xdr:nvSpPr>
            <xdr:cNvPr id="27650" name="cmdWriteWtr" hidden="1">
              <a:extLst>
                <a:ext uri="{63B3BB69-23CF-44E3-9099-C40C66FF867C}">
                  <a14:compatExt spid="_x0000_s27650"/>
                </a:ext>
                <a:ext uri="{FF2B5EF4-FFF2-40B4-BE49-F238E27FC236}">
                  <a16:creationId xmlns:a16="http://schemas.microsoft.com/office/drawing/2014/main" id="{00000000-0008-0000-0F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638175</xdr:colOff>
          <xdr:row>0</xdr:row>
          <xdr:rowOff>66675</xdr:rowOff>
        </xdr:from>
        <xdr:to>
          <xdr:col>6</xdr:col>
          <xdr:colOff>152400</xdr:colOff>
          <xdr:row>1</xdr:row>
          <xdr:rowOff>114300</xdr:rowOff>
        </xdr:to>
        <xdr:sp macro="" textlink="">
          <xdr:nvSpPr>
            <xdr:cNvPr id="28673" name="cmdReadWp1" hidden="1">
              <a:extLst>
                <a:ext uri="{63B3BB69-23CF-44E3-9099-C40C66FF867C}">
                  <a14:compatExt spid="_x0000_s28673"/>
                </a:ext>
                <a:ext uri="{FF2B5EF4-FFF2-40B4-BE49-F238E27FC236}">
                  <a16:creationId xmlns:a16="http://schemas.microsoft.com/office/drawing/2014/main" id="{00000000-0008-0000-1000-000001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190500</xdr:colOff>
          <xdr:row>0</xdr:row>
          <xdr:rowOff>66675</xdr:rowOff>
        </xdr:from>
        <xdr:to>
          <xdr:col>7</xdr:col>
          <xdr:colOff>600075</xdr:colOff>
          <xdr:row>1</xdr:row>
          <xdr:rowOff>114300</xdr:rowOff>
        </xdr:to>
        <xdr:sp macro="" textlink="">
          <xdr:nvSpPr>
            <xdr:cNvPr id="28674" name="cmdWriteWp1" hidden="1">
              <a:extLst>
                <a:ext uri="{63B3BB69-23CF-44E3-9099-C40C66FF867C}">
                  <a14:compatExt spid="_x0000_s28674"/>
                </a:ext>
                <a:ext uri="{FF2B5EF4-FFF2-40B4-BE49-F238E27FC236}">
                  <a16:creationId xmlns:a16="http://schemas.microsoft.com/office/drawing/2014/main" id="{00000000-0008-0000-1000-000002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771525</xdr:colOff>
          <xdr:row>0</xdr:row>
          <xdr:rowOff>76200</xdr:rowOff>
        </xdr:from>
        <xdr:to>
          <xdr:col>6</xdr:col>
          <xdr:colOff>0</xdr:colOff>
          <xdr:row>1</xdr:row>
          <xdr:rowOff>133350</xdr:rowOff>
        </xdr:to>
        <xdr:sp macro="" textlink="">
          <xdr:nvSpPr>
            <xdr:cNvPr id="29697" name="cmdReadWnd" hidden="1">
              <a:extLst>
                <a:ext uri="{63B3BB69-23CF-44E3-9099-C40C66FF867C}">
                  <a14:compatExt spid="_x0000_s29697"/>
                </a:ext>
                <a:ext uri="{FF2B5EF4-FFF2-40B4-BE49-F238E27FC236}">
                  <a16:creationId xmlns:a16="http://schemas.microsoft.com/office/drawing/2014/main" id="{00000000-0008-0000-1100-000001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0</xdr:row>
          <xdr:rowOff>76200</xdr:rowOff>
        </xdr:from>
        <xdr:to>
          <xdr:col>7</xdr:col>
          <xdr:colOff>476250</xdr:colOff>
          <xdr:row>1</xdr:row>
          <xdr:rowOff>133350</xdr:rowOff>
        </xdr:to>
        <xdr:sp macro="" textlink="">
          <xdr:nvSpPr>
            <xdr:cNvPr id="29698" name="cmdWriteWnd" hidden="1">
              <a:extLst>
                <a:ext uri="{63B3BB69-23CF-44E3-9099-C40C66FF867C}">
                  <a14:compatExt spid="_x0000_s29698"/>
                </a:ext>
                <a:ext uri="{FF2B5EF4-FFF2-40B4-BE49-F238E27FC236}">
                  <a16:creationId xmlns:a16="http://schemas.microsoft.com/office/drawing/2014/main" id="{00000000-0008-0000-1100-000002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504825</xdr:colOff>
          <xdr:row>0</xdr:row>
          <xdr:rowOff>285750</xdr:rowOff>
        </xdr:from>
        <xdr:to>
          <xdr:col>10</xdr:col>
          <xdr:colOff>304800</xdr:colOff>
          <xdr:row>2</xdr:row>
          <xdr:rowOff>28575</xdr:rowOff>
        </xdr:to>
        <xdr:sp macro="" textlink="">
          <xdr:nvSpPr>
            <xdr:cNvPr id="81921" name="cmdWrite" hidden="1">
              <a:extLst>
                <a:ext uri="{63B3BB69-23CF-44E3-9099-C40C66FF867C}">
                  <a14:compatExt spid="_x0000_s81921"/>
                </a:ext>
                <a:ext uri="{FF2B5EF4-FFF2-40B4-BE49-F238E27FC236}">
                  <a16:creationId xmlns:a16="http://schemas.microsoft.com/office/drawing/2014/main" id="{00000000-0008-0000-1200-000001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0</xdr:row>
          <xdr:rowOff>285750</xdr:rowOff>
        </xdr:from>
        <xdr:to>
          <xdr:col>8</xdr:col>
          <xdr:colOff>447675</xdr:colOff>
          <xdr:row>2</xdr:row>
          <xdr:rowOff>28575</xdr:rowOff>
        </xdr:to>
        <xdr:sp macro="" textlink="">
          <xdr:nvSpPr>
            <xdr:cNvPr id="81922" name="cmdRead" hidden="1">
              <a:extLst>
                <a:ext uri="{63B3BB69-23CF-44E3-9099-C40C66FF867C}">
                  <a14:compatExt spid="_x0000_s81922"/>
                </a:ext>
                <a:ext uri="{FF2B5EF4-FFF2-40B4-BE49-F238E27FC236}">
                  <a16:creationId xmlns:a16="http://schemas.microsoft.com/office/drawing/2014/main" id="{00000000-0008-0000-1200-000002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400050</xdr:colOff>
          <xdr:row>0</xdr:row>
          <xdr:rowOff>285750</xdr:rowOff>
        </xdr:from>
        <xdr:to>
          <xdr:col>12</xdr:col>
          <xdr:colOff>219075</xdr:colOff>
          <xdr:row>2</xdr:row>
          <xdr:rowOff>28575</xdr:rowOff>
        </xdr:to>
        <xdr:sp macro="" textlink="">
          <xdr:nvSpPr>
            <xdr:cNvPr id="81923" name="cmdRun" hidden="1">
              <a:extLst>
                <a:ext uri="{63B3BB69-23CF-44E3-9099-C40C66FF867C}">
                  <a14:compatExt spid="_x0000_s81923"/>
                </a:ext>
                <a:ext uri="{FF2B5EF4-FFF2-40B4-BE49-F238E27FC236}">
                  <a16:creationId xmlns:a16="http://schemas.microsoft.com/office/drawing/2014/main" id="{00000000-0008-0000-1200-000003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57150</xdr:colOff>
          <xdr:row>2</xdr:row>
          <xdr:rowOff>9525</xdr:rowOff>
        </xdr:to>
        <xdr:sp macro="" textlink="">
          <xdr:nvSpPr>
            <xdr:cNvPr id="81924" name="cmbBoxSit" hidden="1">
              <a:extLst>
                <a:ext uri="{63B3BB69-23CF-44E3-9099-C40C66FF867C}">
                  <a14:compatExt spid="_x0000_s81924"/>
                </a:ext>
                <a:ext uri="{FF2B5EF4-FFF2-40B4-BE49-F238E27FC236}">
                  <a16:creationId xmlns:a16="http://schemas.microsoft.com/office/drawing/2014/main" id="{00000000-0008-0000-1200-000004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123825</xdr:colOff>
          <xdr:row>0</xdr:row>
          <xdr:rowOff>285750</xdr:rowOff>
        </xdr:from>
        <xdr:to>
          <xdr:col>6</xdr:col>
          <xdr:colOff>533400</xdr:colOff>
          <xdr:row>2</xdr:row>
          <xdr:rowOff>28575</xdr:rowOff>
        </xdr:to>
        <xdr:sp macro="" textlink="">
          <xdr:nvSpPr>
            <xdr:cNvPr id="81925" name="cmdGetSit" hidden="1">
              <a:extLst>
                <a:ext uri="{63B3BB69-23CF-44E3-9099-C40C66FF867C}">
                  <a14:compatExt spid="_x0000_s81925"/>
                </a:ext>
                <a:ext uri="{FF2B5EF4-FFF2-40B4-BE49-F238E27FC236}">
                  <a16:creationId xmlns:a16="http://schemas.microsoft.com/office/drawing/2014/main" id="{00000000-0008-0000-1200-000005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0</xdr:row>
          <xdr:rowOff>57150</xdr:rowOff>
        </xdr:from>
        <xdr:to>
          <xdr:col>8</xdr:col>
          <xdr:colOff>447675</xdr:colOff>
          <xdr:row>1</xdr:row>
          <xdr:rowOff>114300</xdr:rowOff>
        </xdr:to>
        <xdr:sp macro="" textlink="">
          <xdr:nvSpPr>
            <xdr:cNvPr id="10248" name="cmdReadPrnt" hidden="1">
              <a:extLst>
                <a:ext uri="{63B3BB69-23CF-44E3-9099-C40C66FF867C}">
                  <a14:compatExt spid="_x0000_s10248"/>
                </a:ext>
                <a:ext uri="{FF2B5EF4-FFF2-40B4-BE49-F238E27FC236}">
                  <a16:creationId xmlns:a16="http://schemas.microsoft.com/office/drawing/2014/main" id="{00000000-0008-0000-13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0</xdr:row>
          <xdr:rowOff>57150</xdr:rowOff>
        </xdr:from>
        <xdr:to>
          <xdr:col>10</xdr:col>
          <xdr:colOff>285750</xdr:colOff>
          <xdr:row>1</xdr:row>
          <xdr:rowOff>114300</xdr:rowOff>
        </xdr:to>
        <xdr:sp macro="" textlink="">
          <xdr:nvSpPr>
            <xdr:cNvPr id="10249" name="cmdWritePrnt" hidden="1">
              <a:extLst>
                <a:ext uri="{63B3BB69-23CF-44E3-9099-C40C66FF867C}">
                  <a14:compatExt spid="_x0000_s10249"/>
                </a:ext>
                <a:ext uri="{FF2B5EF4-FFF2-40B4-BE49-F238E27FC236}">
                  <a16:creationId xmlns:a16="http://schemas.microsoft.com/office/drawing/2014/main" id="{00000000-0008-0000-13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0</xdr:row>
          <xdr:rowOff>57150</xdr:rowOff>
        </xdr:from>
        <xdr:to>
          <xdr:col>12</xdr:col>
          <xdr:colOff>171450</xdr:colOff>
          <xdr:row>1</xdr:row>
          <xdr:rowOff>114300</xdr:rowOff>
        </xdr:to>
        <xdr:sp macro="" textlink="">
          <xdr:nvSpPr>
            <xdr:cNvPr id="10250" name="cmdRun" hidden="1">
              <a:extLst>
                <a:ext uri="{63B3BB69-23CF-44E3-9099-C40C66FF867C}">
                  <a14:compatExt spid="_x0000_s10250"/>
                </a:ext>
                <a:ext uri="{FF2B5EF4-FFF2-40B4-BE49-F238E27FC236}">
                  <a16:creationId xmlns:a16="http://schemas.microsoft.com/office/drawing/2014/main" id="{00000000-0008-0000-1300-00000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image" Target="../media/image3.emf"/></Relationships>
</file>

<file path=xl/worksheets/_rels/sheet3.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control" Target="../activeX/activeX4.xml"/><Relationship Id="rId7" Type="http://schemas.openxmlformats.org/officeDocument/2006/relationships/control" Target="../activeX/activeX6.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7.emf"/><Relationship Id="rId5" Type="http://schemas.openxmlformats.org/officeDocument/2006/relationships/control" Target="../activeX/activeX5.xml"/><Relationship Id="rId4"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image" Target="../media/image13.emf"/><Relationship Id="rId3" Type="http://schemas.openxmlformats.org/officeDocument/2006/relationships/vmlDrawing" Target="../drawings/vmlDrawing4.vml"/><Relationship Id="rId7" Type="http://schemas.openxmlformats.org/officeDocument/2006/relationships/image" Target="../media/image10.emf"/><Relationship Id="rId12" Type="http://schemas.openxmlformats.org/officeDocument/2006/relationships/control" Target="../activeX/activeX11.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image" Target="../media/image12.emf"/><Relationship Id="rId5" Type="http://schemas.openxmlformats.org/officeDocument/2006/relationships/image" Target="../media/image9.emf"/><Relationship Id="rId10" Type="http://schemas.openxmlformats.org/officeDocument/2006/relationships/control" Target="../activeX/activeX10.xml"/><Relationship Id="rId4" Type="http://schemas.openxmlformats.org/officeDocument/2006/relationships/control" Target="../activeX/activeX7.xml"/><Relationship Id="rId9" Type="http://schemas.openxmlformats.org/officeDocument/2006/relationships/image" Target="../media/image11.emf"/><Relationship Id="rId1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4.xml"/><Relationship Id="rId13" Type="http://schemas.openxmlformats.org/officeDocument/2006/relationships/image" Target="../media/image18.emf"/><Relationship Id="rId3" Type="http://schemas.openxmlformats.org/officeDocument/2006/relationships/vmlDrawing" Target="../drawings/vmlDrawing5.vml"/><Relationship Id="rId7" Type="http://schemas.openxmlformats.org/officeDocument/2006/relationships/image" Target="../media/image15.emf"/><Relationship Id="rId12" Type="http://schemas.openxmlformats.org/officeDocument/2006/relationships/control" Target="../activeX/activeX16.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ontrol" Target="../activeX/activeX13.xml"/><Relationship Id="rId11" Type="http://schemas.openxmlformats.org/officeDocument/2006/relationships/image" Target="../media/image17.emf"/><Relationship Id="rId5" Type="http://schemas.openxmlformats.org/officeDocument/2006/relationships/image" Target="../media/image14.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16.emf"/><Relationship Id="rId1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control" Target="../activeX/activeX17.xml"/><Relationship Id="rId7" Type="http://schemas.openxmlformats.org/officeDocument/2006/relationships/control" Target="../activeX/activeX19.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image" Target="../media/image20.emf"/><Relationship Id="rId5" Type="http://schemas.openxmlformats.org/officeDocument/2006/relationships/control" Target="../activeX/activeX18.xml"/><Relationship Id="rId4" Type="http://schemas.openxmlformats.org/officeDocument/2006/relationships/image" Target="../media/image19.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2.xml"/><Relationship Id="rId13" Type="http://schemas.openxmlformats.org/officeDocument/2006/relationships/image" Target="../media/image26.emf"/><Relationship Id="rId3" Type="http://schemas.openxmlformats.org/officeDocument/2006/relationships/vmlDrawing" Target="../drawings/vmlDrawing7.vml"/><Relationship Id="rId7" Type="http://schemas.openxmlformats.org/officeDocument/2006/relationships/image" Target="../media/image23.emf"/><Relationship Id="rId12" Type="http://schemas.openxmlformats.org/officeDocument/2006/relationships/control" Target="../activeX/activeX24.x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ontrol" Target="../activeX/activeX21.xml"/><Relationship Id="rId11" Type="http://schemas.openxmlformats.org/officeDocument/2006/relationships/image" Target="../media/image25.emf"/><Relationship Id="rId5" Type="http://schemas.openxmlformats.org/officeDocument/2006/relationships/image" Target="../media/image22.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24.emf"/><Relationship Id="rId1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8" Type="http://schemas.openxmlformats.org/officeDocument/2006/relationships/image" Target="../media/image29.emf"/><Relationship Id="rId13" Type="http://schemas.openxmlformats.org/officeDocument/2006/relationships/comments" Target="../comments5.xml"/><Relationship Id="rId3" Type="http://schemas.openxmlformats.org/officeDocument/2006/relationships/control" Target="../activeX/activeX25.xml"/><Relationship Id="rId7" Type="http://schemas.openxmlformats.org/officeDocument/2006/relationships/control" Target="../activeX/activeX27.xml"/><Relationship Id="rId12" Type="http://schemas.openxmlformats.org/officeDocument/2006/relationships/image" Target="../media/image31.emf"/><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28.emf"/><Relationship Id="rId11" Type="http://schemas.openxmlformats.org/officeDocument/2006/relationships/control" Target="../activeX/activeX29.xml"/><Relationship Id="rId5" Type="http://schemas.openxmlformats.org/officeDocument/2006/relationships/control" Target="../activeX/activeX26.xml"/><Relationship Id="rId10" Type="http://schemas.openxmlformats.org/officeDocument/2006/relationships/image" Target="../media/image30.emf"/><Relationship Id="rId4" Type="http://schemas.openxmlformats.org/officeDocument/2006/relationships/image" Target="../media/image27.emf"/><Relationship Id="rId9" Type="http://schemas.openxmlformats.org/officeDocument/2006/relationships/control" Target="../activeX/activeX28.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2.xml"/><Relationship Id="rId13" Type="http://schemas.openxmlformats.org/officeDocument/2006/relationships/image" Target="../media/image36.emf"/><Relationship Id="rId3" Type="http://schemas.openxmlformats.org/officeDocument/2006/relationships/vmlDrawing" Target="../drawings/vmlDrawing9.vml"/><Relationship Id="rId7" Type="http://schemas.openxmlformats.org/officeDocument/2006/relationships/image" Target="../media/image33.emf"/><Relationship Id="rId12" Type="http://schemas.openxmlformats.org/officeDocument/2006/relationships/control" Target="../activeX/activeX34.xml"/><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31.xml"/><Relationship Id="rId11" Type="http://schemas.openxmlformats.org/officeDocument/2006/relationships/image" Target="../media/image35.emf"/><Relationship Id="rId5" Type="http://schemas.openxmlformats.org/officeDocument/2006/relationships/image" Target="../media/image32.emf"/><Relationship Id="rId10" Type="http://schemas.openxmlformats.org/officeDocument/2006/relationships/control" Target="../activeX/activeX33.xml"/><Relationship Id="rId4" Type="http://schemas.openxmlformats.org/officeDocument/2006/relationships/control" Target="../activeX/activeX30.xml"/><Relationship Id="rId9" Type="http://schemas.openxmlformats.org/officeDocument/2006/relationships/image" Target="../media/image34.emf"/><Relationship Id="rId1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8" Type="http://schemas.openxmlformats.org/officeDocument/2006/relationships/image" Target="../media/image39.emf"/><Relationship Id="rId13" Type="http://schemas.openxmlformats.org/officeDocument/2006/relationships/comments" Target="../comments7.xml"/><Relationship Id="rId3" Type="http://schemas.openxmlformats.org/officeDocument/2006/relationships/control" Target="../activeX/activeX35.xml"/><Relationship Id="rId7" Type="http://schemas.openxmlformats.org/officeDocument/2006/relationships/control" Target="../activeX/activeX37.xml"/><Relationship Id="rId12" Type="http://schemas.openxmlformats.org/officeDocument/2006/relationships/image" Target="../media/image41.emf"/><Relationship Id="rId2" Type="http://schemas.openxmlformats.org/officeDocument/2006/relationships/vmlDrawing" Target="../drawings/vmlDrawing10.vml"/><Relationship Id="rId1" Type="http://schemas.openxmlformats.org/officeDocument/2006/relationships/drawing" Target="../drawings/drawing10.xml"/><Relationship Id="rId6" Type="http://schemas.openxmlformats.org/officeDocument/2006/relationships/image" Target="../media/image38.emf"/><Relationship Id="rId11" Type="http://schemas.openxmlformats.org/officeDocument/2006/relationships/control" Target="../activeX/activeX39.xml"/><Relationship Id="rId5" Type="http://schemas.openxmlformats.org/officeDocument/2006/relationships/control" Target="../activeX/activeX36.xml"/><Relationship Id="rId10" Type="http://schemas.openxmlformats.org/officeDocument/2006/relationships/image" Target="../media/image40.emf"/><Relationship Id="rId4" Type="http://schemas.openxmlformats.org/officeDocument/2006/relationships/image" Target="../media/image37.emf"/><Relationship Id="rId9" Type="http://schemas.openxmlformats.org/officeDocument/2006/relationships/control" Target="../activeX/activeX38.xml"/></Relationships>
</file>

<file path=xl/worksheets/_rels/sheet11.xml.rels><?xml version="1.0" encoding="UTF-8" standalone="yes"?>
<Relationships xmlns="http://schemas.openxmlformats.org/package/2006/relationships"><Relationship Id="rId8" Type="http://schemas.openxmlformats.org/officeDocument/2006/relationships/image" Target="../media/image44.emf"/><Relationship Id="rId13" Type="http://schemas.openxmlformats.org/officeDocument/2006/relationships/comments" Target="../comments8.xml"/><Relationship Id="rId3" Type="http://schemas.openxmlformats.org/officeDocument/2006/relationships/control" Target="../activeX/activeX40.xml"/><Relationship Id="rId7" Type="http://schemas.openxmlformats.org/officeDocument/2006/relationships/control" Target="../activeX/activeX42.xml"/><Relationship Id="rId12" Type="http://schemas.openxmlformats.org/officeDocument/2006/relationships/image" Target="../media/image46.emf"/><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3.emf"/><Relationship Id="rId11" Type="http://schemas.openxmlformats.org/officeDocument/2006/relationships/control" Target="../activeX/activeX44.xml"/><Relationship Id="rId5" Type="http://schemas.openxmlformats.org/officeDocument/2006/relationships/control" Target="../activeX/activeX41.xml"/><Relationship Id="rId10" Type="http://schemas.openxmlformats.org/officeDocument/2006/relationships/image" Target="../media/image45.emf"/><Relationship Id="rId4" Type="http://schemas.openxmlformats.org/officeDocument/2006/relationships/image" Target="../media/image42.emf"/><Relationship Id="rId9" Type="http://schemas.openxmlformats.org/officeDocument/2006/relationships/control" Target="../activeX/activeX43.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47.xml"/><Relationship Id="rId13" Type="http://schemas.openxmlformats.org/officeDocument/2006/relationships/image" Target="../media/image51.emf"/><Relationship Id="rId3" Type="http://schemas.openxmlformats.org/officeDocument/2006/relationships/vmlDrawing" Target="../drawings/vmlDrawing12.vml"/><Relationship Id="rId7" Type="http://schemas.openxmlformats.org/officeDocument/2006/relationships/image" Target="../media/image48.emf"/><Relationship Id="rId12" Type="http://schemas.openxmlformats.org/officeDocument/2006/relationships/control" Target="../activeX/activeX49.xml"/><Relationship Id="rId2" Type="http://schemas.openxmlformats.org/officeDocument/2006/relationships/drawing" Target="../drawings/drawing12.xml"/><Relationship Id="rId1" Type="http://schemas.openxmlformats.org/officeDocument/2006/relationships/printerSettings" Target="../printerSettings/printerSettings6.bin"/><Relationship Id="rId6" Type="http://schemas.openxmlformats.org/officeDocument/2006/relationships/control" Target="../activeX/activeX46.xml"/><Relationship Id="rId11" Type="http://schemas.openxmlformats.org/officeDocument/2006/relationships/image" Target="../media/image50.emf"/><Relationship Id="rId5" Type="http://schemas.openxmlformats.org/officeDocument/2006/relationships/image" Target="../media/image47.emf"/><Relationship Id="rId10" Type="http://schemas.openxmlformats.org/officeDocument/2006/relationships/control" Target="../activeX/activeX48.xml"/><Relationship Id="rId4" Type="http://schemas.openxmlformats.org/officeDocument/2006/relationships/control" Target="../activeX/activeX45.xml"/><Relationship Id="rId9" Type="http://schemas.openxmlformats.org/officeDocument/2006/relationships/image" Target="../media/image49.emf"/><Relationship Id="rId14"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6.emf"/><Relationship Id="rId3" Type="http://schemas.openxmlformats.org/officeDocument/2006/relationships/vmlDrawing" Target="../drawings/vmlDrawing13.vml"/><Relationship Id="rId7" Type="http://schemas.openxmlformats.org/officeDocument/2006/relationships/image" Target="../media/image53.emf"/><Relationship Id="rId12" Type="http://schemas.openxmlformats.org/officeDocument/2006/relationships/control" Target="../activeX/activeX54.xml"/><Relationship Id="rId2" Type="http://schemas.openxmlformats.org/officeDocument/2006/relationships/drawing" Target="../drawings/drawing13.xml"/><Relationship Id="rId1" Type="http://schemas.openxmlformats.org/officeDocument/2006/relationships/printerSettings" Target="../printerSettings/printerSettings7.bin"/><Relationship Id="rId6" Type="http://schemas.openxmlformats.org/officeDocument/2006/relationships/control" Target="../activeX/activeX51.xml"/><Relationship Id="rId11" Type="http://schemas.openxmlformats.org/officeDocument/2006/relationships/image" Target="../media/image55.emf"/><Relationship Id="rId5" Type="http://schemas.openxmlformats.org/officeDocument/2006/relationships/image" Target="../media/image52.emf"/><Relationship Id="rId10" Type="http://schemas.openxmlformats.org/officeDocument/2006/relationships/control" Target="../activeX/activeX53.xml"/><Relationship Id="rId4" Type="http://schemas.openxmlformats.org/officeDocument/2006/relationships/control" Target="../activeX/activeX50.xml"/><Relationship Id="rId9" Type="http://schemas.openxmlformats.org/officeDocument/2006/relationships/image" Target="../media/image54.emf"/><Relationship Id="rId14"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55.xml"/><Relationship Id="rId7" Type="http://schemas.openxmlformats.org/officeDocument/2006/relationships/comments" Target="../comments11.xml"/><Relationship Id="rId2" Type="http://schemas.openxmlformats.org/officeDocument/2006/relationships/vmlDrawing" Target="../drawings/vmlDrawing14.vml"/><Relationship Id="rId1" Type="http://schemas.openxmlformats.org/officeDocument/2006/relationships/drawing" Target="../drawings/drawing14.xml"/><Relationship Id="rId6" Type="http://schemas.openxmlformats.org/officeDocument/2006/relationships/image" Target="../media/image58.emf"/><Relationship Id="rId5" Type="http://schemas.openxmlformats.org/officeDocument/2006/relationships/control" Target="../activeX/activeX56.xml"/><Relationship Id="rId4" Type="http://schemas.openxmlformats.org/officeDocument/2006/relationships/image" Target="../media/image57.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57.xml"/><Relationship Id="rId7" Type="http://schemas.openxmlformats.org/officeDocument/2006/relationships/comments" Target="../comments12.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60.emf"/><Relationship Id="rId5" Type="http://schemas.openxmlformats.org/officeDocument/2006/relationships/control" Target="../activeX/activeX58.xml"/><Relationship Id="rId4" Type="http://schemas.openxmlformats.org/officeDocument/2006/relationships/image" Target="../media/image59.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59.xml"/><Relationship Id="rId7" Type="http://schemas.openxmlformats.org/officeDocument/2006/relationships/comments" Target="../comments13.xml"/><Relationship Id="rId2" Type="http://schemas.openxmlformats.org/officeDocument/2006/relationships/vmlDrawing" Target="../drawings/vmlDrawing16.vml"/><Relationship Id="rId1" Type="http://schemas.openxmlformats.org/officeDocument/2006/relationships/drawing" Target="../drawings/drawing16.xml"/><Relationship Id="rId6" Type="http://schemas.openxmlformats.org/officeDocument/2006/relationships/image" Target="../media/image62.emf"/><Relationship Id="rId5" Type="http://schemas.openxmlformats.org/officeDocument/2006/relationships/control" Target="../activeX/activeX60.xml"/><Relationship Id="rId4" Type="http://schemas.openxmlformats.org/officeDocument/2006/relationships/image" Target="../media/image61.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61.xml"/><Relationship Id="rId7" Type="http://schemas.openxmlformats.org/officeDocument/2006/relationships/comments" Target="../comments14.xml"/><Relationship Id="rId2" Type="http://schemas.openxmlformats.org/officeDocument/2006/relationships/vmlDrawing" Target="../drawings/vmlDrawing17.vml"/><Relationship Id="rId1" Type="http://schemas.openxmlformats.org/officeDocument/2006/relationships/drawing" Target="../drawings/drawing17.xml"/><Relationship Id="rId6" Type="http://schemas.openxmlformats.org/officeDocument/2006/relationships/image" Target="../media/image64.emf"/><Relationship Id="rId5" Type="http://schemas.openxmlformats.org/officeDocument/2006/relationships/control" Target="../activeX/activeX62.xml"/><Relationship Id="rId4" Type="http://schemas.openxmlformats.org/officeDocument/2006/relationships/image" Target="../media/image63.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63.xml"/><Relationship Id="rId7" Type="http://schemas.openxmlformats.org/officeDocument/2006/relationships/comments" Target="../comments15.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66.emf"/><Relationship Id="rId5" Type="http://schemas.openxmlformats.org/officeDocument/2006/relationships/control" Target="../activeX/activeX64.xml"/><Relationship Id="rId4" Type="http://schemas.openxmlformats.org/officeDocument/2006/relationships/image" Target="../media/image65.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67.xml"/><Relationship Id="rId13" Type="http://schemas.openxmlformats.org/officeDocument/2006/relationships/image" Target="../media/image71.emf"/><Relationship Id="rId3" Type="http://schemas.openxmlformats.org/officeDocument/2006/relationships/vmlDrawing" Target="../drawings/vmlDrawing19.vml"/><Relationship Id="rId7" Type="http://schemas.openxmlformats.org/officeDocument/2006/relationships/image" Target="../media/image68.emf"/><Relationship Id="rId12" Type="http://schemas.openxmlformats.org/officeDocument/2006/relationships/control" Target="../activeX/activeX69.x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control" Target="../activeX/activeX66.xml"/><Relationship Id="rId11" Type="http://schemas.openxmlformats.org/officeDocument/2006/relationships/image" Target="../media/image70.emf"/><Relationship Id="rId5" Type="http://schemas.openxmlformats.org/officeDocument/2006/relationships/image" Target="../media/image67.emf"/><Relationship Id="rId10" Type="http://schemas.openxmlformats.org/officeDocument/2006/relationships/control" Target="../activeX/activeX68.xml"/><Relationship Id="rId4" Type="http://schemas.openxmlformats.org/officeDocument/2006/relationships/control" Target="../activeX/activeX65.xml"/><Relationship Id="rId9" Type="http://schemas.openxmlformats.org/officeDocument/2006/relationships/image" Target="../media/image69.emf"/><Relationship Id="rId14" Type="http://schemas.openxmlformats.org/officeDocument/2006/relationships/comments" Target="../comments16.xml"/></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72.xml"/><Relationship Id="rId3" Type="http://schemas.openxmlformats.org/officeDocument/2006/relationships/vmlDrawing" Target="../drawings/vmlDrawing20.vml"/><Relationship Id="rId7" Type="http://schemas.openxmlformats.org/officeDocument/2006/relationships/image" Target="../media/image73.emf"/><Relationship Id="rId2" Type="http://schemas.openxmlformats.org/officeDocument/2006/relationships/drawing" Target="../drawings/drawing20.xml"/><Relationship Id="rId1" Type="http://schemas.openxmlformats.org/officeDocument/2006/relationships/printerSettings" Target="../printerSettings/printerSettings9.bin"/><Relationship Id="rId6" Type="http://schemas.openxmlformats.org/officeDocument/2006/relationships/control" Target="../activeX/activeX71.xml"/><Relationship Id="rId5" Type="http://schemas.openxmlformats.org/officeDocument/2006/relationships/image" Target="../media/image72.emf"/><Relationship Id="rId10" Type="http://schemas.openxmlformats.org/officeDocument/2006/relationships/comments" Target="../comments17.xml"/><Relationship Id="rId4" Type="http://schemas.openxmlformats.org/officeDocument/2006/relationships/control" Target="../activeX/activeX70.xml"/><Relationship Id="rId9" Type="http://schemas.openxmlformats.org/officeDocument/2006/relationships/image" Target="../media/image7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FV31"/>
  <sheetViews>
    <sheetView workbookViewId="0"/>
  </sheetViews>
  <sheetFormatPr defaultRowHeight="15" x14ac:dyDescent="0.25"/>
  <cols>
    <col min="1" max="1" width="2.7109375" customWidth="1"/>
    <col min="2" max="2" width="12.28515625" customWidth="1"/>
    <col min="3" max="3" width="27.5703125" customWidth="1"/>
  </cols>
  <sheetData>
    <row r="1" spans="1:854" x14ac:dyDescent="0.25">
      <c r="A1" s="6"/>
    </row>
    <row r="2" spans="1:854" s="56" customFormat="1" ht="29.1" customHeight="1" x14ac:dyDescent="0.25">
      <c r="A2"/>
      <c r="B2" s="53"/>
      <c r="C2" s="54"/>
      <c r="D2" s="143" t="s">
        <v>1589</v>
      </c>
      <c r="E2" s="73"/>
      <c r="F2" s="73"/>
      <c r="G2" s="73"/>
      <c r="H2" s="73"/>
      <c r="I2" s="54"/>
      <c r="J2" s="54"/>
      <c r="K2" s="54"/>
      <c r="L2" s="54"/>
      <c r="M2" s="74"/>
      <c r="N2" s="55"/>
      <c r="O2" s="55"/>
      <c r="P2" s="55"/>
      <c r="Q2" s="55"/>
      <c r="R2" s="55"/>
      <c r="S2" s="55"/>
      <c r="T2" s="55"/>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row>
    <row r="3" spans="1:854" s="59" customFormat="1" ht="15" customHeight="1" x14ac:dyDescent="0.3">
      <c r="A3"/>
      <c r="B3" s="57"/>
      <c r="C3" s="58"/>
      <c r="D3" s="144" t="s">
        <v>1588</v>
      </c>
      <c r="E3" s="75"/>
      <c r="F3" s="75"/>
      <c r="G3" s="75"/>
      <c r="H3" s="75"/>
      <c r="I3" s="58"/>
      <c r="J3" s="58"/>
      <c r="K3" s="58"/>
      <c r="L3" s="58"/>
      <c r="M3" s="76"/>
      <c r="N3" s="70"/>
      <c r="O3" s="70"/>
      <c r="P3" s="70"/>
      <c r="Q3" s="70"/>
      <c r="R3" s="70"/>
      <c r="S3" s="70"/>
      <c r="T3" s="70"/>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row>
    <row r="4" spans="1:854" s="56" customFormat="1" ht="15" customHeight="1" x14ac:dyDescent="0.3">
      <c r="A4"/>
      <c r="B4" s="57"/>
      <c r="C4" s="60"/>
      <c r="D4" s="61"/>
      <c r="E4" s="62" t="s">
        <v>950</v>
      </c>
      <c r="F4" s="199">
        <v>42905</v>
      </c>
      <c r="G4" s="199"/>
      <c r="H4" s="199"/>
      <c r="I4" s="60"/>
      <c r="J4" s="60"/>
      <c r="K4" s="60"/>
      <c r="L4" s="60"/>
      <c r="M4" s="63"/>
      <c r="N4" s="55"/>
      <c r="O4" s="55"/>
      <c r="P4" s="55"/>
      <c r="Q4" s="55" t="s">
        <v>1145</v>
      </c>
      <c r="R4" s="55"/>
      <c r="S4" s="55"/>
      <c r="T4" s="55"/>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row>
    <row r="5" spans="1:854" s="56" customFormat="1" ht="15" customHeight="1" x14ac:dyDescent="0.3">
      <c r="A5"/>
      <c r="B5" s="64"/>
      <c r="C5" s="65"/>
      <c r="D5" s="65"/>
      <c r="E5" s="66"/>
      <c r="F5" s="67"/>
      <c r="G5" s="67"/>
      <c r="H5" s="68"/>
      <c r="I5" s="65"/>
      <c r="J5" s="65"/>
      <c r="K5" s="65"/>
      <c r="L5" s="65"/>
      <c r="M5" s="69"/>
      <c r="N5" s="71"/>
      <c r="O5" s="71"/>
      <c r="P5" s="71"/>
      <c r="Q5" s="72"/>
      <c r="R5" s="55"/>
      <c r="S5" s="55"/>
      <c r="T5" s="5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row>
    <row r="6" spans="1:854" x14ac:dyDescent="0.25">
      <c r="K6" s="55"/>
      <c r="L6" s="55"/>
      <c r="M6" s="55"/>
      <c r="N6" s="55"/>
      <c r="O6" s="55"/>
      <c r="P6" s="55"/>
      <c r="Q6" s="55"/>
      <c r="R6" s="55"/>
      <c r="S6" s="55"/>
      <c r="T6" s="55"/>
    </row>
    <row r="7" spans="1:854" x14ac:dyDescent="0.25">
      <c r="B7" s="1" t="s">
        <v>1030</v>
      </c>
      <c r="L7" s="46" t="s">
        <v>1377</v>
      </c>
      <c r="M7" s="104"/>
    </row>
    <row r="9" spans="1:854" s="85" customFormat="1" ht="18.75" x14ac:dyDescent="0.3">
      <c r="B9" s="86" t="s">
        <v>945</v>
      </c>
      <c r="C9" s="86" t="s">
        <v>946</v>
      </c>
      <c r="D9" s="198" t="s">
        <v>949</v>
      </c>
      <c r="E9" s="198"/>
      <c r="F9" s="198"/>
      <c r="G9" s="198"/>
      <c r="H9" s="198"/>
      <c r="I9" s="198"/>
      <c r="J9" s="198"/>
      <c r="K9" s="198"/>
      <c r="L9" s="198"/>
      <c r="M9" s="198"/>
      <c r="N9" s="198"/>
      <c r="O9" s="198"/>
      <c r="P9" s="198"/>
      <c r="Q9" s="198"/>
      <c r="R9" s="198"/>
      <c r="S9" s="198"/>
      <c r="T9" s="198"/>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c r="ZU9"/>
      <c r="ZV9"/>
      <c r="ZW9"/>
      <c r="ZX9"/>
      <c r="ZY9"/>
      <c r="ZZ9"/>
      <c r="AAA9"/>
      <c r="AAB9"/>
      <c r="AAC9"/>
      <c r="AAD9"/>
      <c r="AAE9"/>
      <c r="AAF9"/>
      <c r="AAG9"/>
      <c r="AAH9"/>
      <c r="AAI9"/>
      <c r="AAJ9"/>
      <c r="AAK9"/>
      <c r="AAL9"/>
      <c r="AAM9"/>
      <c r="AAN9"/>
      <c r="AAO9"/>
      <c r="AAP9"/>
      <c r="AAQ9"/>
      <c r="AAR9"/>
      <c r="AAS9"/>
      <c r="AAT9"/>
      <c r="AAU9"/>
      <c r="AAV9"/>
      <c r="AAW9"/>
      <c r="AAX9"/>
      <c r="AAY9"/>
      <c r="AAZ9"/>
      <c r="ABA9"/>
      <c r="ABB9"/>
      <c r="ABC9"/>
      <c r="ABD9"/>
      <c r="ABE9"/>
      <c r="ABF9"/>
      <c r="ABG9"/>
      <c r="ABH9"/>
      <c r="ABI9"/>
      <c r="ABJ9"/>
      <c r="ABK9"/>
      <c r="ABL9"/>
      <c r="ABM9"/>
      <c r="ABN9"/>
      <c r="ABO9"/>
      <c r="ABP9"/>
      <c r="ABQ9"/>
      <c r="ABR9"/>
      <c r="ABS9"/>
      <c r="ABT9"/>
      <c r="ABU9"/>
      <c r="ABV9"/>
      <c r="ABW9"/>
      <c r="ABX9"/>
      <c r="ABY9"/>
      <c r="ABZ9"/>
      <c r="ACA9"/>
      <c r="ACB9"/>
      <c r="ACC9"/>
      <c r="ACD9"/>
      <c r="ACE9"/>
      <c r="ACF9"/>
      <c r="ACG9"/>
      <c r="ACH9"/>
      <c r="ACI9"/>
      <c r="ACJ9"/>
      <c r="ACK9"/>
      <c r="ACL9"/>
      <c r="ACM9"/>
      <c r="ACN9"/>
      <c r="ACO9"/>
      <c r="ACP9"/>
      <c r="ACQ9"/>
      <c r="ACR9"/>
      <c r="ACS9"/>
      <c r="ACT9"/>
      <c r="ACU9"/>
      <c r="ACV9"/>
      <c r="ACW9"/>
      <c r="ACX9"/>
      <c r="ACY9"/>
      <c r="ACZ9"/>
      <c r="ADA9"/>
      <c r="ADB9"/>
      <c r="ADC9"/>
      <c r="ADD9"/>
      <c r="ADE9"/>
      <c r="ADF9"/>
      <c r="ADG9"/>
      <c r="ADH9"/>
      <c r="ADI9"/>
      <c r="ADJ9"/>
      <c r="ADK9"/>
      <c r="ADL9"/>
      <c r="ADM9"/>
      <c r="ADN9"/>
      <c r="ADO9"/>
      <c r="ADP9"/>
      <c r="ADQ9"/>
      <c r="ADR9"/>
      <c r="ADS9"/>
      <c r="ADT9"/>
      <c r="ADU9"/>
      <c r="ADV9"/>
      <c r="ADW9"/>
      <c r="ADX9"/>
      <c r="ADY9"/>
      <c r="ADZ9"/>
      <c r="AEA9"/>
      <c r="AEB9"/>
      <c r="AEC9"/>
      <c r="AED9"/>
      <c r="AEE9"/>
      <c r="AEF9"/>
      <c r="AEG9"/>
      <c r="AEH9"/>
      <c r="AEI9"/>
      <c r="AEJ9"/>
      <c r="AEK9"/>
      <c r="AEL9"/>
      <c r="AEM9"/>
      <c r="AEN9"/>
      <c r="AEO9"/>
      <c r="AEP9"/>
      <c r="AEQ9"/>
      <c r="AER9"/>
      <c r="AES9"/>
      <c r="AET9"/>
      <c r="AEU9"/>
      <c r="AEV9"/>
      <c r="AEW9"/>
      <c r="AEX9"/>
      <c r="AEY9"/>
      <c r="AEZ9"/>
      <c r="AFA9"/>
      <c r="AFB9"/>
      <c r="AFC9"/>
      <c r="AFD9"/>
      <c r="AFE9"/>
      <c r="AFF9"/>
      <c r="AFG9"/>
      <c r="AFH9"/>
      <c r="AFI9"/>
      <c r="AFJ9"/>
      <c r="AFK9"/>
      <c r="AFL9"/>
      <c r="AFM9"/>
      <c r="AFN9"/>
      <c r="AFO9"/>
      <c r="AFP9"/>
      <c r="AFQ9"/>
      <c r="AFR9"/>
      <c r="AFS9"/>
      <c r="AFT9"/>
      <c r="AFU9"/>
      <c r="AFV9"/>
    </row>
    <row r="10" spans="1:854" s="52" customFormat="1" ht="18.75" x14ac:dyDescent="0.3">
      <c r="B10" s="83" t="s">
        <v>929</v>
      </c>
      <c r="C10" s="151" t="s">
        <v>1147</v>
      </c>
      <c r="D10" s="194" t="s">
        <v>1135</v>
      </c>
      <c r="E10" s="195"/>
      <c r="F10" s="195"/>
      <c r="G10" s="195"/>
      <c r="H10" s="195"/>
      <c r="I10" s="195"/>
      <c r="J10" s="195"/>
      <c r="K10" s="195"/>
      <c r="L10" s="195"/>
      <c r="M10" s="195"/>
      <c r="N10" s="195"/>
      <c r="O10" s="195"/>
      <c r="P10" s="195"/>
      <c r="Q10" s="195"/>
      <c r="R10" s="195"/>
      <c r="S10" s="195"/>
      <c r="T10" s="195"/>
    </row>
    <row r="11" spans="1:854" s="52" customFormat="1" ht="18.75" x14ac:dyDescent="0.3">
      <c r="B11" s="84" t="s">
        <v>930</v>
      </c>
      <c r="C11" s="84" t="s">
        <v>951</v>
      </c>
      <c r="D11" s="197" t="s">
        <v>27</v>
      </c>
      <c r="E11" s="197"/>
      <c r="F11" s="197"/>
      <c r="G11" s="197"/>
      <c r="H11" s="197"/>
      <c r="I11" s="197"/>
      <c r="J11" s="197"/>
      <c r="K11" s="197"/>
      <c r="L11" s="197"/>
      <c r="M11" s="197"/>
      <c r="N11" s="197"/>
      <c r="O11" s="197"/>
      <c r="P11" s="197"/>
      <c r="Q11" s="197"/>
      <c r="R11" s="197"/>
      <c r="S11" s="197"/>
      <c r="T11" s="197"/>
    </row>
    <row r="12" spans="1:854" s="52" customFormat="1" ht="18.75" x14ac:dyDescent="0.3">
      <c r="B12" s="83" t="s">
        <v>931</v>
      </c>
      <c r="C12" s="83" t="s">
        <v>952</v>
      </c>
      <c r="D12" s="195" t="s">
        <v>19</v>
      </c>
      <c r="E12" s="195"/>
      <c r="F12" s="195"/>
      <c r="G12" s="195"/>
      <c r="H12" s="195"/>
      <c r="I12" s="195"/>
      <c r="J12" s="195"/>
      <c r="K12" s="195"/>
      <c r="L12" s="195"/>
      <c r="M12" s="195"/>
      <c r="N12" s="195"/>
      <c r="O12" s="195"/>
      <c r="P12" s="195"/>
      <c r="Q12" s="195"/>
      <c r="R12" s="195"/>
      <c r="S12" s="195"/>
      <c r="T12" s="195"/>
    </row>
    <row r="13" spans="1:854" s="52" customFormat="1" ht="18.75" x14ac:dyDescent="0.3">
      <c r="B13" s="84" t="s">
        <v>932</v>
      </c>
      <c r="C13" s="84" t="s">
        <v>953</v>
      </c>
      <c r="D13" s="197" t="s">
        <v>20</v>
      </c>
      <c r="E13" s="197"/>
      <c r="F13" s="197"/>
      <c r="G13" s="197"/>
      <c r="H13" s="197"/>
      <c r="I13" s="197"/>
      <c r="J13" s="197"/>
      <c r="K13" s="197"/>
      <c r="L13" s="197"/>
      <c r="M13" s="197"/>
      <c r="N13" s="197"/>
      <c r="O13" s="197"/>
      <c r="P13" s="197"/>
      <c r="Q13" s="197"/>
      <c r="R13" s="197"/>
      <c r="S13" s="197"/>
      <c r="T13" s="197"/>
    </row>
    <row r="14" spans="1:854" s="52" customFormat="1" ht="18.75" x14ac:dyDescent="0.3">
      <c r="B14" s="192" t="s">
        <v>935</v>
      </c>
      <c r="C14" s="140" t="s">
        <v>1133</v>
      </c>
      <c r="D14" s="195" t="s">
        <v>24</v>
      </c>
      <c r="E14" s="195"/>
      <c r="F14" s="195"/>
      <c r="G14" s="195"/>
      <c r="H14" s="195"/>
      <c r="I14" s="195"/>
      <c r="J14" s="195"/>
      <c r="K14" s="195"/>
      <c r="L14" s="195"/>
      <c r="M14" s="195"/>
      <c r="N14" s="195"/>
      <c r="O14" s="195"/>
      <c r="P14" s="195"/>
      <c r="Q14" s="195"/>
      <c r="R14" s="195"/>
      <c r="S14" s="195"/>
      <c r="T14" s="195"/>
    </row>
    <row r="15" spans="1:854" s="52" customFormat="1" ht="18.75" x14ac:dyDescent="0.3">
      <c r="B15" s="193" t="s">
        <v>936</v>
      </c>
      <c r="C15" s="141" t="s">
        <v>1129</v>
      </c>
      <c r="D15" s="197" t="s">
        <v>23</v>
      </c>
      <c r="E15" s="197"/>
      <c r="F15" s="197"/>
      <c r="G15" s="197"/>
      <c r="H15" s="197"/>
      <c r="I15" s="197"/>
      <c r="J15" s="197"/>
      <c r="K15" s="197"/>
      <c r="L15" s="197"/>
      <c r="M15" s="197"/>
      <c r="N15" s="197"/>
      <c r="O15" s="197"/>
      <c r="P15" s="197"/>
      <c r="Q15" s="197"/>
      <c r="R15" s="197"/>
      <c r="S15" s="197"/>
      <c r="T15" s="197"/>
    </row>
    <row r="16" spans="1:854" s="52" customFormat="1" ht="18.75" x14ac:dyDescent="0.3">
      <c r="B16" s="192" t="s">
        <v>937</v>
      </c>
      <c r="C16" s="140" t="s">
        <v>1130</v>
      </c>
      <c r="D16" s="195" t="s">
        <v>26</v>
      </c>
      <c r="E16" s="195"/>
      <c r="F16" s="195"/>
      <c r="G16" s="195"/>
      <c r="H16" s="195"/>
      <c r="I16" s="195"/>
      <c r="J16" s="195"/>
      <c r="K16" s="195"/>
      <c r="L16" s="195"/>
      <c r="M16" s="195"/>
      <c r="N16" s="195"/>
      <c r="O16" s="195"/>
      <c r="P16" s="195"/>
      <c r="Q16" s="195"/>
      <c r="R16" s="195"/>
      <c r="S16" s="195"/>
      <c r="T16" s="195"/>
    </row>
    <row r="17" spans="2:20" s="52" customFormat="1" ht="18.75" x14ac:dyDescent="0.3">
      <c r="B17" s="193" t="s">
        <v>938</v>
      </c>
      <c r="C17" s="141" t="s">
        <v>1131</v>
      </c>
      <c r="D17" s="197" t="s">
        <v>25</v>
      </c>
      <c r="E17" s="197"/>
      <c r="F17" s="197"/>
      <c r="G17" s="197"/>
      <c r="H17" s="197"/>
      <c r="I17" s="197"/>
      <c r="J17" s="197"/>
      <c r="K17" s="197"/>
      <c r="L17" s="197"/>
      <c r="M17" s="197"/>
      <c r="N17" s="197"/>
      <c r="O17" s="197"/>
      <c r="P17" s="197"/>
      <c r="Q17" s="197"/>
      <c r="R17" s="197"/>
      <c r="S17" s="197"/>
      <c r="T17" s="197"/>
    </row>
    <row r="18" spans="2:20" s="52" customFormat="1" ht="18.75" x14ac:dyDescent="0.3">
      <c r="B18" s="192" t="s">
        <v>934</v>
      </c>
      <c r="C18" s="140" t="s">
        <v>1132</v>
      </c>
      <c r="D18" s="195" t="s">
        <v>16</v>
      </c>
      <c r="E18" s="195"/>
      <c r="F18" s="195"/>
      <c r="G18" s="195"/>
      <c r="H18" s="195"/>
      <c r="I18" s="195"/>
      <c r="J18" s="195"/>
      <c r="K18" s="195"/>
      <c r="L18" s="195"/>
      <c r="M18" s="195"/>
      <c r="N18" s="195"/>
      <c r="O18" s="195"/>
      <c r="P18" s="195"/>
      <c r="Q18" s="195"/>
      <c r="R18" s="195"/>
      <c r="S18" s="195"/>
      <c r="T18" s="195"/>
    </row>
    <row r="19" spans="2:20" s="52" customFormat="1" ht="18.75" x14ac:dyDescent="0.3">
      <c r="B19" s="84" t="s">
        <v>938</v>
      </c>
      <c r="C19" s="84" t="s">
        <v>954</v>
      </c>
      <c r="D19" s="197" t="s">
        <v>17</v>
      </c>
      <c r="E19" s="197"/>
      <c r="F19" s="197"/>
      <c r="G19" s="197"/>
      <c r="H19" s="197"/>
      <c r="I19" s="197"/>
      <c r="J19" s="197"/>
      <c r="K19" s="197"/>
      <c r="L19" s="197"/>
      <c r="M19" s="197"/>
      <c r="N19" s="197"/>
      <c r="O19" s="197"/>
      <c r="P19" s="197"/>
      <c r="Q19" s="197"/>
      <c r="R19" s="197"/>
      <c r="S19" s="197"/>
      <c r="T19" s="197"/>
    </row>
    <row r="20" spans="2:20" s="52" customFormat="1" ht="18.75" x14ac:dyDescent="0.3">
      <c r="B20" s="192" t="s">
        <v>933</v>
      </c>
      <c r="C20" s="83" t="s">
        <v>955</v>
      </c>
      <c r="D20" s="194" t="s">
        <v>1136</v>
      </c>
      <c r="E20" s="195"/>
      <c r="F20" s="195"/>
      <c r="G20" s="195"/>
      <c r="H20" s="195"/>
      <c r="I20" s="195"/>
      <c r="J20" s="195"/>
      <c r="K20" s="195"/>
      <c r="L20" s="195"/>
      <c r="M20" s="195"/>
      <c r="N20" s="195"/>
      <c r="O20" s="195"/>
      <c r="P20" s="195"/>
      <c r="Q20" s="195"/>
      <c r="R20" s="195"/>
      <c r="S20" s="195"/>
      <c r="T20" s="195"/>
    </row>
    <row r="21" spans="2:20" s="52" customFormat="1" ht="18.75" x14ac:dyDescent="0.3">
      <c r="B21" s="193" t="s">
        <v>944</v>
      </c>
      <c r="C21" s="84" t="s">
        <v>956</v>
      </c>
      <c r="D21" s="197" t="s">
        <v>18</v>
      </c>
      <c r="E21" s="197"/>
      <c r="F21" s="197"/>
      <c r="G21" s="197"/>
      <c r="H21" s="197"/>
      <c r="I21" s="197"/>
      <c r="J21" s="197"/>
      <c r="K21" s="197"/>
      <c r="L21" s="197"/>
      <c r="M21" s="197"/>
      <c r="N21" s="197"/>
      <c r="O21" s="197"/>
      <c r="P21" s="197"/>
      <c r="Q21" s="197"/>
      <c r="R21" s="197"/>
      <c r="S21" s="197"/>
      <c r="T21" s="197"/>
    </row>
    <row r="22" spans="2:20" s="52" customFormat="1" ht="18.75" x14ac:dyDescent="0.3">
      <c r="B22" s="192" t="s">
        <v>939</v>
      </c>
      <c r="C22" s="83" t="s">
        <v>957</v>
      </c>
      <c r="D22" s="194" t="s">
        <v>1134</v>
      </c>
      <c r="E22" s="195"/>
      <c r="F22" s="195"/>
      <c r="G22" s="195"/>
      <c r="H22" s="195"/>
      <c r="I22" s="195"/>
      <c r="J22" s="195"/>
      <c r="K22" s="195"/>
      <c r="L22" s="195"/>
      <c r="M22" s="195"/>
      <c r="N22" s="195"/>
      <c r="O22" s="195"/>
      <c r="P22" s="195"/>
      <c r="Q22" s="195"/>
      <c r="R22" s="195"/>
      <c r="S22" s="195"/>
      <c r="T22" s="195"/>
    </row>
    <row r="23" spans="2:20" s="52" customFormat="1" ht="18.75" x14ac:dyDescent="0.3">
      <c r="B23" s="193" t="s">
        <v>963</v>
      </c>
      <c r="C23" s="84" t="s">
        <v>958</v>
      </c>
      <c r="D23" s="197" t="s">
        <v>947</v>
      </c>
      <c r="E23" s="197"/>
      <c r="F23" s="197"/>
      <c r="G23" s="197"/>
      <c r="H23" s="197"/>
      <c r="I23" s="197"/>
      <c r="J23" s="197"/>
      <c r="K23" s="197"/>
      <c r="L23" s="197"/>
      <c r="M23" s="197"/>
      <c r="N23" s="197"/>
      <c r="O23" s="197"/>
      <c r="P23" s="197"/>
      <c r="Q23" s="197"/>
      <c r="R23" s="197"/>
      <c r="S23" s="197"/>
      <c r="T23" s="197"/>
    </row>
    <row r="24" spans="2:20" s="52" customFormat="1" ht="18.75" x14ac:dyDescent="0.3">
      <c r="B24" s="192" t="s">
        <v>1126</v>
      </c>
      <c r="C24" s="83" t="s">
        <v>959</v>
      </c>
      <c r="D24" s="195" t="s">
        <v>948</v>
      </c>
      <c r="E24" s="195"/>
      <c r="F24" s="195"/>
      <c r="G24" s="195"/>
      <c r="H24" s="195"/>
      <c r="I24" s="195"/>
      <c r="J24" s="195"/>
      <c r="K24" s="195"/>
      <c r="L24" s="195"/>
      <c r="M24" s="195"/>
      <c r="N24" s="195"/>
      <c r="O24" s="195"/>
      <c r="P24" s="195"/>
      <c r="Q24" s="195"/>
      <c r="R24" s="195"/>
      <c r="S24" s="195"/>
      <c r="T24" s="195"/>
    </row>
    <row r="25" spans="2:20" s="52" customFormat="1" ht="18.75" x14ac:dyDescent="0.3">
      <c r="B25" s="193" t="s">
        <v>940</v>
      </c>
      <c r="C25" s="84" t="s">
        <v>960</v>
      </c>
      <c r="D25" s="197" t="s">
        <v>21</v>
      </c>
      <c r="E25" s="197"/>
      <c r="F25" s="197"/>
      <c r="G25" s="197"/>
      <c r="H25" s="197"/>
      <c r="I25" s="197"/>
      <c r="J25" s="197"/>
      <c r="K25" s="197"/>
      <c r="L25" s="197"/>
      <c r="M25" s="197"/>
      <c r="N25" s="197"/>
      <c r="O25" s="197"/>
      <c r="P25" s="197"/>
      <c r="Q25" s="197"/>
      <c r="R25" s="197"/>
      <c r="S25" s="197"/>
      <c r="T25" s="197"/>
    </row>
    <row r="26" spans="2:20" s="52" customFormat="1" ht="18.75" x14ac:dyDescent="0.3">
      <c r="B26" s="192" t="s">
        <v>942</v>
      </c>
      <c r="C26" s="83" t="s">
        <v>961</v>
      </c>
      <c r="D26" s="195" t="s">
        <v>22</v>
      </c>
      <c r="E26" s="195"/>
      <c r="F26" s="195"/>
      <c r="G26" s="195"/>
      <c r="H26" s="195"/>
      <c r="I26" s="195"/>
      <c r="J26" s="195"/>
      <c r="K26" s="195"/>
      <c r="L26" s="195"/>
      <c r="M26" s="195"/>
      <c r="N26" s="195"/>
      <c r="O26" s="195"/>
      <c r="P26" s="195"/>
      <c r="Q26" s="195"/>
      <c r="R26" s="195"/>
      <c r="S26" s="195"/>
      <c r="T26" s="195"/>
    </row>
    <row r="27" spans="2:20" ht="15.75" x14ac:dyDescent="0.25">
      <c r="B27" s="193" t="s">
        <v>941</v>
      </c>
      <c r="C27" s="91" t="s">
        <v>964</v>
      </c>
      <c r="D27" s="196" t="s">
        <v>965</v>
      </c>
      <c r="E27" s="197"/>
      <c r="F27" s="197"/>
      <c r="G27" s="197"/>
      <c r="H27" s="197"/>
      <c r="I27" s="197"/>
      <c r="J27" s="197"/>
      <c r="K27" s="197"/>
      <c r="L27" s="197"/>
      <c r="M27" s="197"/>
      <c r="N27" s="197"/>
      <c r="O27" s="197"/>
      <c r="P27" s="197"/>
      <c r="Q27" s="197"/>
      <c r="R27" s="197"/>
      <c r="S27" s="197"/>
      <c r="T27" s="197"/>
    </row>
    <row r="28" spans="2:20" s="52" customFormat="1" ht="18.75" x14ac:dyDescent="0.3">
      <c r="B28" s="192" t="s">
        <v>943</v>
      </c>
      <c r="C28" s="140" t="s">
        <v>1127</v>
      </c>
      <c r="D28" s="194" t="s">
        <v>1128</v>
      </c>
      <c r="E28" s="195"/>
      <c r="F28" s="195"/>
      <c r="G28" s="195"/>
      <c r="H28" s="195"/>
      <c r="I28" s="195"/>
      <c r="J28" s="195"/>
      <c r="K28" s="195"/>
      <c r="L28" s="195"/>
      <c r="M28" s="195"/>
      <c r="N28" s="195"/>
      <c r="O28" s="195"/>
      <c r="P28" s="195"/>
      <c r="Q28" s="195"/>
      <c r="R28" s="195"/>
      <c r="S28" s="195"/>
      <c r="T28" s="195"/>
    </row>
    <row r="30" spans="2:20" x14ac:dyDescent="0.25">
      <c r="B30" s="51" t="s">
        <v>924</v>
      </c>
      <c r="C30" s="6" t="s">
        <v>925</v>
      </c>
      <c r="D30" t="s">
        <v>928</v>
      </c>
    </row>
    <row r="31" spans="2:20" x14ac:dyDescent="0.25">
      <c r="C31" s="6" t="s">
        <v>926</v>
      </c>
      <c r="D31" t="s">
        <v>927</v>
      </c>
    </row>
  </sheetData>
  <mergeCells count="21">
    <mergeCell ref="D10:T10"/>
    <mergeCell ref="D9:T9"/>
    <mergeCell ref="F4:H4"/>
    <mergeCell ref="D21:T21"/>
    <mergeCell ref="D22:T22"/>
    <mergeCell ref="D11:T11"/>
    <mergeCell ref="D14:T14"/>
    <mergeCell ref="D12:T12"/>
    <mergeCell ref="D13:T13"/>
    <mergeCell ref="D15:T15"/>
    <mergeCell ref="D16:T16"/>
    <mergeCell ref="D17:T17"/>
    <mergeCell ref="D18:T18"/>
    <mergeCell ref="D19:T19"/>
    <mergeCell ref="D20:T20"/>
    <mergeCell ref="D28:T28"/>
    <mergeCell ref="D27:T27"/>
    <mergeCell ref="D23:T23"/>
    <mergeCell ref="D24:T24"/>
    <mergeCell ref="D25:T25"/>
    <mergeCell ref="D26:T26"/>
  </mergeCell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41"/>
  <sheetViews>
    <sheetView workbookViewId="0">
      <pane ySplit="4" topLeftCell="A5" activePane="bottomLeft" state="frozen"/>
      <selection pane="bottomLeft"/>
    </sheetView>
  </sheetViews>
  <sheetFormatPr defaultRowHeight="15" x14ac:dyDescent="0.25"/>
  <cols>
    <col min="2" max="2" width="15.5703125" bestFit="1" customWidth="1"/>
    <col min="3" max="3" width="27.5703125" customWidth="1"/>
  </cols>
  <sheetData>
    <row r="1" spans="1:6" ht="21" x14ac:dyDescent="0.25">
      <c r="A1" s="129" t="s">
        <v>1137</v>
      </c>
    </row>
    <row r="2" spans="1:6" x14ac:dyDescent="0.25">
      <c r="A2" s="3"/>
      <c r="F2" s="2"/>
    </row>
    <row r="3" spans="1:6" x14ac:dyDescent="0.25">
      <c r="A3" s="3"/>
      <c r="F3" s="2"/>
    </row>
    <row r="4" spans="1:6" s="8" customFormat="1" x14ac:dyDescent="0.25">
      <c r="A4" s="77" t="s">
        <v>628</v>
      </c>
      <c r="B4" s="77" t="s">
        <v>629</v>
      </c>
      <c r="C4" s="77" t="s">
        <v>15</v>
      </c>
      <c r="F4" s="79"/>
    </row>
    <row r="5" spans="1:6" x14ac:dyDescent="0.25">
      <c r="A5" t="s">
        <v>0</v>
      </c>
      <c r="B5" s="4" t="s">
        <v>2263</v>
      </c>
      <c r="C5" t="s">
        <v>1213</v>
      </c>
    </row>
    <row r="6" spans="1:6" x14ac:dyDescent="0.25">
      <c r="A6" t="s">
        <v>1</v>
      </c>
      <c r="B6" s="4" t="s">
        <v>2264</v>
      </c>
      <c r="C6" t="s">
        <v>1214</v>
      </c>
    </row>
    <row r="7" spans="1:6" x14ac:dyDescent="0.25">
      <c r="A7" t="s">
        <v>2</v>
      </c>
      <c r="B7" s="4" t="s">
        <v>3200</v>
      </c>
      <c r="C7" t="s">
        <v>1215</v>
      </c>
    </row>
    <row r="8" spans="1:6" x14ac:dyDescent="0.25">
      <c r="A8" t="s">
        <v>3</v>
      </c>
      <c r="B8" s="4" t="s">
        <v>3201</v>
      </c>
      <c r="C8" t="s">
        <v>1216</v>
      </c>
    </row>
    <row r="9" spans="1:6" x14ac:dyDescent="0.25">
      <c r="A9" t="s">
        <v>4</v>
      </c>
      <c r="B9" s="4" t="s">
        <v>2265</v>
      </c>
      <c r="C9" t="s">
        <v>1217</v>
      </c>
    </row>
    <row r="10" spans="1:6" x14ac:dyDescent="0.25">
      <c r="A10" t="s">
        <v>5</v>
      </c>
      <c r="B10" s="4" t="s">
        <v>2266</v>
      </c>
      <c r="C10" t="s">
        <v>1218</v>
      </c>
    </row>
    <row r="11" spans="1:6" x14ac:dyDescent="0.25">
      <c r="A11" t="s">
        <v>6</v>
      </c>
      <c r="B11" s="4" t="s">
        <v>1526</v>
      </c>
      <c r="C11" t="s">
        <v>1219</v>
      </c>
    </row>
    <row r="12" spans="1:6" x14ac:dyDescent="0.25">
      <c r="A12" t="s">
        <v>7</v>
      </c>
      <c r="B12" s="4" t="s">
        <v>2267</v>
      </c>
      <c r="C12" t="s">
        <v>1220</v>
      </c>
    </row>
    <row r="13" spans="1:6" x14ac:dyDescent="0.25">
      <c r="A13" t="s">
        <v>8</v>
      </c>
      <c r="B13" s="4" t="s">
        <v>2268</v>
      </c>
      <c r="C13" t="s">
        <v>1221</v>
      </c>
    </row>
    <row r="14" spans="1:6" x14ac:dyDescent="0.25">
      <c r="A14" t="s">
        <v>9</v>
      </c>
      <c r="B14" s="4" t="s">
        <v>2269</v>
      </c>
      <c r="C14" t="s">
        <v>1222</v>
      </c>
    </row>
    <row r="15" spans="1:6" x14ac:dyDescent="0.25">
      <c r="A15" t="s">
        <v>10</v>
      </c>
      <c r="B15" s="4" t="s">
        <v>2270</v>
      </c>
      <c r="C15" t="s">
        <v>1223</v>
      </c>
    </row>
    <row r="16" spans="1:6" x14ac:dyDescent="0.25">
      <c r="A16" t="s">
        <v>11</v>
      </c>
      <c r="B16" s="4" t="s">
        <v>3202</v>
      </c>
      <c r="C16" t="s">
        <v>1224</v>
      </c>
    </row>
    <row r="17" spans="1:3" x14ac:dyDescent="0.25">
      <c r="A17" t="s">
        <v>12</v>
      </c>
      <c r="B17" s="4" t="s">
        <v>3203</v>
      </c>
      <c r="C17" t="s">
        <v>1225</v>
      </c>
    </row>
    <row r="18" spans="1:3" x14ac:dyDescent="0.25">
      <c r="A18" t="s">
        <v>13</v>
      </c>
      <c r="B18" s="4" t="s">
        <v>3204</v>
      </c>
      <c r="C18" t="s">
        <v>1226</v>
      </c>
    </row>
    <row r="19" spans="1:3" x14ac:dyDescent="0.25">
      <c r="A19" t="s">
        <v>14</v>
      </c>
      <c r="B19" s="4" t="s">
        <v>3205</v>
      </c>
      <c r="C19" t="s">
        <v>1227</v>
      </c>
    </row>
    <row r="20" spans="1:3" x14ac:dyDescent="0.25">
      <c r="A20" t="s">
        <v>2271</v>
      </c>
      <c r="B20" s="4" t="s">
        <v>2272</v>
      </c>
      <c r="C20" t="s">
        <v>1228</v>
      </c>
    </row>
    <row r="21" spans="1:3" x14ac:dyDescent="0.25">
      <c r="A21" t="s">
        <v>2273</v>
      </c>
      <c r="B21" s="4" t="s">
        <v>1604</v>
      </c>
      <c r="C21" t="s">
        <v>1229</v>
      </c>
    </row>
    <row r="22" spans="1:3" x14ac:dyDescent="0.25">
      <c r="A22" t="s">
        <v>2274</v>
      </c>
      <c r="B22" s="4" t="s">
        <v>1605</v>
      </c>
      <c r="C22" t="s">
        <v>1230</v>
      </c>
    </row>
    <row r="23" spans="1:3" x14ac:dyDescent="0.25">
      <c r="B23" s="10"/>
    </row>
    <row r="24" spans="1:3" x14ac:dyDescent="0.25">
      <c r="C24" s="10"/>
    </row>
    <row r="25" spans="1:3" x14ac:dyDescent="0.25">
      <c r="C25" s="10"/>
    </row>
    <row r="26" spans="1:3" x14ac:dyDescent="0.25">
      <c r="C26" s="10"/>
    </row>
    <row r="27" spans="1:3" x14ac:dyDescent="0.25">
      <c r="C27" s="10"/>
    </row>
    <row r="28" spans="1:3" x14ac:dyDescent="0.25">
      <c r="C28" s="10"/>
    </row>
    <row r="29" spans="1:3" x14ac:dyDescent="0.25">
      <c r="C29" s="10"/>
    </row>
    <row r="30" spans="1:3" x14ac:dyDescent="0.25">
      <c r="C30" s="10"/>
    </row>
    <row r="31" spans="1:3" x14ac:dyDescent="0.25">
      <c r="C31" s="10"/>
    </row>
    <row r="32" spans="1:3" x14ac:dyDescent="0.25">
      <c r="C32" s="10"/>
    </row>
    <row r="33" spans="3:3" x14ac:dyDescent="0.25">
      <c r="C33" s="10"/>
    </row>
    <row r="34" spans="3:3" x14ac:dyDescent="0.25">
      <c r="C34" s="10"/>
    </row>
    <row r="35" spans="3:3" x14ac:dyDescent="0.25">
      <c r="C35" s="10"/>
    </row>
    <row r="36" spans="3:3" x14ac:dyDescent="0.25">
      <c r="C36" s="10"/>
    </row>
    <row r="37" spans="3:3" x14ac:dyDescent="0.25">
      <c r="C37" s="10"/>
    </row>
    <row r="38" spans="3:3" x14ac:dyDescent="0.25">
      <c r="C38" s="10"/>
    </row>
    <row r="39" spans="3:3" x14ac:dyDescent="0.25">
      <c r="C39" s="10"/>
    </row>
    <row r="40" spans="3:3" x14ac:dyDescent="0.25">
      <c r="C40" s="10"/>
    </row>
    <row r="41" spans="3:3" x14ac:dyDescent="0.25">
      <c r="C41" s="10"/>
    </row>
  </sheetData>
  <pageMargins left="0.7" right="0.7" top="0.75" bottom="0.75" header="0.3" footer="0.3"/>
  <drawing r:id="rId1"/>
  <legacyDrawing r:id="rId2"/>
  <controls>
    <mc:AlternateContent xmlns:mc="http://schemas.openxmlformats.org/markup-compatibility/2006">
      <mc:Choice Requires="x14">
        <control shapeId="34817" r:id="rId3" name="cmdReadFil">
          <controlPr defaultSize="0" autoLine="0" r:id="rId4">
            <anchor moveWithCells="1">
              <from>
                <xdr:col>3</xdr:col>
                <xdr:colOff>76200</xdr:colOff>
                <xdr:row>0</xdr:row>
                <xdr:rowOff>66675</xdr:rowOff>
              </from>
              <to>
                <xdr:col>4</xdr:col>
                <xdr:colOff>485775</xdr:colOff>
                <xdr:row>1</xdr:row>
                <xdr:rowOff>123825</xdr:rowOff>
              </to>
            </anchor>
          </controlPr>
        </control>
      </mc:Choice>
      <mc:Fallback>
        <control shapeId="34817" r:id="rId3" name="cmdReadFil"/>
      </mc:Fallback>
    </mc:AlternateContent>
    <mc:AlternateContent xmlns:mc="http://schemas.openxmlformats.org/markup-compatibility/2006">
      <mc:Choice Requires="x14">
        <control shapeId="34818" r:id="rId5" name="cmdWriteFil">
          <controlPr defaultSize="0" autoLine="0" r:id="rId6">
            <anchor moveWithCells="1">
              <from>
                <xdr:col>4</xdr:col>
                <xdr:colOff>523875</xdr:colOff>
                <xdr:row>0</xdr:row>
                <xdr:rowOff>66675</xdr:rowOff>
              </from>
              <to>
                <xdr:col>6</xdr:col>
                <xdr:colOff>323850</xdr:colOff>
                <xdr:row>1</xdr:row>
                <xdr:rowOff>123825</xdr:rowOff>
              </to>
            </anchor>
          </controlPr>
        </control>
      </mc:Choice>
      <mc:Fallback>
        <control shapeId="34818" r:id="rId5" name="cmdWriteFil"/>
      </mc:Fallback>
    </mc:AlternateContent>
    <mc:AlternateContent xmlns:mc="http://schemas.openxmlformats.org/markup-compatibility/2006">
      <mc:Choice Requires="x14">
        <control shapeId="34819" r:id="rId7" name="cmdRun">
          <controlPr defaultSize="0" autoLine="0" r:id="rId8">
            <anchor moveWithCells="1">
              <from>
                <xdr:col>6</xdr:col>
                <xdr:colOff>523875</xdr:colOff>
                <xdr:row>0</xdr:row>
                <xdr:rowOff>66675</xdr:rowOff>
              </from>
              <to>
                <xdr:col>8</xdr:col>
                <xdr:colOff>314325</xdr:colOff>
                <xdr:row>1</xdr:row>
                <xdr:rowOff>123825</xdr:rowOff>
              </to>
            </anchor>
          </controlPr>
        </control>
      </mc:Choice>
      <mc:Fallback>
        <control shapeId="34819" r:id="rId7" name="cmdRu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L21"/>
  <sheetViews>
    <sheetView workbookViewId="0">
      <pane ySplit="4" topLeftCell="A5" activePane="bottomLeft" state="frozen"/>
      <selection pane="bottomLeft" activeCell="C5" sqref="C5:C13"/>
    </sheetView>
  </sheetViews>
  <sheetFormatPr defaultRowHeight="15" x14ac:dyDescent="0.25"/>
  <cols>
    <col min="1" max="1" width="9.140625" style="6"/>
    <col min="3" max="3" width="9.5703125" style="4" bestFit="1" customWidth="1"/>
  </cols>
  <sheetData>
    <row r="1" spans="1:12" ht="21" x14ac:dyDescent="0.25">
      <c r="A1" s="129" t="s">
        <v>983</v>
      </c>
    </row>
    <row r="2" spans="1:12" x14ac:dyDescent="0.25">
      <c r="A2" s="3"/>
    </row>
    <row r="3" spans="1:12" x14ac:dyDescent="0.25">
      <c r="A3"/>
    </row>
    <row r="4" spans="1:12" s="8" customFormat="1" x14ac:dyDescent="0.25">
      <c r="A4" s="77" t="s">
        <v>28</v>
      </c>
      <c r="B4" s="77" t="s">
        <v>29</v>
      </c>
      <c r="C4" s="78"/>
      <c r="D4" s="200" t="s">
        <v>15</v>
      </c>
      <c r="E4" s="200"/>
    </row>
    <row r="5" spans="1:12" x14ac:dyDescent="0.25">
      <c r="A5" s="6">
        <v>1</v>
      </c>
      <c r="B5" t="s">
        <v>30</v>
      </c>
      <c r="C5" s="4" t="s">
        <v>2275</v>
      </c>
      <c r="D5" t="s">
        <v>1231</v>
      </c>
      <c r="L5" s="4"/>
    </row>
    <row r="6" spans="1:12" x14ac:dyDescent="0.25">
      <c r="A6" s="6">
        <v>2</v>
      </c>
      <c r="B6" t="s">
        <v>31</v>
      </c>
      <c r="C6" s="4">
        <v>1</v>
      </c>
      <c r="D6" t="s">
        <v>1388</v>
      </c>
      <c r="L6" s="4"/>
    </row>
    <row r="7" spans="1:12" x14ac:dyDescent="0.25">
      <c r="A7" s="6">
        <v>3</v>
      </c>
      <c r="B7" t="s">
        <v>32</v>
      </c>
      <c r="C7" s="4">
        <v>109</v>
      </c>
      <c r="D7" t="s">
        <v>1232</v>
      </c>
      <c r="L7" s="4"/>
    </row>
    <row r="8" spans="1:12" x14ac:dyDescent="0.25">
      <c r="A8" s="6">
        <v>4</v>
      </c>
      <c r="B8" t="s">
        <v>33</v>
      </c>
      <c r="C8" s="4">
        <v>25</v>
      </c>
      <c r="D8" t="s">
        <v>1233</v>
      </c>
      <c r="L8" s="4"/>
    </row>
    <row r="9" spans="1:12" x14ac:dyDescent="0.25">
      <c r="A9" s="6">
        <v>5</v>
      </c>
      <c r="B9" t="s">
        <v>34</v>
      </c>
      <c r="C9" s="4">
        <v>1</v>
      </c>
      <c r="D9" t="s">
        <v>1387</v>
      </c>
      <c r="L9" s="4"/>
    </row>
    <row r="10" spans="1:12" x14ac:dyDescent="0.25">
      <c r="A10" s="6">
        <v>6</v>
      </c>
      <c r="B10" t="s">
        <v>35</v>
      </c>
      <c r="C10" s="4">
        <v>0</v>
      </c>
      <c r="D10" t="s">
        <v>1234</v>
      </c>
      <c r="L10" s="4"/>
    </row>
    <row r="11" spans="1:12" x14ac:dyDescent="0.25">
      <c r="A11" s="6">
        <v>7</v>
      </c>
      <c r="B11" t="s">
        <v>36</v>
      </c>
      <c r="C11" s="4">
        <v>0</v>
      </c>
      <c r="D11" t="s">
        <v>1235</v>
      </c>
      <c r="L11" s="4"/>
    </row>
    <row r="14" spans="1:12" x14ac:dyDescent="0.25">
      <c r="D14" s="4"/>
    </row>
    <row r="15" spans="1:12" x14ac:dyDescent="0.25">
      <c r="D15" s="4"/>
      <c r="G15" s="4"/>
    </row>
    <row r="16" spans="1:12" x14ac:dyDescent="0.25">
      <c r="D16" s="4"/>
      <c r="G16" s="4"/>
    </row>
    <row r="17" spans="4:7" x14ac:dyDescent="0.25">
      <c r="D17" s="4"/>
      <c r="G17" s="4"/>
    </row>
    <row r="18" spans="4:7" x14ac:dyDescent="0.25">
      <c r="D18" s="4"/>
      <c r="G18" s="4"/>
    </row>
    <row r="19" spans="4:7" x14ac:dyDescent="0.25">
      <c r="D19" s="4"/>
      <c r="G19" s="4"/>
    </row>
    <row r="20" spans="4:7" x14ac:dyDescent="0.25">
      <c r="D20" s="4"/>
      <c r="G20" s="4"/>
    </row>
    <row r="21" spans="4:7" x14ac:dyDescent="0.25">
      <c r="D21" s="4"/>
      <c r="G21" s="4"/>
    </row>
  </sheetData>
  <mergeCells count="1">
    <mergeCell ref="D4:E4"/>
  </mergeCells>
  <pageMargins left="0.7" right="0.7" top="0.75" bottom="0.75" header="0.3" footer="0.3"/>
  <drawing r:id="rId1"/>
  <legacyDrawing r:id="rId2"/>
  <controls>
    <mc:AlternateContent xmlns:mc="http://schemas.openxmlformats.org/markup-compatibility/2006">
      <mc:Choice Requires="x14">
        <control shapeId="4097" r:id="rId3" name="cmdReadRun">
          <controlPr defaultSize="0" autoLine="0" r:id="rId4">
            <anchor moveWithCells="1">
              <from>
                <xdr:col>6</xdr:col>
                <xdr:colOff>38100</xdr:colOff>
                <xdr:row>0</xdr:row>
                <xdr:rowOff>76200</xdr:rowOff>
              </from>
              <to>
                <xdr:col>7</xdr:col>
                <xdr:colOff>447675</xdr:colOff>
                <xdr:row>1</xdr:row>
                <xdr:rowOff>133350</xdr:rowOff>
              </to>
            </anchor>
          </controlPr>
        </control>
      </mc:Choice>
      <mc:Fallback>
        <control shapeId="4097" r:id="rId3" name="cmdReadRun"/>
      </mc:Fallback>
    </mc:AlternateContent>
    <mc:AlternateContent xmlns:mc="http://schemas.openxmlformats.org/markup-compatibility/2006">
      <mc:Choice Requires="x14">
        <control shapeId="4098" r:id="rId5" name="cmdWriteRun">
          <controlPr defaultSize="0" autoLine="0" r:id="rId6">
            <anchor moveWithCells="1">
              <from>
                <xdr:col>7</xdr:col>
                <xdr:colOff>495300</xdr:colOff>
                <xdr:row>0</xdr:row>
                <xdr:rowOff>76200</xdr:rowOff>
              </from>
              <to>
                <xdr:col>9</xdr:col>
                <xdr:colOff>295275</xdr:colOff>
                <xdr:row>1</xdr:row>
                <xdr:rowOff>133350</xdr:rowOff>
              </to>
            </anchor>
          </controlPr>
        </control>
      </mc:Choice>
      <mc:Fallback>
        <control shapeId="4098" r:id="rId5" name="cmdWriteRun"/>
      </mc:Fallback>
    </mc:AlternateContent>
    <mc:AlternateContent xmlns:mc="http://schemas.openxmlformats.org/markup-compatibility/2006">
      <mc:Choice Requires="x14">
        <control shapeId="4101" r:id="rId7" name="cmdRun">
          <controlPr defaultSize="0" autoLine="0" r:id="rId8">
            <anchor moveWithCells="1">
              <from>
                <xdr:col>9</xdr:col>
                <xdr:colOff>457200</xdr:colOff>
                <xdr:row>0</xdr:row>
                <xdr:rowOff>76200</xdr:rowOff>
              </from>
              <to>
                <xdr:col>11</xdr:col>
                <xdr:colOff>247650</xdr:colOff>
                <xdr:row>1</xdr:row>
                <xdr:rowOff>133350</xdr:rowOff>
              </to>
            </anchor>
          </controlPr>
        </control>
      </mc:Choice>
      <mc:Fallback>
        <control shapeId="4101" r:id="rId7" name="cmdRu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W220"/>
  <sheetViews>
    <sheetView topLeftCell="A28" zoomScaleNormal="100" workbookViewId="0">
      <selection activeCell="C47" sqref="C47"/>
    </sheetView>
  </sheetViews>
  <sheetFormatPr defaultRowHeight="15" x14ac:dyDescent="0.25"/>
  <cols>
    <col min="1" max="1" width="11.85546875" customWidth="1"/>
    <col min="2" max="2" width="10.7109375" customWidth="1"/>
    <col min="3" max="3" width="8.85546875" style="10"/>
    <col min="5" max="5" width="9.140625" style="10"/>
    <col min="11" max="11" width="8.85546875" style="4"/>
    <col min="14" max="14" width="8.85546875" style="10"/>
  </cols>
  <sheetData>
    <row r="1" spans="1:15" ht="25.35" customHeight="1" x14ac:dyDescent="0.25">
      <c r="A1" s="129" t="s">
        <v>982</v>
      </c>
      <c r="O1" s="10"/>
    </row>
    <row r="2" spans="1:15" ht="19.899999999999999" customHeight="1" x14ac:dyDescent="0.25">
      <c r="A2" s="32" t="s">
        <v>1033</v>
      </c>
      <c r="B2" s="114" t="s">
        <v>1077</v>
      </c>
      <c r="C2" s="115"/>
      <c r="D2" s="32"/>
      <c r="E2" s="114"/>
    </row>
    <row r="3" spans="1:15" x14ac:dyDescent="0.25">
      <c r="A3" s="123" t="s">
        <v>984</v>
      </c>
      <c r="B3" s="124"/>
      <c r="C3" s="125"/>
      <c r="D3" s="114"/>
      <c r="E3" s="125"/>
    </row>
    <row r="5" spans="1:15" s="3" customFormat="1" x14ac:dyDescent="0.25">
      <c r="A5" s="87" t="s">
        <v>962</v>
      </c>
      <c r="C5" s="13"/>
      <c r="E5" s="13"/>
      <c r="K5" s="10"/>
      <c r="N5" s="13"/>
    </row>
    <row r="6" spans="1:15" x14ac:dyDescent="0.25">
      <c r="A6">
        <v>1</v>
      </c>
      <c r="B6" t="s">
        <v>37</v>
      </c>
      <c r="C6" s="10">
        <v>20</v>
      </c>
      <c r="D6" t="s">
        <v>1148</v>
      </c>
      <c r="H6" s="10"/>
      <c r="K6" s="10"/>
      <c r="L6" s="10"/>
      <c r="M6" s="10"/>
    </row>
    <row r="7" spans="1:15" x14ac:dyDescent="0.25">
      <c r="A7">
        <v>2</v>
      </c>
      <c r="B7" t="s">
        <v>38</v>
      </c>
      <c r="C7" s="10">
        <v>1971</v>
      </c>
      <c r="D7" t="s">
        <v>1149</v>
      </c>
      <c r="H7" s="10"/>
      <c r="L7" s="10"/>
      <c r="M7" s="10"/>
    </row>
    <row r="8" spans="1:15" x14ac:dyDescent="0.25">
      <c r="A8">
        <v>1</v>
      </c>
      <c r="B8" t="s">
        <v>39</v>
      </c>
      <c r="C8" s="10">
        <v>1</v>
      </c>
      <c r="D8" t="s">
        <v>1150</v>
      </c>
      <c r="H8" s="10"/>
      <c r="L8" s="4"/>
      <c r="M8" s="10"/>
    </row>
    <row r="9" spans="1:15" x14ac:dyDescent="0.25">
      <c r="A9">
        <v>4</v>
      </c>
      <c r="B9" t="s">
        <v>40</v>
      </c>
      <c r="C9" s="10">
        <v>1</v>
      </c>
      <c r="D9" t="s">
        <v>1151</v>
      </c>
      <c r="H9" s="10"/>
      <c r="L9" s="4"/>
      <c r="M9" s="10"/>
    </row>
    <row r="10" spans="1:15" x14ac:dyDescent="0.25">
      <c r="A10">
        <v>5</v>
      </c>
      <c r="B10" t="s">
        <v>41</v>
      </c>
      <c r="C10" s="10">
        <v>3</v>
      </c>
      <c r="D10" t="s">
        <v>1152</v>
      </c>
      <c r="H10" s="10"/>
      <c r="L10" s="4"/>
      <c r="M10" s="10"/>
    </row>
    <row r="11" spans="1:15" x14ac:dyDescent="0.25">
      <c r="A11">
        <v>6</v>
      </c>
      <c r="B11" t="s">
        <v>42</v>
      </c>
      <c r="C11" s="10">
        <v>2</v>
      </c>
      <c r="D11" t="s">
        <v>1153</v>
      </c>
      <c r="H11" s="10"/>
      <c r="L11" s="4"/>
      <c r="M11" s="10"/>
    </row>
    <row r="12" spans="1:15" x14ac:dyDescent="0.25">
      <c r="A12">
        <v>7</v>
      </c>
      <c r="B12" t="s">
        <v>43</v>
      </c>
      <c r="C12" s="10">
        <v>0</v>
      </c>
      <c r="D12" t="s">
        <v>1154</v>
      </c>
      <c r="H12" s="10"/>
      <c r="L12" s="4"/>
      <c r="M12" s="10"/>
    </row>
    <row r="13" spans="1:15" x14ac:dyDescent="0.25">
      <c r="A13">
        <v>8</v>
      </c>
      <c r="B13" t="s">
        <v>44</v>
      </c>
      <c r="C13" s="10">
        <v>0</v>
      </c>
      <c r="D13" t="s">
        <v>1155</v>
      </c>
      <c r="H13" s="10"/>
      <c r="L13" s="4"/>
      <c r="M13" s="10"/>
    </row>
    <row r="14" spans="1:15" x14ac:dyDescent="0.25">
      <c r="A14" s="12">
        <v>9</v>
      </c>
      <c r="B14" s="12" t="s">
        <v>45</v>
      </c>
      <c r="C14" s="10">
        <v>0</v>
      </c>
      <c r="D14" t="s">
        <v>1156</v>
      </c>
      <c r="H14" s="10"/>
      <c r="L14" s="4"/>
      <c r="M14" s="10"/>
    </row>
    <row r="15" spans="1:15" x14ac:dyDescent="0.25">
      <c r="A15" s="12">
        <v>10</v>
      </c>
      <c r="B15" s="12" t="s">
        <v>46</v>
      </c>
      <c r="C15" s="10">
        <v>1</v>
      </c>
      <c r="D15" t="s">
        <v>1157</v>
      </c>
      <c r="H15" s="10"/>
      <c r="L15" s="4"/>
      <c r="M15" s="10"/>
    </row>
    <row r="16" spans="1:15" x14ac:dyDescent="0.25">
      <c r="A16" s="12">
        <v>11</v>
      </c>
      <c r="B16" s="12" t="s">
        <v>47</v>
      </c>
      <c r="C16" s="10">
        <v>1</v>
      </c>
      <c r="D16" t="s">
        <v>1158</v>
      </c>
      <c r="H16" s="10"/>
      <c r="L16" s="4"/>
      <c r="M16" s="10"/>
    </row>
    <row r="17" spans="1:23" x14ac:dyDescent="0.25">
      <c r="A17" s="12">
        <v>12</v>
      </c>
      <c r="B17" s="12" t="s">
        <v>48</v>
      </c>
      <c r="C17" s="10">
        <v>-1</v>
      </c>
      <c r="D17" t="s">
        <v>1159</v>
      </c>
      <c r="H17" s="10"/>
      <c r="L17" s="4"/>
      <c r="M17" s="10"/>
    </row>
    <row r="18" spans="1:23" x14ac:dyDescent="0.25">
      <c r="A18" s="12">
        <v>13</v>
      </c>
      <c r="B18" s="12" t="s">
        <v>49</v>
      </c>
      <c r="C18" s="10">
        <v>0</v>
      </c>
      <c r="D18" t="s">
        <v>1160</v>
      </c>
      <c r="H18" s="10"/>
      <c r="L18" s="4"/>
      <c r="M18" s="10"/>
    </row>
    <row r="19" spans="1:23" x14ac:dyDescent="0.25">
      <c r="A19" s="12">
        <v>14</v>
      </c>
      <c r="B19" s="12" t="s">
        <v>50</v>
      </c>
      <c r="C19" s="10">
        <v>0</v>
      </c>
      <c r="D19" t="s">
        <v>1161</v>
      </c>
      <c r="H19" s="10"/>
      <c r="L19" s="4"/>
      <c r="M19" s="10"/>
    </row>
    <row r="20" spans="1:23" x14ac:dyDescent="0.25">
      <c r="A20" s="12">
        <v>15</v>
      </c>
      <c r="B20" s="12" t="s">
        <v>51</v>
      </c>
      <c r="C20" s="10">
        <v>0</v>
      </c>
      <c r="D20" t="s">
        <v>1162</v>
      </c>
      <c r="H20" s="10"/>
      <c r="L20" s="4"/>
      <c r="M20" s="10"/>
    </row>
    <row r="21" spans="1:23" x14ac:dyDescent="0.25">
      <c r="A21" s="12">
        <v>16</v>
      </c>
      <c r="B21" s="12" t="s">
        <v>52</v>
      </c>
      <c r="C21" s="10">
        <v>0</v>
      </c>
      <c r="D21" t="s">
        <v>1163</v>
      </c>
      <c r="H21" s="10"/>
      <c r="L21" s="4"/>
      <c r="M21" s="10"/>
    </row>
    <row r="22" spans="1:23" x14ac:dyDescent="0.25">
      <c r="A22" s="12">
        <v>17</v>
      </c>
      <c r="B22" s="12" t="s">
        <v>53</v>
      </c>
      <c r="C22" s="10">
        <v>0</v>
      </c>
      <c r="D22" t="s">
        <v>1164</v>
      </c>
      <c r="H22" s="10"/>
      <c r="L22" s="4"/>
      <c r="M22" s="10"/>
    </row>
    <row r="23" spans="1:23" x14ac:dyDescent="0.25">
      <c r="A23" s="12">
        <v>18</v>
      </c>
      <c r="B23" s="12" t="s">
        <v>54</v>
      </c>
      <c r="C23" s="10">
        <v>0</v>
      </c>
      <c r="D23" t="s">
        <v>1165</v>
      </c>
      <c r="H23" s="10"/>
      <c r="L23" s="4"/>
      <c r="M23" s="10"/>
    </row>
    <row r="24" spans="1:23" x14ac:dyDescent="0.25">
      <c r="A24" s="12">
        <v>19</v>
      </c>
      <c r="B24" s="12" t="s">
        <v>55</v>
      </c>
      <c r="C24" s="10">
        <v>0</v>
      </c>
      <c r="D24" t="s">
        <v>1166</v>
      </c>
      <c r="H24" s="10"/>
      <c r="L24" s="4"/>
      <c r="M24" s="10"/>
    </row>
    <row r="25" spans="1:23" x14ac:dyDescent="0.25">
      <c r="A25" s="12">
        <v>20</v>
      </c>
      <c r="B25" s="12" t="s">
        <v>56</v>
      </c>
      <c r="C25" s="10">
        <v>1</v>
      </c>
      <c r="D25" t="s">
        <v>1167</v>
      </c>
      <c r="H25" s="10"/>
      <c r="L25" s="4"/>
      <c r="M25" s="10"/>
    </row>
    <row r="26" spans="1:23" x14ac:dyDescent="0.25">
      <c r="A26" s="12"/>
      <c r="B26" s="12"/>
      <c r="D26" t="s">
        <v>1168</v>
      </c>
      <c r="H26" s="10"/>
      <c r="M26" s="10"/>
    </row>
    <row r="27" spans="1:23" s="87" customFormat="1" x14ac:dyDescent="0.25">
      <c r="A27" s="135" t="s">
        <v>1595</v>
      </c>
      <c r="B27" s="135"/>
      <c r="C27" s="88"/>
      <c r="D27" s="87" t="s">
        <v>1168</v>
      </c>
      <c r="H27" s="88"/>
      <c r="I27"/>
      <c r="K27" s="89"/>
      <c r="M27" s="88"/>
      <c r="N27" s="88"/>
      <c r="T27" s="90"/>
      <c r="U27" s="90"/>
      <c r="V27" s="90"/>
      <c r="W27" s="90"/>
    </row>
    <row r="28" spans="1:23" x14ac:dyDescent="0.25">
      <c r="A28" s="12">
        <v>1</v>
      </c>
      <c r="B28" s="12" t="s">
        <v>57</v>
      </c>
      <c r="C28" s="10">
        <v>0</v>
      </c>
      <c r="D28" t="s">
        <v>1390</v>
      </c>
      <c r="H28" s="10"/>
      <c r="L28" s="4"/>
      <c r="M28" s="10"/>
    </row>
    <row r="29" spans="1:23" x14ac:dyDescent="0.25">
      <c r="A29" s="12">
        <v>2</v>
      </c>
      <c r="B29" s="12" t="s">
        <v>58</v>
      </c>
      <c r="C29" s="10">
        <v>0</v>
      </c>
      <c r="D29" t="s">
        <v>1391</v>
      </c>
      <c r="H29" s="10"/>
      <c r="L29" s="4"/>
      <c r="M29" s="10"/>
    </row>
    <row r="30" spans="1:23" x14ac:dyDescent="0.25">
      <c r="A30" s="12">
        <v>3</v>
      </c>
      <c r="B30" s="12" t="s">
        <v>59</v>
      </c>
      <c r="C30" s="10">
        <v>0</v>
      </c>
      <c r="D30" t="s">
        <v>1389</v>
      </c>
      <c r="H30" s="10"/>
      <c r="L30" s="4"/>
      <c r="M30" s="10"/>
    </row>
    <row r="31" spans="1:23" x14ac:dyDescent="0.25">
      <c r="A31" s="12">
        <v>4</v>
      </c>
      <c r="B31" s="12" t="s">
        <v>60</v>
      </c>
      <c r="C31" s="10">
        <v>0</v>
      </c>
      <c r="D31" t="s">
        <v>1386</v>
      </c>
      <c r="H31" s="10"/>
      <c r="L31" s="4"/>
      <c r="M31" s="10"/>
    </row>
    <row r="32" spans="1:23" x14ac:dyDescent="0.25">
      <c r="A32" s="12">
        <v>5</v>
      </c>
      <c r="B32" s="12" t="s">
        <v>61</v>
      </c>
      <c r="C32" s="10">
        <v>0</v>
      </c>
      <c r="D32" t="s">
        <v>1169</v>
      </c>
      <c r="H32" s="10"/>
      <c r="L32" s="4"/>
      <c r="M32" s="10"/>
    </row>
    <row r="33" spans="1:13" x14ac:dyDescent="0.25">
      <c r="A33" s="12">
        <v>6</v>
      </c>
      <c r="B33" s="12" t="s">
        <v>62</v>
      </c>
      <c r="C33" s="10">
        <v>0</v>
      </c>
      <c r="D33" t="s">
        <v>1170</v>
      </c>
      <c r="H33" s="10"/>
      <c r="L33" s="4"/>
      <c r="M33" s="10"/>
    </row>
    <row r="34" spans="1:13" x14ac:dyDescent="0.25">
      <c r="A34" s="12">
        <v>7</v>
      </c>
      <c r="B34" s="12" t="s">
        <v>63</v>
      </c>
      <c r="C34" s="10">
        <v>0</v>
      </c>
      <c r="D34" t="s">
        <v>1171</v>
      </c>
      <c r="H34" s="10"/>
      <c r="L34" s="4"/>
      <c r="M34" s="10"/>
    </row>
    <row r="35" spans="1:13" x14ac:dyDescent="0.25">
      <c r="A35" s="12">
        <v>8</v>
      </c>
      <c r="B35" s="12" t="s">
        <v>64</v>
      </c>
      <c r="C35" s="10">
        <v>3</v>
      </c>
      <c r="D35" t="s">
        <v>1172</v>
      </c>
      <c r="H35" s="10"/>
      <c r="L35" s="4"/>
      <c r="M35" s="10"/>
    </row>
    <row r="36" spans="1:13" x14ac:dyDescent="0.25">
      <c r="A36" s="12">
        <v>9</v>
      </c>
      <c r="B36" s="12" t="s">
        <v>65</v>
      </c>
      <c r="C36" s="10">
        <v>1</v>
      </c>
      <c r="D36" t="s">
        <v>1173</v>
      </c>
      <c r="H36" s="10"/>
      <c r="L36" s="4"/>
      <c r="M36" s="10"/>
    </row>
    <row r="37" spans="1:13" x14ac:dyDescent="0.25">
      <c r="A37" s="12">
        <v>10</v>
      </c>
      <c r="B37" s="12" t="s">
        <v>66</v>
      </c>
      <c r="C37" s="10">
        <v>0</v>
      </c>
      <c r="D37" t="s">
        <v>1174</v>
      </c>
      <c r="H37" s="10"/>
      <c r="L37" s="4"/>
      <c r="M37" s="10"/>
    </row>
    <row r="38" spans="1:13" x14ac:dyDescent="0.25">
      <c r="A38" s="12">
        <v>11</v>
      </c>
      <c r="B38" s="12" t="s">
        <v>67</v>
      </c>
      <c r="C38" s="10">
        <v>0</v>
      </c>
      <c r="D38" t="s">
        <v>1175</v>
      </c>
      <c r="H38" s="10"/>
      <c r="L38" s="4"/>
      <c r="M38" s="10"/>
    </row>
    <row r="39" spans="1:13" x14ac:dyDescent="0.25">
      <c r="A39" s="12">
        <v>12</v>
      </c>
      <c r="B39" s="12" t="s">
        <v>68</v>
      </c>
      <c r="C39" s="10">
        <v>0</v>
      </c>
      <c r="D39" t="s">
        <v>1176</v>
      </c>
      <c r="H39" s="10"/>
      <c r="L39" s="4"/>
      <c r="M39" s="10"/>
    </row>
    <row r="40" spans="1:13" x14ac:dyDescent="0.25">
      <c r="A40" s="12">
        <v>13</v>
      </c>
      <c r="B40" s="12" t="s">
        <v>69</v>
      </c>
      <c r="C40" s="10">
        <v>0</v>
      </c>
      <c r="D40" t="s">
        <v>1177</v>
      </c>
      <c r="H40" s="10"/>
      <c r="L40" s="4"/>
      <c r="M40" s="10"/>
    </row>
    <row r="41" spans="1:13" x14ac:dyDescent="0.25">
      <c r="A41" s="12">
        <v>14</v>
      </c>
      <c r="B41" s="12" t="s">
        <v>70</v>
      </c>
      <c r="C41" s="10">
        <v>0</v>
      </c>
      <c r="D41" t="s">
        <v>1178</v>
      </c>
      <c r="H41" s="10"/>
      <c r="L41" s="4"/>
      <c r="M41" s="10"/>
    </row>
    <row r="42" spans="1:13" x14ac:dyDescent="0.25">
      <c r="A42" s="12">
        <v>15</v>
      </c>
      <c r="B42" s="12" t="s">
        <v>71</v>
      </c>
      <c r="C42" s="10">
        <v>1</v>
      </c>
      <c r="D42" t="s">
        <v>1179</v>
      </c>
      <c r="H42" s="10"/>
      <c r="L42" s="4"/>
    </row>
    <row r="43" spans="1:13" x14ac:dyDescent="0.25">
      <c r="A43" s="12">
        <v>16</v>
      </c>
      <c r="B43" s="12" t="s">
        <v>72</v>
      </c>
      <c r="C43" s="10">
        <v>0</v>
      </c>
      <c r="D43" t="s">
        <v>1180</v>
      </c>
      <c r="H43" s="10"/>
      <c r="L43" s="4"/>
      <c r="M43" s="10"/>
    </row>
    <row r="44" spans="1:13" x14ac:dyDescent="0.25">
      <c r="A44" s="12">
        <v>17</v>
      </c>
      <c r="B44" s="12" t="s">
        <v>73</v>
      </c>
      <c r="C44" s="131">
        <v>0</v>
      </c>
      <c r="D44" t="s">
        <v>1181</v>
      </c>
      <c r="H44" s="131"/>
      <c r="L44" s="4"/>
      <c r="M44" s="131"/>
    </row>
    <row r="45" spans="1:13" x14ac:dyDescent="0.25">
      <c r="A45" s="12">
        <v>18</v>
      </c>
      <c r="B45" s="12" t="s">
        <v>1084</v>
      </c>
      <c r="C45" s="131">
        <v>1</v>
      </c>
      <c r="D45" t="s">
        <v>1182</v>
      </c>
      <c r="H45" s="131"/>
      <c r="L45" s="4"/>
      <c r="M45" s="131"/>
    </row>
    <row r="46" spans="1:13" x14ac:dyDescent="0.25">
      <c r="A46" s="12">
        <v>19</v>
      </c>
      <c r="B46" s="12" t="s">
        <v>74</v>
      </c>
      <c r="C46" s="131">
        <v>0</v>
      </c>
      <c r="D46" t="s">
        <v>1183</v>
      </c>
      <c r="H46" s="131"/>
      <c r="M46" s="10"/>
    </row>
    <row r="47" spans="1:13" x14ac:dyDescent="0.25">
      <c r="A47" s="12">
        <v>20</v>
      </c>
      <c r="B47" s="12" t="s">
        <v>1378</v>
      </c>
      <c r="C47" s="131">
        <v>1</v>
      </c>
      <c r="D47" t="s">
        <v>1379</v>
      </c>
      <c r="H47" s="131"/>
      <c r="M47" s="131"/>
    </row>
    <row r="48" spans="1:13" x14ac:dyDescent="0.25">
      <c r="A48" s="12">
        <v>21</v>
      </c>
      <c r="B48" s="12" t="s">
        <v>1331</v>
      </c>
      <c r="C48" s="131">
        <v>1</v>
      </c>
      <c r="D48" t="s">
        <v>1333</v>
      </c>
      <c r="H48" s="131"/>
      <c r="M48" s="131"/>
    </row>
    <row r="49" spans="1:14" x14ac:dyDescent="0.25">
      <c r="A49" s="12">
        <v>22</v>
      </c>
      <c r="B49" s="12" t="s">
        <v>1332</v>
      </c>
      <c r="C49" s="131">
        <v>0</v>
      </c>
      <c r="D49" t="s">
        <v>1334</v>
      </c>
      <c r="H49" s="131"/>
      <c r="M49" s="131"/>
    </row>
    <row r="50" spans="1:14" x14ac:dyDescent="0.25">
      <c r="A50" s="12">
        <v>23</v>
      </c>
      <c r="B50" s="12" t="s">
        <v>1527</v>
      </c>
      <c r="C50" s="131">
        <v>0</v>
      </c>
      <c r="D50" t="s">
        <v>1528</v>
      </c>
      <c r="H50" s="131"/>
      <c r="M50" s="131"/>
    </row>
    <row r="51" spans="1:14" x14ac:dyDescent="0.25">
      <c r="A51" s="12">
        <v>24</v>
      </c>
      <c r="B51" s="9" t="s">
        <v>1602</v>
      </c>
      <c r="C51" s="131">
        <v>1</v>
      </c>
      <c r="D51" t="s">
        <v>1603</v>
      </c>
      <c r="H51" s="131"/>
      <c r="M51" s="131"/>
    </row>
    <row r="52" spans="1:14" x14ac:dyDescent="0.25">
      <c r="A52" s="12">
        <v>25</v>
      </c>
      <c r="B52" s="12" t="s">
        <v>75</v>
      </c>
      <c r="C52" s="131">
        <v>0</v>
      </c>
      <c r="D52" t="s">
        <v>1335</v>
      </c>
      <c r="H52" s="131"/>
      <c r="M52" s="131"/>
    </row>
    <row r="53" spans="1:14" x14ac:dyDescent="0.25">
      <c r="A53" s="12"/>
      <c r="B53" s="12"/>
      <c r="C53" s="131">
        <v>0</v>
      </c>
      <c r="H53" s="131"/>
      <c r="M53" s="131"/>
    </row>
    <row r="54" spans="1:14" s="87" customFormat="1" x14ac:dyDescent="0.25">
      <c r="A54" s="135" t="s">
        <v>1596</v>
      </c>
      <c r="B54" s="135"/>
      <c r="C54" s="88"/>
      <c r="D54" s="87" t="s">
        <v>1168</v>
      </c>
      <c r="H54" s="88"/>
      <c r="I54"/>
      <c r="K54" s="89"/>
      <c r="M54" s="88"/>
      <c r="N54" s="88"/>
    </row>
    <row r="55" spans="1:14" x14ac:dyDescent="0.25">
      <c r="A55" s="12">
        <v>1</v>
      </c>
      <c r="B55" s="12" t="s">
        <v>76</v>
      </c>
      <c r="C55" s="10">
        <v>0.8</v>
      </c>
      <c r="D55" t="s">
        <v>1392</v>
      </c>
      <c r="H55" s="10"/>
      <c r="L55" s="4"/>
      <c r="M55" s="10"/>
    </row>
    <row r="56" spans="1:14" x14ac:dyDescent="0.25">
      <c r="A56" s="12">
        <v>2</v>
      </c>
      <c r="B56" s="12" t="s">
        <v>77</v>
      </c>
      <c r="C56" s="10">
        <v>400</v>
      </c>
      <c r="D56" t="s">
        <v>1393</v>
      </c>
      <c r="H56" s="10"/>
      <c r="L56" s="4"/>
      <c r="M56" s="10"/>
    </row>
    <row r="57" spans="1:14" x14ac:dyDescent="0.25">
      <c r="A57" s="12">
        <v>3</v>
      </c>
      <c r="B57" s="12" t="s">
        <v>78</v>
      </c>
      <c r="C57" s="10">
        <v>0</v>
      </c>
      <c r="D57" t="s">
        <v>1394</v>
      </c>
      <c r="H57" s="10"/>
      <c r="L57" s="4"/>
      <c r="M57" s="10"/>
    </row>
    <row r="58" spans="1:14" x14ac:dyDescent="0.25">
      <c r="A58" s="12">
        <v>4</v>
      </c>
      <c r="B58" s="12" t="s">
        <v>79</v>
      </c>
      <c r="C58" s="10">
        <v>0</v>
      </c>
      <c r="D58" t="s">
        <v>1184</v>
      </c>
      <c r="H58" s="10"/>
      <c r="L58" s="4"/>
      <c r="M58" s="10"/>
    </row>
    <row r="59" spans="1:14" x14ac:dyDescent="0.25">
      <c r="A59" s="12">
        <v>5</v>
      </c>
      <c r="B59" s="12" t="s">
        <v>80</v>
      </c>
      <c r="C59" s="10">
        <v>10</v>
      </c>
      <c r="D59" t="s">
        <v>1185</v>
      </c>
      <c r="H59" s="10"/>
      <c r="L59" s="4"/>
      <c r="M59" s="10"/>
    </row>
    <row r="60" spans="1:14" x14ac:dyDescent="0.25">
      <c r="A60" s="12">
        <v>6</v>
      </c>
      <c r="B60" s="12" t="s">
        <v>81</v>
      </c>
      <c r="C60" s="10">
        <v>0.75</v>
      </c>
      <c r="D60" t="s">
        <v>1186</v>
      </c>
      <c r="H60" s="10"/>
      <c r="L60" s="4"/>
      <c r="M60" s="10"/>
    </row>
    <row r="61" spans="1:14" x14ac:dyDescent="0.25">
      <c r="A61" s="12">
        <v>7</v>
      </c>
      <c r="B61" s="12" t="s">
        <v>82</v>
      </c>
      <c r="C61" s="10">
        <v>1.3</v>
      </c>
      <c r="D61" t="s">
        <v>1187</v>
      </c>
      <c r="H61" s="10"/>
      <c r="L61" s="4"/>
      <c r="M61" s="10"/>
    </row>
    <row r="62" spans="1:14" x14ac:dyDescent="0.25">
      <c r="A62" s="12">
        <v>8</v>
      </c>
      <c r="B62" s="12" t="s">
        <v>83</v>
      </c>
      <c r="C62" s="10">
        <v>25</v>
      </c>
      <c r="D62" t="s">
        <v>1188</v>
      </c>
      <c r="H62" s="10"/>
      <c r="L62" s="4"/>
      <c r="M62" s="10"/>
    </row>
    <row r="63" spans="1:14" x14ac:dyDescent="0.25">
      <c r="A63" s="12">
        <v>9</v>
      </c>
      <c r="B63" s="12" t="s">
        <v>84</v>
      </c>
      <c r="C63" s="10">
        <v>0.5</v>
      </c>
      <c r="D63" t="s">
        <v>1189</v>
      </c>
      <c r="H63" s="10"/>
      <c r="L63" s="4"/>
      <c r="M63" s="10"/>
    </row>
    <row r="64" spans="1:14" x14ac:dyDescent="0.25">
      <c r="A64" s="12">
        <v>10</v>
      </c>
      <c r="B64" s="12" t="s">
        <v>85</v>
      </c>
      <c r="C64" s="10">
        <v>0.5</v>
      </c>
      <c r="D64" t="s">
        <v>1190</v>
      </c>
      <c r="H64" s="10"/>
      <c r="I64">
        <v>5.0000000000000001E-3</v>
      </c>
      <c r="L64" s="4"/>
      <c r="M64" s="10"/>
    </row>
    <row r="65" spans="1:14" x14ac:dyDescent="0.25">
      <c r="A65" s="12"/>
      <c r="B65" s="12"/>
      <c r="D65" t="s">
        <v>1168</v>
      </c>
      <c r="H65" s="10"/>
      <c r="M65" s="10"/>
    </row>
    <row r="66" spans="1:14" s="87" customFormat="1" x14ac:dyDescent="0.25">
      <c r="A66" s="135" t="s">
        <v>1597</v>
      </c>
      <c r="B66" s="135"/>
      <c r="C66" s="88"/>
      <c r="D66" s="87" t="s">
        <v>1168</v>
      </c>
      <c r="H66" s="88"/>
      <c r="I66"/>
      <c r="K66" s="89"/>
      <c r="M66" s="88"/>
      <c r="N66" s="88"/>
    </row>
    <row r="67" spans="1:14" x14ac:dyDescent="0.25">
      <c r="A67" s="12">
        <v>1</v>
      </c>
      <c r="B67" s="12" t="s">
        <v>86</v>
      </c>
      <c r="C67" s="10">
        <v>5</v>
      </c>
      <c r="D67" t="s">
        <v>1191</v>
      </c>
      <c r="H67" s="10"/>
      <c r="L67" s="4"/>
      <c r="M67" s="10"/>
    </row>
    <row r="68" spans="1:14" x14ac:dyDescent="0.25">
      <c r="A68" s="12">
        <v>2</v>
      </c>
      <c r="B68" s="12" t="s">
        <v>87</v>
      </c>
      <c r="C68" s="10">
        <v>10</v>
      </c>
      <c r="D68" t="s">
        <v>1192</v>
      </c>
      <c r="H68" s="10"/>
      <c r="L68" s="4"/>
      <c r="M68" s="10"/>
    </row>
    <row r="69" spans="1:14" x14ac:dyDescent="0.25">
      <c r="A69" s="12">
        <v>3</v>
      </c>
      <c r="B69" s="12" t="s">
        <v>1576</v>
      </c>
      <c r="C69" s="10">
        <v>2</v>
      </c>
      <c r="D69" t="s">
        <v>1577</v>
      </c>
      <c r="H69" s="10"/>
      <c r="L69" s="4"/>
      <c r="M69" s="10"/>
    </row>
    <row r="70" spans="1:14" x14ac:dyDescent="0.25">
      <c r="A70" s="12">
        <v>4</v>
      </c>
      <c r="B70" s="12" t="s">
        <v>88</v>
      </c>
      <c r="C70" s="10">
        <v>100</v>
      </c>
      <c r="D70" t="s">
        <v>1193</v>
      </c>
      <c r="H70" s="10"/>
      <c r="L70" s="4"/>
      <c r="M70" s="10"/>
    </row>
    <row r="71" spans="1:14" x14ac:dyDescent="0.25">
      <c r="A71" s="12">
        <v>5</v>
      </c>
      <c r="B71" s="12" t="s">
        <v>89</v>
      </c>
      <c r="C71" s="10">
        <v>60</v>
      </c>
      <c r="D71" t="s">
        <v>1194</v>
      </c>
      <c r="H71" s="10"/>
      <c r="L71" s="4"/>
      <c r="M71" s="10"/>
    </row>
    <row r="72" spans="1:14" x14ac:dyDescent="0.25">
      <c r="A72" s="12">
        <v>6</v>
      </c>
      <c r="B72" s="12" t="s">
        <v>90</v>
      </c>
      <c r="C72" s="10">
        <v>0.8</v>
      </c>
      <c r="D72" t="s">
        <v>1195</v>
      </c>
      <c r="H72" s="10"/>
      <c r="L72" s="4"/>
      <c r="M72" s="10"/>
    </row>
    <row r="73" spans="1:14" x14ac:dyDescent="0.25">
      <c r="A73" s="12">
        <v>7</v>
      </c>
      <c r="B73" s="12" t="s">
        <v>91</v>
      </c>
      <c r="C73" s="10">
        <v>1</v>
      </c>
      <c r="D73" t="s">
        <v>1196</v>
      </c>
      <c r="H73" s="10"/>
      <c r="L73" s="4"/>
      <c r="M73" s="10"/>
    </row>
    <row r="74" spans="1:14" x14ac:dyDescent="0.25">
      <c r="A74" s="12">
        <v>8</v>
      </c>
      <c r="B74" s="12" t="s">
        <v>92</v>
      </c>
      <c r="C74" s="10">
        <v>2</v>
      </c>
      <c r="D74" t="s">
        <v>1197</v>
      </c>
      <c r="H74" s="10"/>
      <c r="L74" s="4"/>
      <c r="M74" s="10"/>
    </row>
    <row r="75" spans="1:14" x14ac:dyDescent="0.25">
      <c r="A75" s="12">
        <v>9</v>
      </c>
      <c r="B75" s="12" t="s">
        <v>93</v>
      </c>
      <c r="C75" s="10">
        <v>1</v>
      </c>
      <c r="D75" t="s">
        <v>1198</v>
      </c>
      <c r="H75" s="10"/>
      <c r="L75" s="4"/>
      <c r="M75" s="10"/>
    </row>
    <row r="76" spans="1:14" x14ac:dyDescent="0.25">
      <c r="A76" s="12">
        <v>10</v>
      </c>
      <c r="B76" s="12" t="s">
        <v>94</v>
      </c>
      <c r="C76" s="10">
        <v>0</v>
      </c>
      <c r="D76" t="s">
        <v>1199</v>
      </c>
      <c r="H76" s="10"/>
      <c r="L76" s="4"/>
      <c r="M76" s="10"/>
    </row>
    <row r="77" spans="1:14" x14ac:dyDescent="0.25">
      <c r="A77" s="12"/>
      <c r="B77" s="12"/>
      <c r="D77" t="s">
        <v>1168</v>
      </c>
      <c r="H77" s="10"/>
      <c r="M77" s="10"/>
    </row>
    <row r="78" spans="1:14" s="87" customFormat="1" x14ac:dyDescent="0.25">
      <c r="A78" s="135" t="s">
        <v>1598</v>
      </c>
      <c r="B78" s="135"/>
      <c r="C78" s="88"/>
      <c r="D78" s="87" t="s">
        <v>1168</v>
      </c>
      <c r="H78" s="88"/>
      <c r="I78"/>
      <c r="K78" s="89"/>
      <c r="M78" s="88"/>
      <c r="N78" s="88"/>
    </row>
    <row r="79" spans="1:14" x14ac:dyDescent="0.25">
      <c r="A79" s="12">
        <v>1</v>
      </c>
      <c r="B79" s="12" t="s">
        <v>95</v>
      </c>
      <c r="C79" s="10">
        <v>0.3</v>
      </c>
      <c r="D79" t="s">
        <v>1200</v>
      </c>
      <c r="H79" s="10"/>
      <c r="L79" s="4"/>
      <c r="M79" s="10"/>
    </row>
    <row r="80" spans="1:14" x14ac:dyDescent="0.25">
      <c r="A80" s="12">
        <v>2</v>
      </c>
      <c r="B80" s="12" t="s">
        <v>96</v>
      </c>
      <c r="C80" s="10">
        <v>500</v>
      </c>
      <c r="D80" t="s">
        <v>1201</v>
      </c>
      <c r="H80" s="10"/>
      <c r="L80" s="4"/>
      <c r="M80" s="10"/>
    </row>
    <row r="81" spans="1:14" x14ac:dyDescent="0.25">
      <c r="A81" s="12">
        <v>3</v>
      </c>
      <c r="B81" s="12" t="s">
        <v>97</v>
      </c>
      <c r="C81" s="10">
        <v>1</v>
      </c>
      <c r="D81" t="s">
        <v>1202</v>
      </c>
      <c r="H81" s="10"/>
      <c r="L81" s="4"/>
      <c r="M81" s="10"/>
    </row>
    <row r="82" spans="1:14" x14ac:dyDescent="0.25">
      <c r="A82" s="12">
        <v>4</v>
      </c>
      <c r="B82" s="12" t="s">
        <v>98</v>
      </c>
      <c r="C82" s="10">
        <v>0</v>
      </c>
      <c r="D82" t="s">
        <v>1395</v>
      </c>
      <c r="H82" s="10"/>
      <c r="L82" s="4"/>
      <c r="M82" s="10"/>
    </row>
    <row r="83" spans="1:14" x14ac:dyDescent="0.25">
      <c r="A83" s="12">
        <v>5</v>
      </c>
      <c r="B83" s="12" t="s">
        <v>99</v>
      </c>
      <c r="C83" s="10">
        <v>0</v>
      </c>
      <c r="D83" t="s">
        <v>1203</v>
      </c>
      <c r="H83" s="10"/>
      <c r="L83" s="4"/>
      <c r="M83" s="10"/>
    </row>
    <row r="84" spans="1:14" x14ac:dyDescent="0.25">
      <c r="A84" s="12">
        <v>6</v>
      </c>
      <c r="B84" s="12" t="s">
        <v>100</v>
      </c>
      <c r="C84" s="10">
        <v>0</v>
      </c>
      <c r="D84" t="s">
        <v>1204</v>
      </c>
      <c r="H84" s="10"/>
      <c r="L84" s="4"/>
      <c r="M84" s="10"/>
    </row>
    <row r="85" spans="1:14" x14ac:dyDescent="0.25">
      <c r="A85" s="12">
        <v>7</v>
      </c>
      <c r="B85" s="12" t="s">
        <v>101</v>
      </c>
      <c r="C85" s="10">
        <v>0</v>
      </c>
      <c r="D85" t="s">
        <v>1205</v>
      </c>
      <c r="H85" s="10"/>
      <c r="L85" s="4"/>
      <c r="M85" s="10"/>
    </row>
    <row r="86" spans="1:14" x14ac:dyDescent="0.25">
      <c r="A86" s="12">
        <v>8</v>
      </c>
      <c r="B86" s="12" t="s">
        <v>102</v>
      </c>
      <c r="C86" s="10">
        <v>1</v>
      </c>
      <c r="D86" t="s">
        <v>1206</v>
      </c>
      <c r="H86" s="10"/>
      <c r="L86" s="4"/>
      <c r="M86" s="10"/>
    </row>
    <row r="87" spans="1:14" x14ac:dyDescent="0.25">
      <c r="A87" s="12">
        <v>9</v>
      </c>
      <c r="B87" s="12" t="s">
        <v>103</v>
      </c>
      <c r="C87" s="10">
        <v>5</v>
      </c>
      <c r="D87" t="s">
        <v>1207</v>
      </c>
      <c r="H87" s="10"/>
      <c r="L87" s="4"/>
      <c r="M87" s="10"/>
    </row>
    <row r="88" spans="1:14" x14ac:dyDescent="0.25">
      <c r="A88" s="12">
        <v>10</v>
      </c>
      <c r="B88" s="12" t="s">
        <v>104</v>
      </c>
      <c r="C88" s="10">
        <v>5</v>
      </c>
      <c r="D88" t="s">
        <v>1208</v>
      </c>
      <c r="H88" s="10"/>
      <c r="L88" s="4"/>
      <c r="M88" s="10"/>
    </row>
    <row r="89" spans="1:14" x14ac:dyDescent="0.25">
      <c r="A89" s="12"/>
      <c r="B89" s="12"/>
      <c r="D89" t="s">
        <v>1168</v>
      </c>
      <c r="H89" s="10"/>
      <c r="M89" s="10"/>
    </row>
    <row r="90" spans="1:14" s="87" customFormat="1" x14ac:dyDescent="0.25">
      <c r="A90" s="135" t="s">
        <v>1599</v>
      </c>
      <c r="B90" s="135"/>
      <c r="C90" s="88"/>
      <c r="D90" s="87" t="s">
        <v>1168</v>
      </c>
      <c r="H90" s="88"/>
      <c r="I90"/>
      <c r="K90" s="89"/>
      <c r="M90" s="88"/>
      <c r="N90" s="88"/>
    </row>
    <row r="91" spans="1:14" x14ac:dyDescent="0.25">
      <c r="A91" s="12">
        <v>1</v>
      </c>
      <c r="B91" s="12" t="s">
        <v>105</v>
      </c>
      <c r="C91" s="10">
        <v>3</v>
      </c>
      <c r="D91" t="s">
        <v>1209</v>
      </c>
      <c r="H91" s="10"/>
      <c r="L91" s="4"/>
      <c r="M91" s="10"/>
    </row>
    <row r="92" spans="1:14" x14ac:dyDescent="0.25">
      <c r="A92" s="12">
        <v>2</v>
      </c>
      <c r="B92" s="12" t="s">
        <v>106</v>
      </c>
      <c r="C92" s="10">
        <v>0</v>
      </c>
      <c r="D92" t="s">
        <v>1210</v>
      </c>
      <c r="H92" s="10"/>
      <c r="L92" s="4"/>
      <c r="M92" s="10"/>
    </row>
    <row r="93" spans="1:14" x14ac:dyDescent="0.25">
      <c r="A93" s="12">
        <v>3</v>
      </c>
      <c r="B93" s="12" t="s">
        <v>107</v>
      </c>
      <c r="C93" s="10">
        <v>0.7</v>
      </c>
      <c r="D93" t="s">
        <v>1211</v>
      </c>
      <c r="H93" s="10"/>
      <c r="L93" s="4"/>
      <c r="M93" s="10"/>
    </row>
    <row r="94" spans="1:14" x14ac:dyDescent="0.25">
      <c r="A94" s="12">
        <v>4</v>
      </c>
      <c r="B94" s="12" t="s">
        <v>108</v>
      </c>
      <c r="C94" s="10">
        <v>1</v>
      </c>
      <c r="D94" t="s">
        <v>1396</v>
      </c>
      <c r="H94" s="10"/>
      <c r="L94" s="4"/>
      <c r="M94" s="10"/>
    </row>
    <row r="95" spans="1:14" x14ac:dyDescent="0.25">
      <c r="A95" s="12">
        <v>5</v>
      </c>
      <c r="B95" s="12" t="s">
        <v>1078</v>
      </c>
      <c r="C95" s="10">
        <v>0</v>
      </c>
      <c r="D95" t="s">
        <v>1381</v>
      </c>
      <c r="H95" s="10"/>
      <c r="L95" s="4"/>
      <c r="M95" s="10"/>
    </row>
    <row r="96" spans="1:14" x14ac:dyDescent="0.25">
      <c r="A96" s="12">
        <v>6</v>
      </c>
      <c r="B96" s="12" t="s">
        <v>1079</v>
      </c>
      <c r="C96" s="10">
        <v>0</v>
      </c>
      <c r="D96" t="s">
        <v>1212</v>
      </c>
      <c r="H96" s="10"/>
      <c r="L96" s="4"/>
      <c r="M96" s="10"/>
    </row>
    <row r="97" spans="1:13" x14ac:dyDescent="0.25">
      <c r="A97" s="12">
        <v>7</v>
      </c>
      <c r="B97" s="12" t="s">
        <v>1382</v>
      </c>
      <c r="C97" s="10">
        <v>0</v>
      </c>
      <c r="D97" t="s">
        <v>1385</v>
      </c>
      <c r="H97" s="10"/>
      <c r="L97" s="4"/>
      <c r="M97" s="10"/>
    </row>
    <row r="98" spans="1:13" x14ac:dyDescent="0.25">
      <c r="A98" s="12">
        <v>8</v>
      </c>
      <c r="B98" s="12" t="s">
        <v>1383</v>
      </c>
      <c r="C98" s="10">
        <v>0</v>
      </c>
      <c r="D98" t="s">
        <v>1384</v>
      </c>
      <c r="H98" s="10"/>
      <c r="L98" s="4"/>
      <c r="M98" s="10"/>
    </row>
    <row r="99" spans="1:13" x14ac:dyDescent="0.25">
      <c r="A99" s="12"/>
      <c r="B99" s="12"/>
      <c r="C99" s="10">
        <v>1</v>
      </c>
      <c r="E99"/>
    </row>
    <row r="100" spans="1:13" x14ac:dyDescent="0.25">
      <c r="A100" s="12"/>
      <c r="B100" s="12"/>
      <c r="C100" s="10">
        <v>0.3</v>
      </c>
      <c r="E100"/>
    </row>
    <row r="101" spans="1:13" x14ac:dyDescent="0.25">
      <c r="A101" s="12"/>
      <c r="B101" s="12"/>
      <c r="E101"/>
    </row>
    <row r="102" spans="1:13" x14ac:dyDescent="0.25">
      <c r="A102" s="12"/>
      <c r="B102" s="12"/>
      <c r="E102"/>
    </row>
    <row r="103" spans="1:13" x14ac:dyDescent="0.25">
      <c r="A103" s="12"/>
      <c r="B103" s="12"/>
      <c r="E103"/>
    </row>
    <row r="104" spans="1:13" x14ac:dyDescent="0.25">
      <c r="A104" s="12"/>
      <c r="B104" s="12"/>
      <c r="E104"/>
    </row>
    <row r="105" spans="1:13" x14ac:dyDescent="0.25">
      <c r="A105" s="12"/>
      <c r="B105" s="12"/>
      <c r="E105"/>
    </row>
    <row r="106" spans="1:13" x14ac:dyDescent="0.25">
      <c r="A106" s="12"/>
      <c r="B106" s="12"/>
      <c r="E106"/>
    </row>
    <row r="107" spans="1:13" x14ac:dyDescent="0.25">
      <c r="A107" s="12"/>
      <c r="B107" s="12"/>
      <c r="E107"/>
    </row>
    <row r="108" spans="1:13" x14ac:dyDescent="0.25">
      <c r="A108" s="12"/>
      <c r="B108" s="12"/>
      <c r="E108"/>
    </row>
    <row r="109" spans="1:13" x14ac:dyDescent="0.25">
      <c r="A109" s="12"/>
      <c r="B109" s="12"/>
      <c r="E109"/>
    </row>
    <row r="110" spans="1:13" x14ac:dyDescent="0.25">
      <c r="A110" s="12"/>
      <c r="B110" s="12"/>
      <c r="E110"/>
    </row>
    <row r="111" spans="1:13" x14ac:dyDescent="0.25">
      <c r="A111" s="12"/>
      <c r="B111" s="12"/>
      <c r="E111"/>
    </row>
    <row r="112" spans="1:13" x14ac:dyDescent="0.25">
      <c r="A112" s="12"/>
      <c r="B112" s="12"/>
      <c r="E112"/>
    </row>
    <row r="113" spans="1:5" x14ac:dyDescent="0.25">
      <c r="A113" s="12"/>
      <c r="B113" s="12"/>
      <c r="E113"/>
    </row>
    <row r="114" spans="1:5" x14ac:dyDescent="0.25">
      <c r="A114" s="12"/>
      <c r="B114" s="12"/>
      <c r="E114"/>
    </row>
    <row r="115" spans="1:5" x14ac:dyDescent="0.25">
      <c r="A115" s="12"/>
      <c r="B115" s="12"/>
      <c r="E115"/>
    </row>
    <row r="116" spans="1:5" x14ac:dyDescent="0.25">
      <c r="A116" s="12"/>
      <c r="B116" s="12"/>
      <c r="E116"/>
    </row>
    <row r="117" spans="1:5" x14ac:dyDescent="0.25">
      <c r="A117" s="12"/>
      <c r="B117" s="12"/>
      <c r="E117"/>
    </row>
    <row r="118" spans="1:5" x14ac:dyDescent="0.25">
      <c r="A118" s="12"/>
      <c r="B118" s="12"/>
      <c r="E118"/>
    </row>
    <row r="119" spans="1:5" x14ac:dyDescent="0.25">
      <c r="A119" s="12"/>
      <c r="B119" s="12"/>
      <c r="E119"/>
    </row>
    <row r="120" spans="1:5" x14ac:dyDescent="0.25">
      <c r="A120" s="12"/>
      <c r="B120" s="12"/>
      <c r="E120"/>
    </row>
    <row r="121" spans="1:5" x14ac:dyDescent="0.25">
      <c r="A121" s="12"/>
      <c r="B121" s="12"/>
      <c r="E121"/>
    </row>
    <row r="122" spans="1:5" x14ac:dyDescent="0.25">
      <c r="A122" s="12"/>
      <c r="B122" s="12"/>
      <c r="E122"/>
    </row>
    <row r="123" spans="1:5" x14ac:dyDescent="0.25">
      <c r="A123" s="12"/>
      <c r="B123" s="12"/>
      <c r="E123"/>
    </row>
    <row r="124" spans="1:5" x14ac:dyDescent="0.25">
      <c r="A124" s="12"/>
      <c r="B124" s="12"/>
      <c r="E124"/>
    </row>
    <row r="125" spans="1:5" x14ac:dyDescent="0.25">
      <c r="A125" s="12"/>
      <c r="B125" s="12"/>
      <c r="E125"/>
    </row>
    <row r="126" spans="1:5" x14ac:dyDescent="0.25">
      <c r="A126" s="12"/>
      <c r="B126" s="12"/>
      <c r="E126"/>
    </row>
    <row r="127" spans="1:5" x14ac:dyDescent="0.25">
      <c r="A127" s="12"/>
      <c r="B127" s="12"/>
      <c r="E127"/>
    </row>
    <row r="128" spans="1:5" x14ac:dyDescent="0.25">
      <c r="A128" s="12"/>
      <c r="B128" s="12"/>
      <c r="E128"/>
    </row>
    <row r="129" spans="1:5" x14ac:dyDescent="0.25">
      <c r="A129" s="12"/>
      <c r="B129" s="12"/>
      <c r="E129"/>
    </row>
    <row r="130" spans="1:5" x14ac:dyDescent="0.25">
      <c r="A130" s="12"/>
      <c r="B130" s="12"/>
      <c r="E130"/>
    </row>
    <row r="131" spans="1:5" x14ac:dyDescent="0.25">
      <c r="A131" s="12"/>
      <c r="B131" s="12"/>
      <c r="E131"/>
    </row>
    <row r="132" spans="1:5" x14ac:dyDescent="0.25">
      <c r="A132" s="12"/>
      <c r="B132" s="12"/>
      <c r="E132"/>
    </row>
    <row r="133" spans="1:5" x14ac:dyDescent="0.25">
      <c r="A133" s="12"/>
      <c r="B133" s="12"/>
      <c r="E133"/>
    </row>
    <row r="134" spans="1:5" x14ac:dyDescent="0.25">
      <c r="A134" s="12"/>
      <c r="B134" s="12"/>
      <c r="E134"/>
    </row>
    <row r="135" spans="1:5" x14ac:dyDescent="0.25">
      <c r="A135" s="12"/>
      <c r="B135" s="12"/>
      <c r="E135"/>
    </row>
    <row r="136" spans="1:5" x14ac:dyDescent="0.25">
      <c r="A136" s="12"/>
      <c r="B136" s="12"/>
      <c r="E136"/>
    </row>
    <row r="137" spans="1:5" x14ac:dyDescent="0.25">
      <c r="A137" s="12"/>
      <c r="B137" s="12"/>
      <c r="E137"/>
    </row>
    <row r="138" spans="1:5" x14ac:dyDescent="0.25">
      <c r="A138" s="12"/>
      <c r="B138" s="12"/>
      <c r="E138"/>
    </row>
    <row r="139" spans="1:5" x14ac:dyDescent="0.25">
      <c r="A139" s="12"/>
      <c r="B139" s="12"/>
      <c r="E139"/>
    </row>
    <row r="140" spans="1:5" x14ac:dyDescent="0.25">
      <c r="A140" s="12"/>
      <c r="B140" s="12"/>
      <c r="E140"/>
    </row>
    <row r="141" spans="1:5" x14ac:dyDescent="0.25">
      <c r="A141" s="12"/>
      <c r="B141" s="12"/>
      <c r="E141"/>
    </row>
    <row r="142" spans="1:5" x14ac:dyDescent="0.25">
      <c r="A142" s="12"/>
      <c r="B142" s="12"/>
      <c r="E142"/>
    </row>
    <row r="143" spans="1:5" x14ac:dyDescent="0.25">
      <c r="A143" s="12"/>
      <c r="B143" s="12"/>
      <c r="E143"/>
    </row>
    <row r="144" spans="1:5" x14ac:dyDescent="0.25">
      <c r="A144" s="9"/>
      <c r="B144" s="9"/>
      <c r="E144"/>
    </row>
    <row r="145" spans="1:5" x14ac:dyDescent="0.25">
      <c r="A145" s="9"/>
      <c r="B145" s="9"/>
      <c r="E145"/>
    </row>
    <row r="146" spans="1:5" x14ac:dyDescent="0.25">
      <c r="A146" s="9"/>
      <c r="B146" s="9"/>
      <c r="E146"/>
    </row>
    <row r="147" spans="1:5" x14ac:dyDescent="0.25">
      <c r="A147" s="9"/>
      <c r="B147" s="9"/>
      <c r="E147"/>
    </row>
    <row r="148" spans="1:5" x14ac:dyDescent="0.25">
      <c r="A148" s="9"/>
      <c r="B148" s="9"/>
      <c r="E148"/>
    </row>
    <row r="149" spans="1:5" x14ac:dyDescent="0.25">
      <c r="A149" s="9"/>
      <c r="B149" s="9"/>
      <c r="E149"/>
    </row>
    <row r="150" spans="1:5" x14ac:dyDescent="0.25">
      <c r="A150" s="9"/>
      <c r="B150" s="9"/>
      <c r="E150"/>
    </row>
    <row r="151" spans="1:5" x14ac:dyDescent="0.25">
      <c r="A151" s="9"/>
      <c r="B151" s="9"/>
      <c r="E151"/>
    </row>
    <row r="152" spans="1:5" x14ac:dyDescent="0.25">
      <c r="A152" s="9"/>
      <c r="B152" s="9"/>
      <c r="E152"/>
    </row>
    <row r="153" spans="1:5" x14ac:dyDescent="0.25">
      <c r="A153" s="9"/>
      <c r="B153" s="9"/>
      <c r="E153"/>
    </row>
    <row r="154" spans="1:5" x14ac:dyDescent="0.25">
      <c r="A154" s="9"/>
      <c r="B154" s="9"/>
      <c r="E154"/>
    </row>
    <row r="155" spans="1:5" x14ac:dyDescent="0.25">
      <c r="A155" s="9"/>
      <c r="B155" s="9"/>
      <c r="E155"/>
    </row>
    <row r="156" spans="1:5" x14ac:dyDescent="0.25">
      <c r="A156" s="9"/>
      <c r="B156" s="9"/>
      <c r="E156"/>
    </row>
    <row r="157" spans="1:5" x14ac:dyDescent="0.25">
      <c r="A157" s="9"/>
      <c r="B157" s="9"/>
      <c r="E157"/>
    </row>
    <row r="158" spans="1:5" x14ac:dyDescent="0.25">
      <c r="A158" s="9"/>
      <c r="B158" s="9"/>
      <c r="E158"/>
    </row>
    <row r="159" spans="1:5" x14ac:dyDescent="0.25">
      <c r="A159" s="9"/>
      <c r="B159" s="9"/>
      <c r="E159"/>
    </row>
    <row r="160" spans="1:5" x14ac:dyDescent="0.25">
      <c r="A160" s="9"/>
      <c r="B160" s="9"/>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sheetData>
  <sortState xmlns:xlrd2="http://schemas.microsoft.com/office/spreadsheetml/2017/richdata2" ref="A93:D126">
    <sortCondition ref="A93:A126"/>
  </sortState>
  <pageMargins left="0.7" right="0.7" top="0.75" bottom="0.75" header="0.3" footer="0.3"/>
  <pageSetup orientation="portrait" r:id="rId1"/>
  <drawing r:id="rId2"/>
  <legacyDrawing r:id="rId3"/>
  <controls>
    <mc:AlternateContent xmlns:mc="http://schemas.openxmlformats.org/markup-compatibility/2006">
      <mc:Choice Requires="x14">
        <control shapeId="1036" r:id="rId4" name="cmdGetCont">
          <controlPr defaultSize="0" autoLine="0" r:id="rId5">
            <anchor moveWithCells="1">
              <from>
                <xdr:col>4</xdr:col>
                <xdr:colOff>457200</xdr:colOff>
                <xdr:row>0</xdr:row>
                <xdr:rowOff>219075</xdr:rowOff>
              </from>
              <to>
                <xdr:col>6</xdr:col>
                <xdr:colOff>257175</xdr:colOff>
                <xdr:row>1</xdr:row>
                <xdr:rowOff>209550</xdr:rowOff>
              </to>
            </anchor>
          </controlPr>
        </control>
      </mc:Choice>
      <mc:Fallback>
        <control shapeId="1036" r:id="rId4" name="cmdGetCont"/>
      </mc:Fallback>
    </mc:AlternateContent>
    <mc:AlternateContent xmlns:mc="http://schemas.openxmlformats.org/markup-compatibility/2006">
      <mc:Choice Requires="x14">
        <control shapeId="1034" r:id="rId6" name="cmbBoxCont">
          <controlPr defaultSize="0" autoLine="0" linkedCell="B2" r:id="rId7">
            <anchor moveWithCells="1">
              <from>
                <xdr:col>1</xdr:col>
                <xdr:colOff>19050</xdr:colOff>
                <xdr:row>1</xdr:row>
                <xdr:rowOff>19050</xdr:rowOff>
              </from>
              <to>
                <xdr:col>3</xdr:col>
                <xdr:colOff>57150</xdr:colOff>
                <xdr:row>2</xdr:row>
                <xdr:rowOff>9525</xdr:rowOff>
              </to>
            </anchor>
          </controlPr>
        </control>
      </mc:Choice>
      <mc:Fallback>
        <control shapeId="1034" r:id="rId6" name="cmbBoxCont"/>
      </mc:Fallback>
    </mc:AlternateContent>
    <mc:AlternateContent xmlns:mc="http://schemas.openxmlformats.org/markup-compatibility/2006">
      <mc:Choice Requires="x14">
        <control shapeId="1025" r:id="rId8" name="cmdWrite">
          <controlPr defaultSize="0" autoLine="0" r:id="rId9">
            <anchor moveWithCells="1">
              <from>
                <xdr:col>8</xdr:col>
                <xdr:colOff>228600</xdr:colOff>
                <xdr:row>0</xdr:row>
                <xdr:rowOff>219075</xdr:rowOff>
              </from>
              <to>
                <xdr:col>10</xdr:col>
                <xdr:colOff>28575</xdr:colOff>
                <xdr:row>1</xdr:row>
                <xdr:rowOff>209550</xdr:rowOff>
              </to>
            </anchor>
          </controlPr>
        </control>
      </mc:Choice>
      <mc:Fallback>
        <control shapeId="1025" r:id="rId8" name="cmdWrite"/>
      </mc:Fallback>
    </mc:AlternateContent>
    <mc:AlternateContent xmlns:mc="http://schemas.openxmlformats.org/markup-compatibility/2006">
      <mc:Choice Requires="x14">
        <control shapeId="1028" r:id="rId10" name="cmdRead">
          <controlPr defaultSize="0" autoLine="0" r:id="rId11">
            <anchor moveWithCells="1">
              <from>
                <xdr:col>6</xdr:col>
                <xdr:colOff>371475</xdr:colOff>
                <xdr:row>0</xdr:row>
                <xdr:rowOff>219075</xdr:rowOff>
              </from>
              <to>
                <xdr:col>8</xdr:col>
                <xdr:colOff>171450</xdr:colOff>
                <xdr:row>1</xdr:row>
                <xdr:rowOff>209550</xdr:rowOff>
              </to>
            </anchor>
          </controlPr>
        </control>
      </mc:Choice>
      <mc:Fallback>
        <control shapeId="1028" r:id="rId10" name="cmdRead"/>
      </mc:Fallback>
    </mc:AlternateContent>
    <mc:AlternateContent xmlns:mc="http://schemas.openxmlformats.org/markup-compatibility/2006">
      <mc:Choice Requires="x14">
        <control shapeId="1032" r:id="rId12" name="cmdRun">
          <controlPr defaultSize="0" autoLine="0" r:id="rId13">
            <anchor moveWithCells="1">
              <from>
                <xdr:col>10</xdr:col>
                <xdr:colOff>123825</xdr:colOff>
                <xdr:row>0</xdr:row>
                <xdr:rowOff>219075</xdr:rowOff>
              </from>
              <to>
                <xdr:col>11</xdr:col>
                <xdr:colOff>552450</xdr:colOff>
                <xdr:row>1</xdr:row>
                <xdr:rowOff>209550</xdr:rowOff>
              </to>
            </anchor>
          </controlPr>
        </control>
      </mc:Choice>
      <mc:Fallback>
        <control shapeId="1032" r:id="rId12" name="cmdRu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FH172"/>
  <sheetViews>
    <sheetView workbookViewId="0">
      <pane ySplit="4" topLeftCell="A61" activePane="bottomLeft" state="frozen"/>
      <selection pane="bottomLeft" activeCell="F86" sqref="A62:F86"/>
    </sheetView>
  </sheetViews>
  <sheetFormatPr defaultColWidth="8.7109375" defaultRowHeight="15" x14ac:dyDescent="0.25"/>
  <cols>
    <col min="1" max="1" width="12.7109375" customWidth="1"/>
    <col min="2" max="2" width="75.5703125" customWidth="1"/>
    <col min="3" max="19" width="15" style="12" customWidth="1"/>
    <col min="20" max="16384" width="8.7109375" style="12"/>
  </cols>
  <sheetData>
    <row r="1" spans="1:164" customFormat="1" ht="25.35" customHeight="1" x14ac:dyDescent="0.25">
      <c r="A1" s="129" t="s">
        <v>1138</v>
      </c>
    </row>
    <row r="2" spans="1:164" customFormat="1" ht="19.899999999999999" customHeight="1" x14ac:dyDescent="0.25">
      <c r="A2" s="32" t="s">
        <v>1033</v>
      </c>
      <c r="B2" s="128" t="s">
        <v>3206</v>
      </c>
      <c r="C2" s="32"/>
      <c r="D2" s="32" t="s">
        <v>801</v>
      </c>
      <c r="E2" s="115" t="s">
        <v>1363</v>
      </c>
      <c r="H2" s="32"/>
      <c r="I2" s="10"/>
    </row>
    <row r="3" spans="1:164" customFormat="1" ht="15.6" customHeight="1" x14ac:dyDescent="0.25">
      <c r="A3" s="123" t="s">
        <v>984</v>
      </c>
      <c r="B3" s="114"/>
      <c r="C3" s="104" t="s">
        <v>1075</v>
      </c>
      <c r="E3" s="104"/>
    </row>
    <row r="4" spans="1:164" s="8" customFormat="1" x14ac:dyDescent="0.25">
      <c r="A4" s="101" t="s">
        <v>685</v>
      </c>
      <c r="B4" s="101" t="s">
        <v>15</v>
      </c>
      <c r="C4" s="102" t="s">
        <v>2262</v>
      </c>
      <c r="D4" s="102" t="s">
        <v>2262</v>
      </c>
      <c r="E4" s="102" t="s">
        <v>2262</v>
      </c>
      <c r="F4" s="105" t="s">
        <v>2262</v>
      </c>
      <c r="G4" s="105" t="s">
        <v>2262</v>
      </c>
      <c r="H4" s="105" t="s">
        <v>2262</v>
      </c>
      <c r="I4" s="105" t="s">
        <v>2262</v>
      </c>
      <c r="J4" s="105" t="s">
        <v>2262</v>
      </c>
      <c r="K4" s="105" t="s">
        <v>2262</v>
      </c>
      <c r="L4" s="105" t="s">
        <v>2262</v>
      </c>
      <c r="M4" s="105" t="s">
        <v>2262</v>
      </c>
      <c r="N4" s="105" t="s">
        <v>2262</v>
      </c>
      <c r="O4" s="105" t="s">
        <v>2262</v>
      </c>
      <c r="P4" s="105" t="s">
        <v>2262</v>
      </c>
      <c r="Q4" s="105" t="s">
        <v>2262</v>
      </c>
      <c r="R4" s="105" t="s">
        <v>2262</v>
      </c>
      <c r="S4" s="105" t="s">
        <v>2262</v>
      </c>
      <c r="T4" s="105" t="s">
        <v>2262</v>
      </c>
      <c r="U4" s="105" t="s">
        <v>2262</v>
      </c>
      <c r="V4" s="105" t="s">
        <v>2262</v>
      </c>
      <c r="W4" s="105" t="s">
        <v>2262</v>
      </c>
      <c r="X4" s="105" t="s">
        <v>2262</v>
      </c>
      <c r="Y4" s="105" t="s">
        <v>2262</v>
      </c>
      <c r="Z4" s="105" t="s">
        <v>2262</v>
      </c>
      <c r="AA4" s="105" t="s">
        <v>2262</v>
      </c>
      <c r="AB4" s="105" t="s">
        <v>2262</v>
      </c>
      <c r="AC4" s="105" t="s">
        <v>2262</v>
      </c>
      <c r="AD4" s="105" t="s">
        <v>2262</v>
      </c>
      <c r="AE4" s="105" t="s">
        <v>2262</v>
      </c>
      <c r="AF4" s="105" t="s">
        <v>2262</v>
      </c>
      <c r="AG4" s="105" t="s">
        <v>2262</v>
      </c>
      <c r="AH4" s="105" t="s">
        <v>2262</v>
      </c>
      <c r="AI4" s="105" t="s">
        <v>2262</v>
      </c>
      <c r="AJ4" s="105" t="s">
        <v>2262</v>
      </c>
      <c r="AK4" s="105" t="s">
        <v>2262</v>
      </c>
      <c r="AL4" s="105" t="s">
        <v>2262</v>
      </c>
      <c r="AM4" s="105" t="s">
        <v>2262</v>
      </c>
      <c r="AN4" s="105" t="s">
        <v>2262</v>
      </c>
      <c r="AO4" s="105" t="s">
        <v>2262</v>
      </c>
      <c r="AP4" s="105" t="s">
        <v>2262</v>
      </c>
      <c r="AQ4" s="105" t="s">
        <v>2262</v>
      </c>
      <c r="AR4" s="105" t="s">
        <v>2262</v>
      </c>
      <c r="AS4" s="105" t="s">
        <v>2262</v>
      </c>
      <c r="AT4" s="105" t="s">
        <v>2262</v>
      </c>
      <c r="AU4" s="105" t="s">
        <v>2262</v>
      </c>
      <c r="AV4" s="105" t="s">
        <v>2262</v>
      </c>
      <c r="AW4" s="105" t="s">
        <v>2262</v>
      </c>
      <c r="AX4" s="105" t="s">
        <v>2262</v>
      </c>
      <c r="AY4" s="105" t="s">
        <v>2262</v>
      </c>
      <c r="AZ4" s="105" t="s">
        <v>2262</v>
      </c>
      <c r="BA4" s="105" t="s">
        <v>2262</v>
      </c>
      <c r="BB4" s="105" t="s">
        <v>2262</v>
      </c>
      <c r="BC4" s="105" t="s">
        <v>2262</v>
      </c>
      <c r="BD4" s="105" t="s">
        <v>2262</v>
      </c>
      <c r="BE4" s="105" t="s">
        <v>2262</v>
      </c>
      <c r="BF4" s="105" t="s">
        <v>2262</v>
      </c>
      <c r="BG4" s="105" t="s">
        <v>2262</v>
      </c>
      <c r="BH4" s="105" t="s">
        <v>2262</v>
      </c>
      <c r="BI4" s="105" t="s">
        <v>2262</v>
      </c>
      <c r="BJ4" s="105" t="s">
        <v>2262</v>
      </c>
      <c r="BK4" s="105" t="s">
        <v>2262</v>
      </c>
      <c r="BL4" s="105" t="s">
        <v>2262</v>
      </c>
      <c r="BM4" s="105" t="s">
        <v>2262</v>
      </c>
      <c r="BN4" s="105" t="s">
        <v>2262</v>
      </c>
      <c r="BO4" s="105" t="s">
        <v>2262</v>
      </c>
      <c r="BP4" s="105" t="s">
        <v>2262</v>
      </c>
      <c r="BQ4" s="105" t="s">
        <v>2262</v>
      </c>
      <c r="BR4" s="105" t="s">
        <v>2262</v>
      </c>
      <c r="BS4" s="105" t="s">
        <v>2262</v>
      </c>
      <c r="BT4" s="105" t="s">
        <v>2262</v>
      </c>
      <c r="BU4" s="105" t="s">
        <v>2262</v>
      </c>
      <c r="BV4" s="105" t="s">
        <v>2262</v>
      </c>
      <c r="BW4" s="105" t="s">
        <v>2262</v>
      </c>
      <c r="BX4" s="105" t="s">
        <v>2262</v>
      </c>
      <c r="BY4" s="105" t="s">
        <v>2262</v>
      </c>
      <c r="BZ4" s="105"/>
      <c r="CA4" s="105"/>
      <c r="CB4" s="105"/>
      <c r="CC4" s="105"/>
      <c r="CD4" s="105"/>
      <c r="CE4" s="105"/>
      <c r="CF4" s="105"/>
      <c r="CG4" s="105"/>
      <c r="CH4" s="105"/>
      <c r="CI4" s="105"/>
      <c r="CJ4" s="105"/>
      <c r="CK4" s="105"/>
      <c r="CL4" s="105"/>
      <c r="CM4" s="105"/>
      <c r="CN4" s="105"/>
      <c r="CO4" s="105"/>
      <c r="CP4" s="105"/>
      <c r="CQ4" s="105"/>
      <c r="CR4" s="105"/>
      <c r="CS4" s="105"/>
      <c r="CT4" s="105"/>
      <c r="CU4" s="105"/>
      <c r="CV4" s="105"/>
      <c r="CW4" s="105"/>
      <c r="CX4" s="105"/>
      <c r="CY4" s="105"/>
      <c r="CZ4" s="105"/>
      <c r="DA4" s="105"/>
      <c r="DB4" s="105"/>
      <c r="DC4" s="105"/>
      <c r="DD4" s="105"/>
      <c r="DE4" s="105"/>
      <c r="DF4" s="105"/>
      <c r="DG4" s="105"/>
      <c r="DH4" s="105"/>
      <c r="DI4" s="105"/>
      <c r="DJ4" s="105"/>
      <c r="DK4" s="105"/>
      <c r="DL4" s="105"/>
      <c r="DM4" s="105"/>
      <c r="DN4" s="105"/>
      <c r="DO4" s="105"/>
      <c r="DP4" s="105"/>
      <c r="DQ4" s="105"/>
      <c r="DR4" s="105"/>
      <c r="DS4" s="105"/>
      <c r="DT4" s="105"/>
      <c r="DU4" s="105"/>
      <c r="DV4" s="105"/>
      <c r="DW4" s="105"/>
      <c r="DX4" s="105"/>
      <c r="DY4" s="105"/>
      <c r="DZ4" s="105"/>
      <c r="EA4" s="105"/>
      <c r="EB4" s="105"/>
      <c r="EC4" s="105"/>
      <c r="ED4" s="105"/>
      <c r="EE4" s="105"/>
      <c r="EF4" s="105"/>
      <c r="EG4" s="105"/>
      <c r="EH4" s="105"/>
      <c r="EI4" s="105"/>
      <c r="EJ4" s="105"/>
      <c r="EK4" s="105"/>
      <c r="EL4" s="105"/>
      <c r="EM4" s="105"/>
      <c r="EN4" s="105"/>
      <c r="EO4" s="105"/>
      <c r="EP4" s="105"/>
      <c r="EQ4" s="105"/>
      <c r="ER4" s="105"/>
      <c r="ES4" s="105"/>
      <c r="ET4" s="105"/>
      <c r="EU4" s="105"/>
      <c r="EV4" s="105"/>
      <c r="EW4" s="105"/>
      <c r="EX4" s="105"/>
      <c r="EY4" s="105"/>
      <c r="EZ4" s="105"/>
      <c r="FA4" s="105"/>
      <c r="FB4" s="105"/>
      <c r="FC4" s="105"/>
      <c r="FD4" s="105"/>
      <c r="FE4" s="105"/>
      <c r="FF4" s="105"/>
      <c r="FG4" s="105"/>
      <c r="FH4" s="105"/>
    </row>
    <row r="5" spans="1:164" customFormat="1" x14ac:dyDescent="0.25">
      <c r="A5" s="152" t="s">
        <v>1236</v>
      </c>
      <c r="B5" s="12" t="s">
        <v>717</v>
      </c>
      <c r="C5">
        <v>69</v>
      </c>
      <c r="D5">
        <v>65</v>
      </c>
      <c r="E5">
        <v>59</v>
      </c>
      <c r="F5">
        <v>54</v>
      </c>
      <c r="G5">
        <v>45</v>
      </c>
      <c r="H5">
        <v>44</v>
      </c>
      <c r="I5">
        <v>52</v>
      </c>
      <c r="J5">
        <v>53</v>
      </c>
      <c r="K5">
        <v>49</v>
      </c>
      <c r="L5">
        <v>56</v>
      </c>
      <c r="M5">
        <v>40</v>
      </c>
      <c r="N5">
        <v>37</v>
      </c>
      <c r="O5">
        <v>43</v>
      </c>
      <c r="P5">
        <v>34</v>
      </c>
      <c r="Q5">
        <v>27</v>
      </c>
      <c r="R5">
        <v>20</v>
      </c>
      <c r="S5">
        <v>14</v>
      </c>
      <c r="T5">
        <v>6</v>
      </c>
      <c r="U5">
        <v>1</v>
      </c>
      <c r="V5">
        <v>9</v>
      </c>
      <c r="W5">
        <v>3</v>
      </c>
      <c r="X5">
        <v>4</v>
      </c>
      <c r="Y5">
        <v>8</v>
      </c>
      <c r="Z5">
        <v>11</v>
      </c>
      <c r="AA5">
        <v>5</v>
      </c>
      <c r="AB5">
        <v>2</v>
      </c>
      <c r="AC5">
        <v>7</v>
      </c>
      <c r="AD5">
        <v>10</v>
      </c>
      <c r="AE5">
        <v>12</v>
      </c>
      <c r="AF5">
        <v>13</v>
      </c>
      <c r="AG5">
        <v>19</v>
      </c>
      <c r="AH5">
        <v>23</v>
      </c>
      <c r="AI5">
        <v>18</v>
      </c>
      <c r="AJ5">
        <v>17</v>
      </c>
      <c r="AK5">
        <v>21</v>
      </c>
      <c r="AL5">
        <v>22</v>
      </c>
      <c r="AM5">
        <v>25</v>
      </c>
      <c r="AN5">
        <v>31</v>
      </c>
      <c r="AO5">
        <v>30</v>
      </c>
      <c r="AP5">
        <v>33</v>
      </c>
      <c r="AQ5">
        <v>36</v>
      </c>
      <c r="AR5">
        <v>26</v>
      </c>
      <c r="AS5">
        <v>16</v>
      </c>
      <c r="AT5">
        <v>15</v>
      </c>
      <c r="AU5">
        <v>24</v>
      </c>
      <c r="AV5">
        <v>29</v>
      </c>
      <c r="AW5">
        <v>28</v>
      </c>
      <c r="AX5">
        <v>32</v>
      </c>
      <c r="AY5">
        <v>35</v>
      </c>
      <c r="AZ5">
        <v>39</v>
      </c>
      <c r="BA5">
        <v>38</v>
      </c>
      <c r="BB5">
        <v>41</v>
      </c>
      <c r="BC5">
        <v>42</v>
      </c>
      <c r="BD5">
        <v>46</v>
      </c>
      <c r="BE5">
        <v>48</v>
      </c>
      <c r="BF5">
        <v>47</v>
      </c>
      <c r="BG5">
        <v>51</v>
      </c>
      <c r="BH5">
        <v>50</v>
      </c>
      <c r="BI5">
        <v>55</v>
      </c>
      <c r="BJ5">
        <v>57</v>
      </c>
      <c r="BK5">
        <v>58</v>
      </c>
      <c r="BL5">
        <v>64</v>
      </c>
      <c r="BM5">
        <v>63</v>
      </c>
      <c r="BN5">
        <v>61</v>
      </c>
      <c r="BO5">
        <v>60</v>
      </c>
      <c r="BP5">
        <v>62</v>
      </c>
      <c r="BQ5">
        <v>67</v>
      </c>
      <c r="BR5">
        <v>66</v>
      </c>
      <c r="BS5">
        <v>68</v>
      </c>
      <c r="BT5">
        <v>71</v>
      </c>
      <c r="BU5">
        <v>70</v>
      </c>
      <c r="BV5">
        <v>72</v>
      </c>
      <c r="BW5">
        <v>74</v>
      </c>
      <c r="BX5">
        <v>73</v>
      </c>
      <c r="BY5">
        <v>75</v>
      </c>
    </row>
    <row r="6" spans="1:164" customFormat="1" x14ac:dyDescent="0.25">
      <c r="A6" s="152" t="s">
        <v>1237</v>
      </c>
      <c r="B6" s="12" t="s">
        <v>718</v>
      </c>
      <c r="C6">
        <v>1</v>
      </c>
      <c r="D6">
        <v>2</v>
      </c>
      <c r="E6">
        <v>3</v>
      </c>
      <c r="F6">
        <v>4</v>
      </c>
      <c r="G6">
        <v>5</v>
      </c>
      <c r="H6">
        <v>6</v>
      </c>
      <c r="I6">
        <v>7</v>
      </c>
      <c r="J6">
        <v>8</v>
      </c>
      <c r="K6">
        <v>9</v>
      </c>
      <c r="L6">
        <v>10</v>
      </c>
      <c r="M6">
        <v>11</v>
      </c>
      <c r="N6">
        <v>12</v>
      </c>
      <c r="O6">
        <v>13</v>
      </c>
      <c r="P6">
        <v>14</v>
      </c>
      <c r="Q6">
        <v>15</v>
      </c>
      <c r="R6">
        <v>16</v>
      </c>
      <c r="S6">
        <v>17</v>
      </c>
      <c r="T6">
        <v>18</v>
      </c>
      <c r="U6">
        <v>19</v>
      </c>
      <c r="V6">
        <v>20</v>
      </c>
      <c r="W6">
        <v>21</v>
      </c>
      <c r="X6">
        <v>22</v>
      </c>
      <c r="Y6">
        <v>23</v>
      </c>
      <c r="Z6">
        <v>24</v>
      </c>
      <c r="AA6">
        <v>25</v>
      </c>
      <c r="AB6">
        <v>26</v>
      </c>
      <c r="AC6">
        <v>27</v>
      </c>
      <c r="AD6">
        <v>28</v>
      </c>
      <c r="AE6">
        <v>29</v>
      </c>
      <c r="AF6">
        <v>30</v>
      </c>
      <c r="AG6">
        <v>31</v>
      </c>
      <c r="AH6">
        <v>32</v>
      </c>
      <c r="AI6">
        <v>33</v>
      </c>
      <c r="AJ6">
        <v>34</v>
      </c>
      <c r="AK6">
        <v>35</v>
      </c>
      <c r="AL6">
        <v>36</v>
      </c>
      <c r="AM6">
        <v>37</v>
      </c>
      <c r="AN6">
        <v>38</v>
      </c>
      <c r="AO6">
        <v>39</v>
      </c>
      <c r="AP6">
        <v>40</v>
      </c>
      <c r="AQ6">
        <v>41</v>
      </c>
      <c r="AR6">
        <v>42</v>
      </c>
      <c r="AS6">
        <v>43</v>
      </c>
      <c r="AT6">
        <v>44</v>
      </c>
      <c r="AU6">
        <v>45</v>
      </c>
      <c r="AV6">
        <v>46</v>
      </c>
      <c r="AW6">
        <v>47</v>
      </c>
      <c r="AX6">
        <v>48</v>
      </c>
      <c r="AY6">
        <v>49</v>
      </c>
      <c r="AZ6">
        <v>50</v>
      </c>
      <c r="BA6">
        <v>51</v>
      </c>
      <c r="BB6">
        <v>52</v>
      </c>
      <c r="BC6">
        <v>53</v>
      </c>
      <c r="BD6">
        <v>54</v>
      </c>
      <c r="BE6">
        <v>55</v>
      </c>
      <c r="BF6">
        <v>56</v>
      </c>
      <c r="BG6">
        <v>57</v>
      </c>
      <c r="BH6">
        <v>58</v>
      </c>
      <c r="BI6">
        <v>59</v>
      </c>
      <c r="BJ6">
        <v>60</v>
      </c>
      <c r="BK6">
        <v>61</v>
      </c>
      <c r="BL6">
        <v>62</v>
      </c>
      <c r="BM6">
        <v>63</v>
      </c>
      <c r="BN6">
        <v>64</v>
      </c>
      <c r="BO6">
        <v>65</v>
      </c>
      <c r="BP6">
        <v>66</v>
      </c>
      <c r="BQ6">
        <v>67</v>
      </c>
      <c r="BR6">
        <v>68</v>
      </c>
      <c r="BS6">
        <v>69</v>
      </c>
      <c r="BT6">
        <v>70</v>
      </c>
      <c r="BU6">
        <v>71</v>
      </c>
      <c r="BV6">
        <v>72</v>
      </c>
      <c r="BW6">
        <v>73</v>
      </c>
      <c r="BX6">
        <v>74</v>
      </c>
      <c r="BY6">
        <v>75</v>
      </c>
    </row>
    <row r="7" spans="1:164" customFormat="1" x14ac:dyDescent="0.25">
      <c r="A7" s="191" t="s">
        <v>1578</v>
      </c>
      <c r="B7" s="12"/>
      <c r="C7" s="36"/>
      <c r="E7" s="36"/>
    </row>
    <row r="8" spans="1:164" customFormat="1" x14ac:dyDescent="0.25">
      <c r="A8" s="152" t="s">
        <v>1239</v>
      </c>
      <c r="B8" s="12" t="s">
        <v>1360</v>
      </c>
      <c r="C8">
        <v>32</v>
      </c>
      <c r="D8">
        <v>32</v>
      </c>
      <c r="E8">
        <v>13</v>
      </c>
      <c r="F8">
        <v>18</v>
      </c>
      <c r="G8">
        <v>21</v>
      </c>
      <c r="H8">
        <v>10</v>
      </c>
      <c r="I8">
        <v>14</v>
      </c>
      <c r="J8">
        <v>14</v>
      </c>
      <c r="K8">
        <v>14</v>
      </c>
      <c r="L8">
        <v>14</v>
      </c>
      <c r="M8">
        <v>21</v>
      </c>
      <c r="N8">
        <v>21</v>
      </c>
      <c r="O8">
        <v>16</v>
      </c>
      <c r="P8">
        <v>8</v>
      </c>
      <c r="Q8">
        <v>1</v>
      </c>
      <c r="R8">
        <v>7</v>
      </c>
      <c r="S8">
        <v>24</v>
      </c>
      <c r="T8">
        <v>7</v>
      </c>
      <c r="U8">
        <v>7</v>
      </c>
      <c r="V8">
        <v>24</v>
      </c>
      <c r="W8">
        <v>5</v>
      </c>
      <c r="X8">
        <v>2</v>
      </c>
      <c r="Y8">
        <v>26</v>
      </c>
      <c r="Z8">
        <v>5</v>
      </c>
      <c r="AA8">
        <v>25</v>
      </c>
      <c r="AB8">
        <v>6</v>
      </c>
      <c r="AC8">
        <v>5</v>
      </c>
      <c r="AD8">
        <v>4</v>
      </c>
      <c r="AE8">
        <v>4</v>
      </c>
      <c r="AF8">
        <v>4</v>
      </c>
      <c r="AG8">
        <v>24</v>
      </c>
      <c r="AH8">
        <v>3</v>
      </c>
      <c r="AI8">
        <v>9</v>
      </c>
      <c r="AJ8">
        <v>9</v>
      </c>
      <c r="AK8">
        <v>4</v>
      </c>
      <c r="AL8">
        <v>27</v>
      </c>
      <c r="AM8">
        <v>4</v>
      </c>
      <c r="AN8">
        <v>19</v>
      </c>
      <c r="AO8">
        <v>22</v>
      </c>
      <c r="AP8">
        <v>15</v>
      </c>
      <c r="AQ8">
        <v>20</v>
      </c>
      <c r="AR8">
        <v>12</v>
      </c>
      <c r="AS8">
        <v>8</v>
      </c>
      <c r="AT8">
        <v>8</v>
      </c>
      <c r="AU8">
        <v>11</v>
      </c>
      <c r="AV8">
        <v>11</v>
      </c>
      <c r="AW8">
        <v>11</v>
      </c>
      <c r="AX8">
        <v>12</v>
      </c>
      <c r="AY8">
        <v>21</v>
      </c>
      <c r="AZ8">
        <v>19</v>
      </c>
      <c r="BA8">
        <v>9</v>
      </c>
      <c r="BB8">
        <v>23</v>
      </c>
      <c r="BC8">
        <v>17</v>
      </c>
      <c r="BD8">
        <v>19</v>
      </c>
      <c r="BE8">
        <v>23</v>
      </c>
      <c r="BF8">
        <v>21</v>
      </c>
      <c r="BG8">
        <v>21</v>
      </c>
      <c r="BH8">
        <v>23</v>
      </c>
      <c r="BI8">
        <v>14</v>
      </c>
      <c r="BJ8">
        <v>13</v>
      </c>
      <c r="BK8">
        <v>13</v>
      </c>
      <c r="BL8">
        <v>32</v>
      </c>
      <c r="BM8">
        <v>31</v>
      </c>
      <c r="BN8">
        <v>13</v>
      </c>
      <c r="BO8">
        <v>32</v>
      </c>
      <c r="BP8">
        <v>33</v>
      </c>
      <c r="BQ8">
        <v>31</v>
      </c>
      <c r="BR8">
        <v>28</v>
      </c>
      <c r="BS8">
        <v>31</v>
      </c>
      <c r="BT8">
        <v>29</v>
      </c>
      <c r="BU8">
        <v>30</v>
      </c>
      <c r="BV8">
        <v>30</v>
      </c>
      <c r="BW8">
        <v>30</v>
      </c>
      <c r="BX8">
        <v>30</v>
      </c>
      <c r="BY8">
        <v>29</v>
      </c>
    </row>
    <row r="9" spans="1:164" customFormat="1" x14ac:dyDescent="0.25">
      <c r="A9" s="152" t="s">
        <v>1240</v>
      </c>
      <c r="B9" s="12" t="s">
        <v>1361</v>
      </c>
      <c r="C9">
        <v>13</v>
      </c>
      <c r="D9">
        <v>13</v>
      </c>
      <c r="E9">
        <v>10</v>
      </c>
      <c r="F9">
        <v>13</v>
      </c>
      <c r="G9">
        <v>10</v>
      </c>
      <c r="H9">
        <v>10</v>
      </c>
      <c r="I9">
        <v>12</v>
      </c>
      <c r="J9">
        <v>12</v>
      </c>
      <c r="K9">
        <v>12</v>
      </c>
      <c r="L9">
        <v>12</v>
      </c>
      <c r="M9">
        <v>10</v>
      </c>
      <c r="N9">
        <v>10</v>
      </c>
      <c r="O9">
        <v>10</v>
      </c>
      <c r="P9">
        <v>10</v>
      </c>
      <c r="Q9">
        <v>10</v>
      </c>
      <c r="R9">
        <v>6</v>
      </c>
      <c r="S9">
        <v>6</v>
      </c>
      <c r="T9">
        <v>6</v>
      </c>
      <c r="U9">
        <v>6</v>
      </c>
      <c r="V9">
        <v>6</v>
      </c>
      <c r="W9">
        <v>10</v>
      </c>
      <c r="X9">
        <v>6</v>
      </c>
      <c r="Y9">
        <v>9</v>
      </c>
      <c r="Z9">
        <v>10</v>
      </c>
      <c r="AA9">
        <v>6</v>
      </c>
      <c r="AB9">
        <v>10</v>
      </c>
      <c r="AC9">
        <v>10</v>
      </c>
      <c r="AD9">
        <v>10</v>
      </c>
      <c r="AE9">
        <v>10</v>
      </c>
      <c r="AF9">
        <v>10</v>
      </c>
      <c r="AG9">
        <v>6</v>
      </c>
      <c r="AH9">
        <v>10</v>
      </c>
      <c r="AI9">
        <v>10</v>
      </c>
      <c r="AJ9">
        <v>10</v>
      </c>
      <c r="AK9">
        <v>10</v>
      </c>
      <c r="AL9">
        <v>10</v>
      </c>
      <c r="AM9">
        <v>10</v>
      </c>
      <c r="AN9">
        <v>10</v>
      </c>
      <c r="AO9">
        <v>10</v>
      </c>
      <c r="AP9">
        <v>10</v>
      </c>
      <c r="AQ9">
        <v>12</v>
      </c>
      <c r="AR9">
        <v>10</v>
      </c>
      <c r="AS9">
        <v>10</v>
      </c>
      <c r="AT9">
        <v>10</v>
      </c>
      <c r="AU9">
        <v>10</v>
      </c>
      <c r="AV9">
        <v>10</v>
      </c>
      <c r="AW9">
        <v>10</v>
      </c>
      <c r="AX9">
        <v>10</v>
      </c>
      <c r="AY9">
        <v>10</v>
      </c>
      <c r="AZ9">
        <v>10</v>
      </c>
      <c r="BA9">
        <v>10</v>
      </c>
      <c r="BB9">
        <v>10</v>
      </c>
      <c r="BC9">
        <v>9</v>
      </c>
      <c r="BD9">
        <v>13</v>
      </c>
      <c r="BE9">
        <v>10</v>
      </c>
      <c r="BF9">
        <v>10</v>
      </c>
      <c r="BG9">
        <v>10</v>
      </c>
      <c r="BH9">
        <v>10</v>
      </c>
      <c r="BI9">
        <v>12</v>
      </c>
      <c r="BJ9">
        <v>10</v>
      </c>
      <c r="BK9">
        <v>10</v>
      </c>
      <c r="BL9">
        <v>13</v>
      </c>
      <c r="BM9">
        <v>13</v>
      </c>
      <c r="BN9">
        <v>10</v>
      </c>
      <c r="BO9">
        <v>13</v>
      </c>
      <c r="BP9">
        <v>13</v>
      </c>
      <c r="BQ9">
        <v>13</v>
      </c>
      <c r="BR9">
        <v>13</v>
      </c>
      <c r="BS9">
        <v>13</v>
      </c>
      <c r="BT9">
        <v>13</v>
      </c>
      <c r="BU9">
        <v>6</v>
      </c>
      <c r="BV9">
        <v>6</v>
      </c>
      <c r="BW9">
        <v>6</v>
      </c>
      <c r="BX9">
        <v>6</v>
      </c>
      <c r="BY9">
        <v>13</v>
      </c>
    </row>
    <row r="10" spans="1:164" customFormat="1" x14ac:dyDescent="0.25">
      <c r="A10" s="152" t="s">
        <v>1241</v>
      </c>
      <c r="B10" s="12" t="s">
        <v>923</v>
      </c>
      <c r="C10">
        <v>1</v>
      </c>
      <c r="D10">
        <v>1</v>
      </c>
      <c r="E10">
        <v>1</v>
      </c>
      <c r="F10">
        <v>1</v>
      </c>
      <c r="G10">
        <v>1</v>
      </c>
      <c r="H10">
        <v>1</v>
      </c>
      <c r="I10">
        <v>1</v>
      </c>
      <c r="J10">
        <v>1</v>
      </c>
      <c r="K10">
        <v>1</v>
      </c>
      <c r="L10">
        <v>1</v>
      </c>
      <c r="M10">
        <v>1</v>
      </c>
      <c r="N10">
        <v>1</v>
      </c>
      <c r="O10">
        <v>1</v>
      </c>
      <c r="P10">
        <v>1</v>
      </c>
      <c r="Q10">
        <v>1</v>
      </c>
      <c r="R10">
        <v>1</v>
      </c>
      <c r="S10">
        <v>1</v>
      </c>
      <c r="T10">
        <v>1</v>
      </c>
      <c r="U10">
        <v>1</v>
      </c>
      <c r="V10">
        <v>1</v>
      </c>
      <c r="W10">
        <v>1</v>
      </c>
      <c r="X10">
        <v>1</v>
      </c>
      <c r="Y10">
        <v>1</v>
      </c>
      <c r="Z10">
        <v>1</v>
      </c>
      <c r="AA10">
        <v>1</v>
      </c>
      <c r="AB10">
        <v>1</v>
      </c>
      <c r="AC10">
        <v>1</v>
      </c>
      <c r="AD10">
        <v>1</v>
      </c>
      <c r="AE10">
        <v>1</v>
      </c>
      <c r="AF10">
        <v>1</v>
      </c>
      <c r="AG10">
        <v>1</v>
      </c>
      <c r="AH10">
        <v>1</v>
      </c>
      <c r="AI10">
        <v>1</v>
      </c>
      <c r="AJ10">
        <v>1</v>
      </c>
      <c r="AK10">
        <v>1</v>
      </c>
      <c r="AL10">
        <v>1</v>
      </c>
      <c r="AM10">
        <v>1</v>
      </c>
      <c r="AN10">
        <v>1</v>
      </c>
      <c r="AO10">
        <v>1</v>
      </c>
      <c r="AP10">
        <v>1</v>
      </c>
      <c r="AQ10">
        <v>1</v>
      </c>
      <c r="AR10">
        <v>1</v>
      </c>
      <c r="AS10">
        <v>1</v>
      </c>
      <c r="AT10">
        <v>1</v>
      </c>
      <c r="AU10">
        <v>1</v>
      </c>
      <c r="AV10">
        <v>1</v>
      </c>
      <c r="AW10">
        <v>1</v>
      </c>
      <c r="AX10">
        <v>1</v>
      </c>
      <c r="AY10">
        <v>1</v>
      </c>
      <c r="AZ10">
        <v>1</v>
      </c>
      <c r="BA10">
        <v>1</v>
      </c>
      <c r="BB10">
        <v>1</v>
      </c>
      <c r="BC10">
        <v>1</v>
      </c>
      <c r="BD10">
        <v>1</v>
      </c>
      <c r="BE10">
        <v>1</v>
      </c>
      <c r="BF10">
        <v>1</v>
      </c>
      <c r="BG10">
        <v>1</v>
      </c>
      <c r="BH10">
        <v>1</v>
      </c>
      <c r="BI10">
        <v>1</v>
      </c>
      <c r="BJ10">
        <v>1</v>
      </c>
      <c r="BK10">
        <v>1</v>
      </c>
      <c r="BL10">
        <v>1</v>
      </c>
      <c r="BM10">
        <v>1</v>
      </c>
      <c r="BN10">
        <v>1</v>
      </c>
      <c r="BO10">
        <v>1</v>
      </c>
      <c r="BP10">
        <v>1</v>
      </c>
      <c r="BQ10">
        <v>1</v>
      </c>
      <c r="BR10">
        <v>1</v>
      </c>
      <c r="BS10">
        <v>1</v>
      </c>
      <c r="BT10">
        <v>1</v>
      </c>
      <c r="BU10">
        <v>1</v>
      </c>
      <c r="BV10">
        <v>1</v>
      </c>
      <c r="BW10">
        <v>1</v>
      </c>
      <c r="BX10">
        <v>1</v>
      </c>
      <c r="BY10">
        <v>1</v>
      </c>
    </row>
    <row r="11" spans="1:164" customFormat="1" x14ac:dyDescent="0.25">
      <c r="A11" s="152" t="s">
        <v>1242</v>
      </c>
      <c r="B11" s="12" t="s">
        <v>719</v>
      </c>
      <c r="C11">
        <v>0</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0</v>
      </c>
      <c r="BN11">
        <v>0</v>
      </c>
      <c r="BO11">
        <v>0</v>
      </c>
      <c r="BP11">
        <v>0</v>
      </c>
      <c r="BQ11">
        <v>0</v>
      </c>
      <c r="BR11">
        <v>0</v>
      </c>
      <c r="BS11">
        <v>0</v>
      </c>
      <c r="BT11">
        <v>0</v>
      </c>
      <c r="BU11">
        <v>0</v>
      </c>
      <c r="BV11">
        <v>0</v>
      </c>
      <c r="BW11">
        <v>0</v>
      </c>
      <c r="BX11">
        <v>0</v>
      </c>
      <c r="BY11">
        <v>0</v>
      </c>
    </row>
    <row r="12" spans="1:164" customFormat="1" x14ac:dyDescent="0.25">
      <c r="A12" s="152" t="s">
        <v>1243</v>
      </c>
      <c r="B12" s="12" t="s">
        <v>720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c r="BH12">
        <v>0</v>
      </c>
      <c r="BI12">
        <v>0</v>
      </c>
      <c r="BJ12">
        <v>0</v>
      </c>
      <c r="BK12">
        <v>0</v>
      </c>
      <c r="BL12">
        <v>0</v>
      </c>
      <c r="BM12">
        <v>0</v>
      </c>
      <c r="BN12">
        <v>0</v>
      </c>
      <c r="BO12">
        <v>0</v>
      </c>
      <c r="BP12">
        <v>0</v>
      </c>
      <c r="BQ12">
        <v>0</v>
      </c>
      <c r="BR12">
        <v>0</v>
      </c>
      <c r="BS12">
        <v>0</v>
      </c>
      <c r="BT12">
        <v>0</v>
      </c>
      <c r="BU12">
        <v>0</v>
      </c>
      <c r="BV12">
        <v>0</v>
      </c>
      <c r="BW12">
        <v>0</v>
      </c>
      <c r="BX12">
        <v>0</v>
      </c>
      <c r="BY12">
        <v>0</v>
      </c>
    </row>
    <row r="13" spans="1:164" s="50" customFormat="1" x14ac:dyDescent="0.25">
      <c r="A13" s="172" t="s">
        <v>1238</v>
      </c>
      <c r="B13" s="50" t="s">
        <v>634</v>
      </c>
      <c r="C13" s="50">
        <v>0</v>
      </c>
      <c r="D13" s="50">
        <v>0</v>
      </c>
      <c r="E13" s="50">
        <v>0</v>
      </c>
      <c r="F13" s="50">
        <v>0</v>
      </c>
      <c r="G13" s="50">
        <v>0</v>
      </c>
      <c r="H13" s="50">
        <v>0</v>
      </c>
      <c r="I13" s="50">
        <v>0</v>
      </c>
      <c r="J13" s="50">
        <v>0</v>
      </c>
      <c r="K13" s="50">
        <v>0</v>
      </c>
      <c r="L13" s="50">
        <v>0</v>
      </c>
      <c r="M13" s="50">
        <v>0</v>
      </c>
      <c r="N13" s="50">
        <v>0</v>
      </c>
      <c r="O13" s="50">
        <v>0</v>
      </c>
      <c r="P13" s="50">
        <v>0</v>
      </c>
      <c r="Q13" s="50">
        <v>0</v>
      </c>
      <c r="R13" s="50">
        <v>0</v>
      </c>
      <c r="S13" s="50">
        <v>0</v>
      </c>
      <c r="T13" s="50">
        <v>0</v>
      </c>
      <c r="U13" s="50">
        <v>0</v>
      </c>
      <c r="V13" s="50">
        <v>0</v>
      </c>
      <c r="W13" s="50">
        <v>0</v>
      </c>
      <c r="X13" s="50">
        <v>0</v>
      </c>
      <c r="Y13" s="50">
        <v>0</v>
      </c>
      <c r="Z13" s="50">
        <v>0</v>
      </c>
      <c r="AA13" s="50">
        <v>0</v>
      </c>
      <c r="AB13" s="50">
        <v>0</v>
      </c>
      <c r="AC13" s="50">
        <v>0</v>
      </c>
      <c r="AD13" s="50">
        <v>0</v>
      </c>
      <c r="AE13" s="50">
        <v>0</v>
      </c>
      <c r="AF13" s="50">
        <v>0</v>
      </c>
      <c r="AG13" s="50">
        <v>0</v>
      </c>
      <c r="AH13" s="50">
        <v>0</v>
      </c>
      <c r="AI13" s="50">
        <v>0</v>
      </c>
      <c r="AJ13" s="50">
        <v>0</v>
      </c>
      <c r="AK13" s="50">
        <v>0</v>
      </c>
      <c r="AL13" s="50">
        <v>0</v>
      </c>
      <c r="AM13" s="50">
        <v>0</v>
      </c>
      <c r="AN13" s="50">
        <v>0</v>
      </c>
      <c r="AO13" s="50">
        <v>0</v>
      </c>
      <c r="AP13" s="50">
        <v>0</v>
      </c>
      <c r="AQ13" s="50">
        <v>0</v>
      </c>
      <c r="AR13" s="50">
        <v>0</v>
      </c>
      <c r="AS13" s="50">
        <v>0</v>
      </c>
      <c r="AT13" s="50">
        <v>0</v>
      </c>
      <c r="AU13" s="50">
        <v>0</v>
      </c>
      <c r="AV13" s="50">
        <v>0</v>
      </c>
      <c r="AW13" s="50">
        <v>0</v>
      </c>
      <c r="AX13" s="50">
        <v>0</v>
      </c>
      <c r="AY13" s="50">
        <v>0</v>
      </c>
      <c r="AZ13" s="50">
        <v>0</v>
      </c>
      <c r="BA13" s="50">
        <v>0</v>
      </c>
      <c r="BB13" s="50">
        <v>0</v>
      </c>
      <c r="BC13" s="50">
        <v>0</v>
      </c>
      <c r="BD13" s="50">
        <v>0</v>
      </c>
      <c r="BE13" s="50">
        <v>0</v>
      </c>
      <c r="BF13" s="50">
        <v>0</v>
      </c>
      <c r="BG13" s="50">
        <v>0</v>
      </c>
      <c r="BH13" s="50">
        <v>0</v>
      </c>
      <c r="BI13" s="50">
        <v>0</v>
      </c>
      <c r="BJ13" s="50">
        <v>0</v>
      </c>
      <c r="BK13" s="50">
        <v>0</v>
      </c>
      <c r="BL13" s="50">
        <v>0</v>
      </c>
      <c r="BM13" s="50">
        <v>0</v>
      </c>
      <c r="BN13" s="50">
        <v>0</v>
      </c>
      <c r="BO13" s="50">
        <v>0</v>
      </c>
      <c r="BP13" s="50">
        <v>0</v>
      </c>
      <c r="BQ13" s="50">
        <v>0</v>
      </c>
      <c r="BR13" s="50">
        <v>0</v>
      </c>
      <c r="BS13" s="50">
        <v>0</v>
      </c>
      <c r="BT13" s="50">
        <v>0</v>
      </c>
      <c r="BU13" s="50">
        <v>0</v>
      </c>
      <c r="BV13" s="50">
        <v>0</v>
      </c>
      <c r="BW13" s="50">
        <v>0</v>
      </c>
      <c r="BX13" s="50">
        <v>0</v>
      </c>
      <c r="BY13" s="50">
        <v>0</v>
      </c>
    </row>
    <row r="14" spans="1:164" x14ac:dyDescent="0.25">
      <c r="A14" s="152" t="s">
        <v>1244</v>
      </c>
      <c r="B14" s="12" t="s">
        <v>721</v>
      </c>
      <c r="C14" s="12">
        <v>0</v>
      </c>
      <c r="D14">
        <v>0</v>
      </c>
      <c r="E14">
        <v>0</v>
      </c>
      <c r="F14">
        <v>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c r="BH14">
        <v>0</v>
      </c>
      <c r="BI14">
        <v>0</v>
      </c>
      <c r="BJ14">
        <v>0</v>
      </c>
      <c r="BK14">
        <v>0</v>
      </c>
      <c r="BL14">
        <v>0</v>
      </c>
      <c r="BM14">
        <v>0</v>
      </c>
      <c r="BN14">
        <v>0</v>
      </c>
      <c r="BO14">
        <v>0</v>
      </c>
      <c r="BP14">
        <v>0</v>
      </c>
      <c r="BQ14">
        <v>0</v>
      </c>
      <c r="BR14">
        <v>0</v>
      </c>
      <c r="BS14">
        <v>0</v>
      </c>
      <c r="BT14">
        <v>0</v>
      </c>
      <c r="BU14">
        <v>0</v>
      </c>
      <c r="BV14">
        <v>0</v>
      </c>
      <c r="BW14">
        <v>0</v>
      </c>
      <c r="BX14">
        <v>0</v>
      </c>
      <c r="BY14">
        <v>0</v>
      </c>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row>
    <row r="15" spans="1:164" customFormat="1" x14ac:dyDescent="0.25">
      <c r="A15" s="152" t="s">
        <v>1245</v>
      </c>
      <c r="B15" s="12" t="s">
        <v>722</v>
      </c>
      <c r="C15">
        <v>69</v>
      </c>
      <c r="D15">
        <v>65</v>
      </c>
      <c r="E15">
        <v>59</v>
      </c>
      <c r="F15">
        <v>54</v>
      </c>
      <c r="G15">
        <v>45</v>
      </c>
      <c r="H15">
        <v>44</v>
      </c>
      <c r="I15">
        <v>52</v>
      </c>
      <c r="J15">
        <v>53</v>
      </c>
      <c r="K15">
        <v>49</v>
      </c>
      <c r="L15">
        <v>56</v>
      </c>
      <c r="M15">
        <v>40</v>
      </c>
      <c r="N15">
        <v>37</v>
      </c>
      <c r="O15">
        <v>43</v>
      </c>
      <c r="P15">
        <v>34</v>
      </c>
      <c r="Q15">
        <v>27</v>
      </c>
      <c r="R15">
        <v>20</v>
      </c>
      <c r="S15">
        <v>14</v>
      </c>
      <c r="T15">
        <v>6</v>
      </c>
      <c r="U15">
        <v>1</v>
      </c>
      <c r="V15">
        <v>9</v>
      </c>
      <c r="W15">
        <v>3</v>
      </c>
      <c r="X15">
        <v>4</v>
      </c>
      <c r="Y15">
        <v>8</v>
      </c>
      <c r="Z15">
        <v>11</v>
      </c>
      <c r="AA15">
        <v>5</v>
      </c>
      <c r="AB15">
        <v>2</v>
      </c>
      <c r="AC15">
        <v>7</v>
      </c>
      <c r="AD15">
        <v>10</v>
      </c>
      <c r="AE15">
        <v>12</v>
      </c>
      <c r="AF15">
        <v>13</v>
      </c>
      <c r="AG15">
        <v>19</v>
      </c>
      <c r="AH15">
        <v>23</v>
      </c>
      <c r="AI15">
        <v>18</v>
      </c>
      <c r="AJ15">
        <v>17</v>
      </c>
      <c r="AK15">
        <v>21</v>
      </c>
      <c r="AL15">
        <v>22</v>
      </c>
      <c r="AM15">
        <v>25</v>
      </c>
      <c r="AN15">
        <v>31</v>
      </c>
      <c r="AO15">
        <v>30</v>
      </c>
      <c r="AP15">
        <v>33</v>
      </c>
      <c r="AQ15">
        <v>36</v>
      </c>
      <c r="AR15">
        <v>26</v>
      </c>
      <c r="AS15">
        <v>16</v>
      </c>
      <c r="AT15">
        <v>15</v>
      </c>
      <c r="AU15">
        <v>24</v>
      </c>
      <c r="AV15">
        <v>29</v>
      </c>
      <c r="AW15">
        <v>28</v>
      </c>
      <c r="AX15">
        <v>32</v>
      </c>
      <c r="AY15">
        <v>35</v>
      </c>
      <c r="AZ15">
        <v>39</v>
      </c>
      <c r="BA15">
        <v>38</v>
      </c>
      <c r="BB15">
        <v>41</v>
      </c>
      <c r="BC15">
        <v>42</v>
      </c>
      <c r="BD15">
        <v>46</v>
      </c>
      <c r="BE15">
        <v>48</v>
      </c>
      <c r="BF15">
        <v>47</v>
      </c>
      <c r="BG15">
        <v>51</v>
      </c>
      <c r="BH15">
        <v>50</v>
      </c>
      <c r="BI15">
        <v>55</v>
      </c>
      <c r="BJ15">
        <v>57</v>
      </c>
      <c r="BK15">
        <v>58</v>
      </c>
      <c r="BL15">
        <v>64</v>
      </c>
      <c r="BM15">
        <v>63</v>
      </c>
      <c r="BN15">
        <v>61</v>
      </c>
      <c r="BO15">
        <v>60</v>
      </c>
      <c r="BP15">
        <v>62</v>
      </c>
      <c r="BQ15">
        <v>67</v>
      </c>
      <c r="BR15">
        <v>66</v>
      </c>
      <c r="BS15">
        <v>68</v>
      </c>
      <c r="BT15">
        <v>71</v>
      </c>
      <c r="BU15">
        <v>70</v>
      </c>
      <c r="BV15">
        <v>72</v>
      </c>
      <c r="BW15">
        <v>74</v>
      </c>
      <c r="BX15">
        <v>73</v>
      </c>
      <c r="BY15">
        <v>75</v>
      </c>
    </row>
    <row r="16" spans="1:164" x14ac:dyDescent="0.25">
      <c r="A16" s="152" t="s">
        <v>1246</v>
      </c>
      <c r="B16" s="12" t="s">
        <v>723</v>
      </c>
      <c r="C16" s="12">
        <v>0</v>
      </c>
      <c r="D16" s="12">
        <v>0</v>
      </c>
      <c r="E16" s="12">
        <v>0</v>
      </c>
      <c r="F16" s="12">
        <v>0</v>
      </c>
      <c r="G16" s="12">
        <v>0</v>
      </c>
      <c r="H16" s="12">
        <v>0</v>
      </c>
      <c r="I16" s="12">
        <v>0</v>
      </c>
      <c r="J16" s="12">
        <v>0</v>
      </c>
      <c r="K16" s="12">
        <v>0</v>
      </c>
      <c r="L16" s="12">
        <v>0</v>
      </c>
      <c r="M16" s="12">
        <v>0</v>
      </c>
      <c r="N16" s="12">
        <v>0</v>
      </c>
      <c r="O16" s="12">
        <v>0</v>
      </c>
      <c r="P16" s="12">
        <v>0</v>
      </c>
      <c r="Q16" s="12">
        <v>0</v>
      </c>
      <c r="R16" s="12">
        <v>0</v>
      </c>
      <c r="S16" s="12">
        <v>0</v>
      </c>
      <c r="T16" s="12">
        <v>0</v>
      </c>
      <c r="U16" s="12">
        <v>0</v>
      </c>
      <c r="V16" s="12">
        <v>0</v>
      </c>
      <c r="W16" s="12">
        <v>0</v>
      </c>
      <c r="X16" s="12">
        <v>0</v>
      </c>
      <c r="Y16" s="12">
        <v>0</v>
      </c>
      <c r="Z16" s="12">
        <v>0</v>
      </c>
      <c r="AA16" s="12">
        <v>0</v>
      </c>
      <c r="AB16" s="12">
        <v>0</v>
      </c>
      <c r="AC16" s="12">
        <v>0</v>
      </c>
      <c r="AD16" s="12">
        <v>0</v>
      </c>
      <c r="AE16" s="12">
        <v>0</v>
      </c>
      <c r="AF16" s="12">
        <v>0</v>
      </c>
      <c r="AG16" s="12">
        <v>0</v>
      </c>
      <c r="AH16" s="12">
        <v>0</v>
      </c>
      <c r="AI16" s="12">
        <v>0</v>
      </c>
      <c r="AJ16" s="12">
        <v>0</v>
      </c>
      <c r="AK16" s="12">
        <v>0</v>
      </c>
      <c r="AL16" s="12">
        <v>0</v>
      </c>
      <c r="AM16" s="12">
        <v>0</v>
      </c>
      <c r="AN16" s="12">
        <v>0</v>
      </c>
      <c r="AO16" s="12">
        <v>0</v>
      </c>
      <c r="AP16" s="12">
        <v>0</v>
      </c>
      <c r="AQ16" s="12">
        <v>0</v>
      </c>
      <c r="AR16" s="12">
        <v>0</v>
      </c>
      <c r="AS16" s="12">
        <v>0</v>
      </c>
      <c r="AT16" s="12">
        <v>0</v>
      </c>
      <c r="AU16" s="12">
        <v>0</v>
      </c>
      <c r="AV16" s="12">
        <v>0</v>
      </c>
      <c r="AW16" s="12">
        <v>0</v>
      </c>
      <c r="AX16" s="12">
        <v>0</v>
      </c>
      <c r="AY16" s="12">
        <v>0</v>
      </c>
      <c r="AZ16" s="12">
        <v>0</v>
      </c>
      <c r="BA16" s="12">
        <v>0</v>
      </c>
      <c r="BB16" s="12">
        <v>0</v>
      </c>
      <c r="BC16" s="12">
        <v>0</v>
      </c>
      <c r="BD16" s="12">
        <v>0</v>
      </c>
      <c r="BE16" s="12">
        <v>0</v>
      </c>
      <c r="BF16" s="12">
        <v>0</v>
      </c>
      <c r="BG16" s="12">
        <v>0</v>
      </c>
      <c r="BH16" s="12">
        <v>0</v>
      </c>
      <c r="BI16" s="12">
        <v>0</v>
      </c>
      <c r="BJ16" s="12">
        <v>0</v>
      </c>
      <c r="BK16" s="12">
        <v>0</v>
      </c>
      <c r="BL16" s="12">
        <v>0</v>
      </c>
      <c r="BM16" s="12">
        <v>0</v>
      </c>
      <c r="BN16" s="12">
        <v>0</v>
      </c>
      <c r="BO16" s="12">
        <v>0</v>
      </c>
      <c r="BP16" s="12">
        <v>0</v>
      </c>
      <c r="BQ16" s="12">
        <v>0</v>
      </c>
      <c r="BR16" s="12">
        <v>0</v>
      </c>
      <c r="BS16" s="12">
        <v>0</v>
      </c>
      <c r="BT16" s="12">
        <v>0</v>
      </c>
      <c r="BU16" s="12">
        <v>0</v>
      </c>
      <c r="BV16" s="12">
        <v>0</v>
      </c>
      <c r="BW16" s="12">
        <v>0</v>
      </c>
      <c r="BX16" s="12">
        <v>0</v>
      </c>
      <c r="BY16" s="12">
        <v>0</v>
      </c>
    </row>
    <row r="17" spans="1:77" x14ac:dyDescent="0.25">
      <c r="A17" s="152" t="s">
        <v>1247</v>
      </c>
      <c r="B17" s="12" t="s">
        <v>724</v>
      </c>
      <c r="C17" s="12">
        <v>0</v>
      </c>
      <c r="D17" s="12">
        <v>0</v>
      </c>
      <c r="E17" s="12">
        <v>0</v>
      </c>
      <c r="F17" s="12">
        <v>0</v>
      </c>
      <c r="G17" s="12">
        <v>0</v>
      </c>
      <c r="H17" s="12">
        <v>0</v>
      </c>
      <c r="I17" s="12">
        <v>0</v>
      </c>
      <c r="J17" s="12">
        <v>0</v>
      </c>
      <c r="K17" s="12">
        <v>0</v>
      </c>
      <c r="L17" s="12">
        <v>0</v>
      </c>
      <c r="M17" s="12">
        <v>0</v>
      </c>
      <c r="N17" s="12">
        <v>0</v>
      </c>
      <c r="O17" s="12">
        <v>0</v>
      </c>
      <c r="P17" s="12">
        <v>0</v>
      </c>
      <c r="Q17" s="12">
        <v>0</v>
      </c>
      <c r="R17" s="12">
        <v>0</v>
      </c>
      <c r="S17" s="12">
        <v>0</v>
      </c>
      <c r="T17" s="12">
        <v>0</v>
      </c>
      <c r="U17" s="12">
        <v>0</v>
      </c>
      <c r="V17" s="12">
        <v>0</v>
      </c>
      <c r="W17" s="12">
        <v>0</v>
      </c>
      <c r="X17" s="12">
        <v>0</v>
      </c>
      <c r="Y17" s="12">
        <v>0</v>
      </c>
      <c r="Z17" s="12">
        <v>0</v>
      </c>
      <c r="AA17" s="12">
        <v>0</v>
      </c>
      <c r="AB17" s="12">
        <v>0</v>
      </c>
      <c r="AC17" s="12">
        <v>0</v>
      </c>
      <c r="AD17" s="12">
        <v>0</v>
      </c>
      <c r="AE17" s="12">
        <v>0</v>
      </c>
      <c r="AF17" s="12">
        <v>0</v>
      </c>
      <c r="AG17" s="12">
        <v>0</v>
      </c>
      <c r="AH17" s="12">
        <v>0</v>
      </c>
      <c r="AI17" s="12">
        <v>0</v>
      </c>
      <c r="AJ17" s="12">
        <v>0</v>
      </c>
      <c r="AK17" s="12">
        <v>0</v>
      </c>
      <c r="AL17" s="12">
        <v>0</v>
      </c>
      <c r="AM17" s="12">
        <v>0</v>
      </c>
      <c r="AN17" s="12">
        <v>0</v>
      </c>
      <c r="AO17" s="12">
        <v>0</v>
      </c>
      <c r="AP17" s="12">
        <v>0</v>
      </c>
      <c r="AQ17" s="12">
        <v>0</v>
      </c>
      <c r="AR17" s="12">
        <v>0</v>
      </c>
      <c r="AS17" s="12">
        <v>0</v>
      </c>
      <c r="AT17" s="12">
        <v>0</v>
      </c>
      <c r="AU17" s="12">
        <v>0</v>
      </c>
      <c r="AV17" s="12">
        <v>0</v>
      </c>
      <c r="AW17" s="12">
        <v>0</v>
      </c>
      <c r="AX17" s="12">
        <v>0</v>
      </c>
      <c r="AY17" s="12">
        <v>0</v>
      </c>
      <c r="AZ17" s="12">
        <v>0</v>
      </c>
      <c r="BA17" s="12">
        <v>0</v>
      </c>
      <c r="BB17" s="12">
        <v>0</v>
      </c>
      <c r="BC17" s="12">
        <v>0</v>
      </c>
      <c r="BD17" s="12">
        <v>0</v>
      </c>
      <c r="BE17" s="12">
        <v>0</v>
      </c>
      <c r="BF17" s="12">
        <v>0</v>
      </c>
      <c r="BG17" s="12">
        <v>0</v>
      </c>
      <c r="BH17" s="12">
        <v>0</v>
      </c>
      <c r="BI17" s="12">
        <v>0</v>
      </c>
      <c r="BJ17" s="12">
        <v>0</v>
      </c>
      <c r="BK17" s="12">
        <v>0</v>
      </c>
      <c r="BL17" s="12">
        <v>0</v>
      </c>
      <c r="BM17" s="12">
        <v>0</v>
      </c>
      <c r="BN17" s="12">
        <v>0</v>
      </c>
      <c r="BO17" s="12">
        <v>0</v>
      </c>
      <c r="BP17" s="12">
        <v>0</v>
      </c>
      <c r="BQ17" s="12">
        <v>0</v>
      </c>
      <c r="BR17" s="12">
        <v>0</v>
      </c>
      <c r="BS17" s="12">
        <v>0</v>
      </c>
      <c r="BT17" s="12">
        <v>0</v>
      </c>
      <c r="BU17" s="12">
        <v>0</v>
      </c>
      <c r="BV17" s="12">
        <v>0</v>
      </c>
      <c r="BW17" s="12">
        <v>0</v>
      </c>
      <c r="BX17" s="12">
        <v>0</v>
      </c>
      <c r="BY17" s="12">
        <v>0</v>
      </c>
    </row>
    <row r="18" spans="1:77" x14ac:dyDescent="0.25">
      <c r="A18" s="152" t="s">
        <v>1248</v>
      </c>
      <c r="B18" s="12" t="s">
        <v>725</v>
      </c>
      <c r="C18" s="12">
        <v>0</v>
      </c>
      <c r="D18" s="12">
        <v>0</v>
      </c>
      <c r="E18" s="12">
        <v>0</v>
      </c>
      <c r="F18" s="12">
        <v>0</v>
      </c>
      <c r="G18" s="12">
        <v>0</v>
      </c>
      <c r="H18" s="12">
        <v>0</v>
      </c>
      <c r="I18" s="12">
        <v>0</v>
      </c>
      <c r="J18" s="12">
        <v>0</v>
      </c>
      <c r="K18" s="12">
        <v>0</v>
      </c>
      <c r="L18" s="12">
        <v>0</v>
      </c>
      <c r="M18" s="12">
        <v>0</v>
      </c>
      <c r="N18" s="12">
        <v>0</v>
      </c>
      <c r="O18" s="12">
        <v>0</v>
      </c>
      <c r="P18" s="12">
        <v>0</v>
      </c>
      <c r="Q18" s="12">
        <v>0</v>
      </c>
      <c r="R18" s="12">
        <v>0</v>
      </c>
      <c r="S18" s="12">
        <v>0</v>
      </c>
      <c r="T18" s="12">
        <v>0</v>
      </c>
      <c r="U18" s="12">
        <v>0</v>
      </c>
      <c r="V18" s="12">
        <v>0</v>
      </c>
      <c r="W18" s="12">
        <v>0</v>
      </c>
      <c r="X18" s="12">
        <v>0</v>
      </c>
      <c r="Y18" s="12">
        <v>0</v>
      </c>
      <c r="Z18" s="12">
        <v>0</v>
      </c>
      <c r="AA18" s="12">
        <v>0</v>
      </c>
      <c r="AB18" s="12">
        <v>0</v>
      </c>
      <c r="AC18" s="12">
        <v>0</v>
      </c>
      <c r="AD18" s="12">
        <v>0</v>
      </c>
      <c r="AE18" s="12">
        <v>0</v>
      </c>
      <c r="AF18" s="12">
        <v>0</v>
      </c>
      <c r="AG18" s="12">
        <v>0</v>
      </c>
      <c r="AH18" s="12">
        <v>0</v>
      </c>
      <c r="AI18" s="12">
        <v>0</v>
      </c>
      <c r="AJ18" s="12">
        <v>0</v>
      </c>
      <c r="AK18" s="12">
        <v>0</v>
      </c>
      <c r="AL18" s="12">
        <v>0</v>
      </c>
      <c r="AM18" s="12">
        <v>0</v>
      </c>
      <c r="AN18" s="12">
        <v>0</v>
      </c>
      <c r="AO18" s="12">
        <v>0</v>
      </c>
      <c r="AP18" s="12">
        <v>0</v>
      </c>
      <c r="AQ18" s="12">
        <v>0</v>
      </c>
      <c r="AR18" s="12">
        <v>0</v>
      </c>
      <c r="AS18" s="12">
        <v>0</v>
      </c>
      <c r="AT18" s="12">
        <v>0</v>
      </c>
      <c r="AU18" s="12">
        <v>0</v>
      </c>
      <c r="AV18" s="12">
        <v>0</v>
      </c>
      <c r="AW18" s="12">
        <v>0</v>
      </c>
      <c r="AX18" s="12">
        <v>0</v>
      </c>
      <c r="AY18" s="12">
        <v>0</v>
      </c>
      <c r="AZ18" s="12">
        <v>0</v>
      </c>
      <c r="BA18" s="12">
        <v>0</v>
      </c>
      <c r="BB18" s="12">
        <v>0</v>
      </c>
      <c r="BC18" s="12">
        <v>0</v>
      </c>
      <c r="BD18" s="12">
        <v>0</v>
      </c>
      <c r="BE18" s="12">
        <v>0</v>
      </c>
      <c r="BF18" s="12">
        <v>0</v>
      </c>
      <c r="BG18" s="12">
        <v>0</v>
      </c>
      <c r="BH18" s="12">
        <v>0</v>
      </c>
      <c r="BI18" s="12">
        <v>0</v>
      </c>
      <c r="BJ18" s="12">
        <v>0</v>
      </c>
      <c r="BK18" s="12">
        <v>0</v>
      </c>
      <c r="BL18" s="12">
        <v>0</v>
      </c>
      <c r="BM18" s="12">
        <v>0</v>
      </c>
      <c r="BN18" s="12">
        <v>0</v>
      </c>
      <c r="BO18" s="12">
        <v>0</v>
      </c>
      <c r="BP18" s="12">
        <v>0</v>
      </c>
      <c r="BQ18" s="12">
        <v>0</v>
      </c>
      <c r="BR18" s="12">
        <v>0</v>
      </c>
      <c r="BS18" s="12">
        <v>0</v>
      </c>
      <c r="BT18" s="12">
        <v>0</v>
      </c>
      <c r="BU18" s="12">
        <v>0</v>
      </c>
      <c r="BV18" s="12">
        <v>0</v>
      </c>
      <c r="BW18" s="12">
        <v>0</v>
      </c>
      <c r="BX18" s="12">
        <v>0</v>
      </c>
      <c r="BY18" s="12">
        <v>0</v>
      </c>
    </row>
    <row r="19" spans="1:77" x14ac:dyDescent="0.25">
      <c r="A19" s="152" t="s">
        <v>1249</v>
      </c>
      <c r="B19" s="12" t="s">
        <v>726</v>
      </c>
      <c r="C19" s="12">
        <v>0</v>
      </c>
      <c r="D19" s="12">
        <v>0</v>
      </c>
      <c r="E19" s="12">
        <v>0</v>
      </c>
      <c r="F19" s="12">
        <v>0</v>
      </c>
      <c r="G19" s="12">
        <v>0</v>
      </c>
      <c r="H19" s="12">
        <v>0</v>
      </c>
      <c r="I19" s="12">
        <v>0</v>
      </c>
      <c r="J19" s="12">
        <v>0</v>
      </c>
      <c r="K19" s="12">
        <v>0</v>
      </c>
      <c r="L19" s="12">
        <v>0</v>
      </c>
      <c r="M19" s="12">
        <v>0</v>
      </c>
      <c r="N19" s="12">
        <v>0</v>
      </c>
      <c r="O19" s="12">
        <v>0</v>
      </c>
      <c r="P19" s="12">
        <v>0</v>
      </c>
      <c r="Q19" s="12">
        <v>0</v>
      </c>
      <c r="R19" s="12">
        <v>0</v>
      </c>
      <c r="S19" s="12">
        <v>0</v>
      </c>
      <c r="T19" s="12">
        <v>0</v>
      </c>
      <c r="U19" s="12">
        <v>0</v>
      </c>
      <c r="V19" s="12">
        <v>0</v>
      </c>
      <c r="W19" s="12">
        <v>0</v>
      </c>
      <c r="X19" s="12">
        <v>0</v>
      </c>
      <c r="Y19" s="12">
        <v>0</v>
      </c>
      <c r="Z19" s="12">
        <v>0</v>
      </c>
      <c r="AA19" s="12">
        <v>0</v>
      </c>
      <c r="AB19" s="12">
        <v>0</v>
      </c>
      <c r="AC19" s="12">
        <v>0</v>
      </c>
      <c r="AD19" s="12">
        <v>0</v>
      </c>
      <c r="AE19" s="12">
        <v>0</v>
      </c>
      <c r="AF19" s="12">
        <v>0</v>
      </c>
      <c r="AG19" s="12">
        <v>0</v>
      </c>
      <c r="AH19" s="12">
        <v>0</v>
      </c>
      <c r="AI19" s="12">
        <v>0</v>
      </c>
      <c r="AJ19" s="12">
        <v>0</v>
      </c>
      <c r="AK19" s="12">
        <v>0</v>
      </c>
      <c r="AL19" s="12">
        <v>0</v>
      </c>
      <c r="AM19" s="12">
        <v>0</v>
      </c>
      <c r="AN19" s="12">
        <v>0</v>
      </c>
      <c r="AO19" s="12">
        <v>0</v>
      </c>
      <c r="AP19" s="12">
        <v>0</v>
      </c>
      <c r="AQ19" s="12">
        <v>0</v>
      </c>
      <c r="AR19" s="12">
        <v>0</v>
      </c>
      <c r="AS19" s="12">
        <v>0</v>
      </c>
      <c r="AT19" s="12">
        <v>0</v>
      </c>
      <c r="AU19" s="12">
        <v>0</v>
      </c>
      <c r="AV19" s="12">
        <v>0</v>
      </c>
      <c r="AW19" s="12">
        <v>0</v>
      </c>
      <c r="AX19" s="12">
        <v>0</v>
      </c>
      <c r="AY19" s="12">
        <v>0</v>
      </c>
      <c r="AZ19" s="12">
        <v>0</v>
      </c>
      <c r="BA19" s="12">
        <v>0</v>
      </c>
      <c r="BB19" s="12">
        <v>0</v>
      </c>
      <c r="BC19" s="12">
        <v>0</v>
      </c>
      <c r="BD19" s="12">
        <v>0</v>
      </c>
      <c r="BE19" s="12">
        <v>0</v>
      </c>
      <c r="BF19" s="12">
        <v>0</v>
      </c>
      <c r="BG19" s="12">
        <v>0</v>
      </c>
      <c r="BH19" s="12">
        <v>0</v>
      </c>
      <c r="BI19" s="12">
        <v>0</v>
      </c>
      <c r="BJ19" s="12">
        <v>0</v>
      </c>
      <c r="BK19" s="12">
        <v>0</v>
      </c>
      <c r="BL19" s="12">
        <v>0</v>
      </c>
      <c r="BM19" s="12">
        <v>0</v>
      </c>
      <c r="BN19" s="12">
        <v>0</v>
      </c>
      <c r="BO19" s="12">
        <v>0</v>
      </c>
      <c r="BP19" s="12">
        <v>0</v>
      </c>
      <c r="BQ19" s="12">
        <v>0</v>
      </c>
      <c r="BR19" s="12">
        <v>0</v>
      </c>
      <c r="BS19" s="12">
        <v>0</v>
      </c>
      <c r="BT19" s="12">
        <v>0</v>
      </c>
      <c r="BU19" s="12">
        <v>0</v>
      </c>
      <c r="BV19" s="12">
        <v>0</v>
      </c>
      <c r="BW19" s="12">
        <v>0</v>
      </c>
      <c r="BX19" s="12">
        <v>0</v>
      </c>
      <c r="BY19" s="12">
        <v>0</v>
      </c>
    </row>
    <row r="20" spans="1:77" x14ac:dyDescent="0.25">
      <c r="A20" s="152"/>
      <c r="B20" s="152"/>
    </row>
    <row r="21" spans="1:77" x14ac:dyDescent="0.25">
      <c r="A21" s="191" t="s">
        <v>1579</v>
      </c>
      <c r="B21" s="152"/>
    </row>
    <row r="22" spans="1:77" x14ac:dyDescent="0.25">
      <c r="A22" s="152" t="s">
        <v>1250</v>
      </c>
      <c r="B22" s="12" t="s">
        <v>727</v>
      </c>
      <c r="C22" s="12">
        <v>0</v>
      </c>
      <c r="D22" s="12">
        <v>0</v>
      </c>
      <c r="E22" s="12">
        <v>0</v>
      </c>
      <c r="F22" s="12">
        <v>0</v>
      </c>
      <c r="G22" s="12">
        <v>0</v>
      </c>
      <c r="H22" s="12">
        <v>0</v>
      </c>
      <c r="I22" s="12">
        <v>0</v>
      </c>
      <c r="J22" s="12">
        <v>0</v>
      </c>
      <c r="K22" s="12">
        <v>0</v>
      </c>
      <c r="L22" s="12">
        <v>0</v>
      </c>
      <c r="M22" s="12">
        <v>0</v>
      </c>
      <c r="N22" s="12">
        <v>0</v>
      </c>
      <c r="O22" s="12">
        <v>0</v>
      </c>
      <c r="P22" s="12">
        <v>0</v>
      </c>
      <c r="Q22" s="12">
        <v>0</v>
      </c>
      <c r="R22" s="12">
        <v>0</v>
      </c>
      <c r="S22" s="12">
        <v>0</v>
      </c>
      <c r="T22" s="12">
        <v>0</v>
      </c>
      <c r="U22" s="12">
        <v>0</v>
      </c>
      <c r="V22" s="12">
        <v>0</v>
      </c>
      <c r="W22" s="12">
        <v>0</v>
      </c>
      <c r="X22" s="12">
        <v>0</v>
      </c>
      <c r="Y22" s="12">
        <v>0</v>
      </c>
      <c r="Z22" s="12">
        <v>0</v>
      </c>
      <c r="AA22" s="12">
        <v>0</v>
      </c>
      <c r="AB22" s="12">
        <v>0</v>
      </c>
      <c r="AC22" s="12">
        <v>0</v>
      </c>
      <c r="AD22" s="12">
        <v>0</v>
      </c>
      <c r="AE22" s="12">
        <v>0</v>
      </c>
      <c r="AF22" s="12">
        <v>0</v>
      </c>
      <c r="AG22" s="12">
        <v>0</v>
      </c>
      <c r="AH22" s="12">
        <v>0</v>
      </c>
      <c r="AI22" s="12">
        <v>0</v>
      </c>
      <c r="AJ22" s="12">
        <v>0</v>
      </c>
      <c r="AK22" s="12">
        <v>0</v>
      </c>
      <c r="AL22" s="12">
        <v>0</v>
      </c>
      <c r="AM22" s="12">
        <v>0</v>
      </c>
      <c r="AN22" s="12">
        <v>0</v>
      </c>
      <c r="AO22" s="12">
        <v>0</v>
      </c>
      <c r="AP22" s="12">
        <v>0</v>
      </c>
      <c r="AQ22" s="12">
        <v>0</v>
      </c>
      <c r="AR22" s="12">
        <v>0</v>
      </c>
      <c r="AS22" s="12">
        <v>0</v>
      </c>
      <c r="AT22" s="12">
        <v>0</v>
      </c>
      <c r="AU22" s="12">
        <v>0</v>
      </c>
      <c r="AV22" s="12">
        <v>0</v>
      </c>
      <c r="AW22" s="12">
        <v>0</v>
      </c>
      <c r="AX22" s="12">
        <v>0</v>
      </c>
      <c r="AY22" s="12">
        <v>0</v>
      </c>
      <c r="AZ22" s="12">
        <v>0</v>
      </c>
      <c r="BA22" s="12">
        <v>0</v>
      </c>
      <c r="BB22" s="12">
        <v>0</v>
      </c>
      <c r="BC22" s="12">
        <v>0</v>
      </c>
      <c r="BD22" s="12">
        <v>0</v>
      </c>
      <c r="BE22" s="12">
        <v>0</v>
      </c>
      <c r="BF22" s="12">
        <v>0</v>
      </c>
      <c r="BG22" s="12">
        <v>0</v>
      </c>
      <c r="BH22" s="12">
        <v>0</v>
      </c>
      <c r="BI22" s="12">
        <v>0</v>
      </c>
      <c r="BJ22" s="12">
        <v>0</v>
      </c>
      <c r="BK22" s="12">
        <v>0</v>
      </c>
      <c r="BL22" s="12">
        <v>0</v>
      </c>
      <c r="BM22" s="12">
        <v>0</v>
      </c>
      <c r="BN22" s="12">
        <v>0</v>
      </c>
      <c r="BO22" s="12">
        <v>0</v>
      </c>
      <c r="BP22" s="12">
        <v>0</v>
      </c>
      <c r="BQ22" s="12">
        <v>0</v>
      </c>
      <c r="BR22" s="12">
        <v>0</v>
      </c>
      <c r="BS22" s="12">
        <v>0</v>
      </c>
      <c r="BT22" s="12">
        <v>0</v>
      </c>
      <c r="BU22" s="12">
        <v>0</v>
      </c>
      <c r="BV22" s="12">
        <v>0</v>
      </c>
      <c r="BW22" s="12">
        <v>0</v>
      </c>
      <c r="BX22" s="12">
        <v>0</v>
      </c>
      <c r="BY22" s="12">
        <v>0</v>
      </c>
    </row>
    <row r="23" spans="1:77" x14ac:dyDescent="0.25">
      <c r="A23" s="152" t="s">
        <v>1251</v>
      </c>
      <c r="B23" s="12" t="s">
        <v>728</v>
      </c>
      <c r="C23" s="12">
        <v>0</v>
      </c>
      <c r="D23" s="12">
        <v>0</v>
      </c>
      <c r="E23" s="12">
        <v>0</v>
      </c>
      <c r="F23" s="12">
        <v>0</v>
      </c>
      <c r="G23" s="12">
        <v>0</v>
      </c>
      <c r="H23" s="12">
        <v>0</v>
      </c>
      <c r="I23" s="12">
        <v>0</v>
      </c>
      <c r="J23" s="12">
        <v>0</v>
      </c>
      <c r="K23" s="12">
        <v>0</v>
      </c>
      <c r="L23" s="12">
        <v>0</v>
      </c>
      <c r="M23" s="12">
        <v>0</v>
      </c>
      <c r="N23" s="12">
        <v>0</v>
      </c>
      <c r="O23" s="12">
        <v>0</v>
      </c>
      <c r="P23" s="12">
        <v>0</v>
      </c>
      <c r="Q23" s="12">
        <v>0</v>
      </c>
      <c r="R23" s="12">
        <v>0</v>
      </c>
      <c r="S23" s="12">
        <v>0</v>
      </c>
      <c r="T23" s="12">
        <v>0</v>
      </c>
      <c r="U23" s="12">
        <v>0</v>
      </c>
      <c r="V23" s="12">
        <v>0</v>
      </c>
      <c r="W23" s="12">
        <v>0</v>
      </c>
      <c r="X23" s="12">
        <v>0</v>
      </c>
      <c r="Y23" s="12">
        <v>0</v>
      </c>
      <c r="Z23" s="12">
        <v>0</v>
      </c>
      <c r="AA23" s="12">
        <v>0</v>
      </c>
      <c r="AB23" s="12">
        <v>0</v>
      </c>
      <c r="AC23" s="12">
        <v>0</v>
      </c>
      <c r="AD23" s="12">
        <v>0</v>
      </c>
      <c r="AE23" s="12">
        <v>0</v>
      </c>
      <c r="AF23" s="12">
        <v>0</v>
      </c>
      <c r="AG23" s="12">
        <v>0</v>
      </c>
      <c r="AH23" s="12">
        <v>0</v>
      </c>
      <c r="AI23" s="12">
        <v>0</v>
      </c>
      <c r="AJ23" s="12">
        <v>0</v>
      </c>
      <c r="AK23" s="12">
        <v>0</v>
      </c>
      <c r="AL23" s="12">
        <v>0</v>
      </c>
      <c r="AM23" s="12">
        <v>0</v>
      </c>
      <c r="AN23" s="12">
        <v>0</v>
      </c>
      <c r="AO23" s="12">
        <v>0</v>
      </c>
      <c r="AP23" s="12">
        <v>0</v>
      </c>
      <c r="AQ23" s="12">
        <v>0</v>
      </c>
      <c r="AR23" s="12">
        <v>0</v>
      </c>
      <c r="AS23" s="12">
        <v>0</v>
      </c>
      <c r="AT23" s="12">
        <v>0</v>
      </c>
      <c r="AU23" s="12">
        <v>0</v>
      </c>
      <c r="AV23" s="12">
        <v>0</v>
      </c>
      <c r="AW23" s="12">
        <v>0</v>
      </c>
      <c r="AX23" s="12">
        <v>0</v>
      </c>
      <c r="AY23" s="12">
        <v>0</v>
      </c>
      <c r="AZ23" s="12">
        <v>0</v>
      </c>
      <c r="BA23" s="12">
        <v>0</v>
      </c>
      <c r="BB23" s="12">
        <v>0</v>
      </c>
      <c r="BC23" s="12">
        <v>0</v>
      </c>
      <c r="BD23" s="12">
        <v>0</v>
      </c>
      <c r="BE23" s="12">
        <v>0</v>
      </c>
      <c r="BF23" s="12">
        <v>0</v>
      </c>
      <c r="BG23" s="12">
        <v>0</v>
      </c>
      <c r="BH23" s="12">
        <v>0</v>
      </c>
      <c r="BI23" s="12">
        <v>0</v>
      </c>
      <c r="BJ23" s="12">
        <v>0</v>
      </c>
      <c r="BK23" s="12">
        <v>0</v>
      </c>
      <c r="BL23" s="12">
        <v>0</v>
      </c>
      <c r="BM23" s="12">
        <v>0</v>
      </c>
      <c r="BN23" s="12">
        <v>0</v>
      </c>
      <c r="BO23" s="12">
        <v>0</v>
      </c>
      <c r="BP23" s="12">
        <v>0</v>
      </c>
      <c r="BQ23" s="12">
        <v>0</v>
      </c>
      <c r="BR23" s="12">
        <v>0</v>
      </c>
      <c r="BS23" s="12">
        <v>0</v>
      </c>
      <c r="BT23" s="12">
        <v>0</v>
      </c>
      <c r="BU23" s="12">
        <v>0</v>
      </c>
      <c r="BV23" s="12">
        <v>0</v>
      </c>
      <c r="BW23" s="12">
        <v>0</v>
      </c>
      <c r="BX23" s="12">
        <v>0</v>
      </c>
      <c r="BY23" s="12">
        <v>0</v>
      </c>
    </row>
    <row r="24" spans="1:77" x14ac:dyDescent="0.25">
      <c r="A24" s="152" t="s">
        <v>1252</v>
      </c>
      <c r="B24" s="12" t="s">
        <v>799</v>
      </c>
      <c r="C24" s="12">
        <v>36.853999999999999</v>
      </c>
      <c r="D24" s="12">
        <v>36.957999999999998</v>
      </c>
      <c r="E24" s="12">
        <v>37.026000000000003</v>
      </c>
      <c r="F24" s="12">
        <v>37.192999999999998</v>
      </c>
      <c r="G24" s="12">
        <v>37.284999999999997</v>
      </c>
      <c r="H24" s="12">
        <v>37.423999999999999</v>
      </c>
      <c r="I24" s="12">
        <v>37.212000000000003</v>
      </c>
      <c r="J24" s="12">
        <v>37.113999999999997</v>
      </c>
      <c r="K24" s="12">
        <v>37.195</v>
      </c>
      <c r="L24" s="12">
        <v>37.109000000000002</v>
      </c>
      <c r="M24" s="12">
        <v>37.273000000000003</v>
      </c>
      <c r="N24" s="12">
        <v>37.338000000000001</v>
      </c>
      <c r="O24" s="12">
        <v>37.262999999999998</v>
      </c>
      <c r="P24" s="12">
        <v>37.432000000000002</v>
      </c>
      <c r="Q24" s="12">
        <v>37.521999999999998</v>
      </c>
      <c r="R24" s="12">
        <v>37.601999999999997</v>
      </c>
      <c r="S24" s="12">
        <v>37.716000000000001</v>
      </c>
      <c r="T24" s="12">
        <v>37.786999999999999</v>
      </c>
      <c r="U24" s="12">
        <v>37.886000000000003</v>
      </c>
      <c r="V24" s="12">
        <v>37.817999999999998</v>
      </c>
      <c r="W24" s="12">
        <v>37.866999999999997</v>
      </c>
      <c r="X24" s="12">
        <v>37.817</v>
      </c>
      <c r="Y24" s="12">
        <v>37.805</v>
      </c>
      <c r="Z24" s="12">
        <v>37.805</v>
      </c>
      <c r="AA24" s="12">
        <v>37.792000000000002</v>
      </c>
      <c r="AB24" s="12">
        <v>37.856000000000002</v>
      </c>
      <c r="AC24" s="12">
        <v>37.792999999999999</v>
      </c>
      <c r="AD24" s="12">
        <v>37.798000000000002</v>
      </c>
      <c r="AE24" s="12">
        <v>37.792000000000002</v>
      </c>
      <c r="AF24" s="12">
        <v>37.752000000000002</v>
      </c>
      <c r="AG24" s="12">
        <v>37.662999999999997</v>
      </c>
      <c r="AH24" s="12">
        <v>37.606000000000002</v>
      </c>
      <c r="AI24" s="12">
        <v>37.704000000000001</v>
      </c>
      <c r="AJ24" s="12">
        <v>37.697000000000003</v>
      </c>
      <c r="AK24" s="12">
        <v>37.619</v>
      </c>
      <c r="AL24" s="12">
        <v>37.595999999999997</v>
      </c>
      <c r="AM24" s="12">
        <v>37.564999999999998</v>
      </c>
      <c r="AN24" s="12">
        <v>37.482999999999997</v>
      </c>
      <c r="AO24" s="12">
        <v>37.540999999999997</v>
      </c>
      <c r="AP24" s="12">
        <v>37.445999999999998</v>
      </c>
      <c r="AQ24" s="12">
        <v>37.42</v>
      </c>
      <c r="AR24" s="12">
        <v>37.488</v>
      </c>
      <c r="AS24" s="12">
        <v>37.64</v>
      </c>
      <c r="AT24" s="12">
        <v>37.674999999999997</v>
      </c>
      <c r="AU24" s="12">
        <v>37.57</v>
      </c>
      <c r="AV24" s="12">
        <v>37.503999999999998</v>
      </c>
      <c r="AW24" s="12">
        <v>37.534999999999997</v>
      </c>
      <c r="AX24" s="12">
        <v>37.453000000000003</v>
      </c>
      <c r="AY24" s="12">
        <v>37.417999999999999</v>
      </c>
      <c r="AZ24" s="12">
        <v>37.360999999999997</v>
      </c>
      <c r="BA24" s="12">
        <v>37.393999999999998</v>
      </c>
      <c r="BB24" s="12">
        <v>37.286999999999999</v>
      </c>
      <c r="BC24" s="12">
        <v>37.271999999999998</v>
      </c>
      <c r="BD24" s="12">
        <v>37.241999999999997</v>
      </c>
      <c r="BE24" s="12">
        <v>37.213000000000001</v>
      </c>
      <c r="BF24" s="12">
        <v>37.216999999999999</v>
      </c>
      <c r="BG24" s="12">
        <v>37.167000000000002</v>
      </c>
      <c r="BH24" s="12">
        <v>37.131</v>
      </c>
      <c r="BI24" s="12">
        <v>37.08</v>
      </c>
      <c r="BJ24" s="12">
        <v>37.048000000000002</v>
      </c>
      <c r="BK24" s="12">
        <v>37.015999999999998</v>
      </c>
      <c r="BL24" s="12">
        <v>36.968000000000004</v>
      </c>
      <c r="BM24" s="12">
        <v>36.933999999999997</v>
      </c>
      <c r="BN24" s="12">
        <v>37.03</v>
      </c>
      <c r="BO24" s="12">
        <v>36.979999999999997</v>
      </c>
      <c r="BP24" s="12">
        <v>36.948</v>
      </c>
      <c r="BQ24" s="12">
        <v>36.896999999999998</v>
      </c>
      <c r="BR24" s="12">
        <v>36.930999999999997</v>
      </c>
      <c r="BS24" s="12">
        <v>36.884999999999998</v>
      </c>
      <c r="BT24" s="12">
        <v>36.834000000000003</v>
      </c>
      <c r="BU24" s="12">
        <v>36.875999999999998</v>
      </c>
      <c r="BV24" s="12">
        <v>36.799999999999997</v>
      </c>
      <c r="BW24" s="12">
        <v>36.816000000000003</v>
      </c>
      <c r="BX24" s="12">
        <v>36.832999999999998</v>
      </c>
      <c r="BY24" s="12">
        <v>36.768000000000001</v>
      </c>
    </row>
    <row r="25" spans="1:77" x14ac:dyDescent="0.25">
      <c r="A25" s="152" t="s">
        <v>1253</v>
      </c>
      <c r="B25" s="12" t="s">
        <v>800</v>
      </c>
      <c r="C25" s="12">
        <v>-107.876</v>
      </c>
      <c r="D25" s="12">
        <v>-107.824</v>
      </c>
      <c r="E25" s="12">
        <v>-107.821</v>
      </c>
      <c r="F25" s="12">
        <v>-107.711</v>
      </c>
      <c r="G25" s="12">
        <v>-107.73699999999999</v>
      </c>
      <c r="H25" s="12">
        <v>-107.68899999999999</v>
      </c>
      <c r="I25" s="12">
        <v>-107.749</v>
      </c>
      <c r="J25" s="12">
        <v>-107.792</v>
      </c>
      <c r="K25" s="12">
        <v>-107.798</v>
      </c>
      <c r="L25" s="12">
        <v>-107.827</v>
      </c>
      <c r="M25" s="12">
        <v>-107.986</v>
      </c>
      <c r="N25" s="12">
        <v>-107.985</v>
      </c>
      <c r="O25" s="12">
        <v>-107.919</v>
      </c>
      <c r="P25" s="12">
        <v>-107.75700000000001</v>
      </c>
      <c r="Q25" s="12">
        <v>-107.723</v>
      </c>
      <c r="R25" s="12">
        <v>-107.646</v>
      </c>
      <c r="S25" s="12">
        <v>-107.58799999999999</v>
      </c>
      <c r="T25" s="12">
        <v>-107.578</v>
      </c>
      <c r="U25" s="12">
        <v>-107.577</v>
      </c>
      <c r="V25" s="12">
        <v>-107.626</v>
      </c>
      <c r="W25" s="12">
        <v>-107.663</v>
      </c>
      <c r="X25" s="12">
        <v>-107.664</v>
      </c>
      <c r="Y25" s="12">
        <v>-107.66200000000001</v>
      </c>
      <c r="Z25" s="12">
        <v>-107.66500000000001</v>
      </c>
      <c r="AA25" s="12">
        <v>-107.782</v>
      </c>
      <c r="AB25" s="12">
        <v>-107.73699999999999</v>
      </c>
      <c r="AC25" s="12">
        <v>-107.71</v>
      </c>
      <c r="AD25" s="12">
        <v>-107.67400000000001</v>
      </c>
      <c r="AE25" s="12">
        <v>-107.666</v>
      </c>
      <c r="AF25" s="12">
        <v>-107.661</v>
      </c>
      <c r="AG25" s="12">
        <v>-107.649</v>
      </c>
      <c r="AH25" s="12">
        <v>-107.729</v>
      </c>
      <c r="AI25" s="12">
        <v>-107.748</v>
      </c>
      <c r="AJ25" s="12">
        <v>-107.825</v>
      </c>
      <c r="AK25" s="12">
        <v>-107.803</v>
      </c>
      <c r="AL25" s="12">
        <v>-107.779</v>
      </c>
      <c r="AM25" s="12">
        <v>-107.756</v>
      </c>
      <c r="AN25" s="12">
        <v>-107.75700000000001</v>
      </c>
      <c r="AO25" s="12">
        <v>-107.824</v>
      </c>
      <c r="AP25" s="12">
        <v>-107.812</v>
      </c>
      <c r="AQ25" s="12">
        <v>-107.822</v>
      </c>
      <c r="AR25" s="12">
        <v>-107.991</v>
      </c>
      <c r="AS25" s="12">
        <v>-107.872</v>
      </c>
      <c r="AT25" s="12">
        <v>-107.926</v>
      </c>
      <c r="AU25" s="12">
        <v>-107.94799999999999</v>
      </c>
      <c r="AV25" s="12">
        <v>-107.905</v>
      </c>
      <c r="AW25" s="12">
        <v>-107.86199999999999</v>
      </c>
      <c r="AX25" s="12">
        <v>-107.893</v>
      </c>
      <c r="AY25" s="12">
        <v>-107.842</v>
      </c>
      <c r="AZ25" s="12">
        <v>-107.83799999999999</v>
      </c>
      <c r="BA25" s="12">
        <v>-107.944</v>
      </c>
      <c r="BB25" s="12">
        <v>-107.902</v>
      </c>
      <c r="BC25" s="12">
        <v>-107.879</v>
      </c>
      <c r="BD25" s="12">
        <v>-107.863</v>
      </c>
      <c r="BE25" s="12">
        <v>-107.84099999999999</v>
      </c>
      <c r="BF25" s="12">
        <v>-107.944</v>
      </c>
      <c r="BG25" s="12">
        <v>-107.925</v>
      </c>
      <c r="BH25" s="12">
        <v>-107.95099999999999</v>
      </c>
      <c r="BI25" s="12">
        <v>-107.886</v>
      </c>
      <c r="BJ25" s="12">
        <v>-107.854</v>
      </c>
      <c r="BK25" s="12">
        <v>-107.878</v>
      </c>
      <c r="BL25" s="12">
        <v>-107.86799999999999</v>
      </c>
      <c r="BM25" s="12">
        <v>-107.89</v>
      </c>
      <c r="BN25" s="12">
        <v>-107.934</v>
      </c>
      <c r="BO25" s="12">
        <v>-107.959</v>
      </c>
      <c r="BP25" s="12">
        <v>-107.929</v>
      </c>
      <c r="BQ25" s="12">
        <v>-107.872</v>
      </c>
      <c r="BR25" s="12">
        <v>-107.97799999999999</v>
      </c>
      <c r="BS25" s="12">
        <v>-107.95099999999999</v>
      </c>
      <c r="BT25" s="12">
        <v>-107.946</v>
      </c>
      <c r="BU25" s="12">
        <v>-108.03</v>
      </c>
      <c r="BV25" s="12">
        <v>-107.98399999999999</v>
      </c>
      <c r="BW25" s="12">
        <v>-108.04600000000001</v>
      </c>
      <c r="BX25" s="12">
        <v>-108.09699999999999</v>
      </c>
      <c r="BY25" s="12">
        <v>-108.131</v>
      </c>
    </row>
    <row r="26" spans="1:77" x14ac:dyDescent="0.25">
      <c r="A26" s="152" t="s">
        <v>1254</v>
      </c>
      <c r="B26" s="12" t="s">
        <v>729</v>
      </c>
      <c r="C26" s="12">
        <v>0</v>
      </c>
      <c r="D26" s="12">
        <v>0</v>
      </c>
      <c r="E26" s="12">
        <v>0</v>
      </c>
      <c r="F26" s="12">
        <v>0</v>
      </c>
      <c r="G26" s="12">
        <v>0</v>
      </c>
      <c r="H26" s="12">
        <v>0</v>
      </c>
      <c r="I26" s="12">
        <v>0</v>
      </c>
      <c r="J26" s="12">
        <v>0</v>
      </c>
      <c r="K26" s="12">
        <v>0</v>
      </c>
      <c r="L26" s="12">
        <v>0</v>
      </c>
      <c r="M26" s="12">
        <v>0</v>
      </c>
      <c r="N26" s="12">
        <v>0</v>
      </c>
      <c r="O26" s="12">
        <v>0</v>
      </c>
      <c r="P26" s="12">
        <v>0</v>
      </c>
      <c r="Q26" s="12">
        <v>0</v>
      </c>
      <c r="R26" s="12">
        <v>0</v>
      </c>
      <c r="S26" s="12">
        <v>0</v>
      </c>
      <c r="T26" s="12">
        <v>0</v>
      </c>
      <c r="U26" s="12">
        <v>0</v>
      </c>
      <c r="V26" s="12">
        <v>0</v>
      </c>
      <c r="W26" s="12">
        <v>0</v>
      </c>
      <c r="X26" s="12">
        <v>0</v>
      </c>
      <c r="Y26" s="12">
        <v>0</v>
      </c>
      <c r="Z26" s="12">
        <v>0</v>
      </c>
      <c r="AA26" s="12">
        <v>0</v>
      </c>
      <c r="AB26" s="12">
        <v>0</v>
      </c>
      <c r="AC26" s="12">
        <v>0</v>
      </c>
      <c r="AD26" s="12">
        <v>0</v>
      </c>
      <c r="AE26" s="12">
        <v>0</v>
      </c>
      <c r="AF26" s="12">
        <v>0</v>
      </c>
      <c r="AG26" s="12">
        <v>0</v>
      </c>
      <c r="AH26" s="12">
        <v>0</v>
      </c>
      <c r="AI26" s="12">
        <v>0</v>
      </c>
      <c r="AJ26" s="12">
        <v>0</v>
      </c>
      <c r="AK26" s="12">
        <v>0</v>
      </c>
      <c r="AL26" s="12">
        <v>0</v>
      </c>
      <c r="AM26" s="12">
        <v>0</v>
      </c>
      <c r="AN26" s="12">
        <v>0</v>
      </c>
      <c r="AO26" s="12">
        <v>0</v>
      </c>
      <c r="AP26" s="12">
        <v>0</v>
      </c>
      <c r="AQ26" s="12">
        <v>0</v>
      </c>
      <c r="AR26" s="12">
        <v>0</v>
      </c>
      <c r="AS26" s="12">
        <v>0</v>
      </c>
      <c r="AT26" s="12">
        <v>0</v>
      </c>
      <c r="AU26" s="12">
        <v>0</v>
      </c>
      <c r="AV26" s="12">
        <v>0</v>
      </c>
      <c r="AW26" s="12">
        <v>0</v>
      </c>
      <c r="AX26" s="12">
        <v>0</v>
      </c>
      <c r="AY26" s="12">
        <v>0</v>
      </c>
      <c r="AZ26" s="12">
        <v>0</v>
      </c>
      <c r="BA26" s="12">
        <v>0</v>
      </c>
      <c r="BB26" s="12">
        <v>0</v>
      </c>
      <c r="BC26" s="12">
        <v>0</v>
      </c>
      <c r="BD26" s="12">
        <v>0</v>
      </c>
      <c r="BE26" s="12">
        <v>0</v>
      </c>
      <c r="BF26" s="12">
        <v>0</v>
      </c>
      <c r="BG26" s="12">
        <v>0</v>
      </c>
      <c r="BH26" s="12">
        <v>0</v>
      </c>
      <c r="BI26" s="12">
        <v>0</v>
      </c>
      <c r="BJ26" s="12">
        <v>0</v>
      </c>
      <c r="BK26" s="12">
        <v>0</v>
      </c>
      <c r="BL26" s="12">
        <v>0</v>
      </c>
      <c r="BM26" s="12">
        <v>0</v>
      </c>
      <c r="BN26" s="12">
        <v>0</v>
      </c>
      <c r="BO26" s="12">
        <v>0</v>
      </c>
      <c r="BP26" s="12">
        <v>0</v>
      </c>
      <c r="BQ26" s="12">
        <v>0</v>
      </c>
      <c r="BR26" s="12">
        <v>0</v>
      </c>
      <c r="BS26" s="12">
        <v>0</v>
      </c>
      <c r="BT26" s="12">
        <v>0</v>
      </c>
      <c r="BU26" s="12">
        <v>0</v>
      </c>
      <c r="BV26" s="12">
        <v>0</v>
      </c>
      <c r="BW26" s="12">
        <v>0</v>
      </c>
      <c r="BX26" s="12">
        <v>0</v>
      </c>
      <c r="BY26" s="12">
        <v>0</v>
      </c>
    </row>
    <row r="27" spans="1:77" x14ac:dyDescent="0.25">
      <c r="A27" s="152" t="s">
        <v>1600</v>
      </c>
      <c r="B27" s="12" t="s">
        <v>1601</v>
      </c>
      <c r="C27" s="12">
        <v>0</v>
      </c>
      <c r="D27" s="12">
        <v>0</v>
      </c>
      <c r="E27" s="12">
        <v>0</v>
      </c>
      <c r="F27" s="12">
        <v>0</v>
      </c>
      <c r="G27" s="12">
        <v>0</v>
      </c>
      <c r="H27" s="12">
        <v>0</v>
      </c>
      <c r="I27" s="12">
        <v>0</v>
      </c>
      <c r="J27" s="12">
        <v>0</v>
      </c>
      <c r="K27" s="12">
        <v>0</v>
      </c>
      <c r="L27" s="12">
        <v>0</v>
      </c>
      <c r="M27" s="12">
        <v>0</v>
      </c>
      <c r="N27" s="12">
        <v>0</v>
      </c>
      <c r="O27" s="12">
        <v>0</v>
      </c>
      <c r="P27" s="12">
        <v>0</v>
      </c>
      <c r="Q27" s="12">
        <v>0</v>
      </c>
      <c r="R27" s="12">
        <v>0</v>
      </c>
      <c r="S27" s="12">
        <v>0</v>
      </c>
      <c r="T27" s="12">
        <v>0</v>
      </c>
      <c r="U27" s="12">
        <v>0</v>
      </c>
      <c r="V27" s="12">
        <v>0</v>
      </c>
      <c r="W27" s="12">
        <v>0</v>
      </c>
      <c r="X27" s="12">
        <v>0</v>
      </c>
      <c r="Y27" s="12">
        <v>0</v>
      </c>
      <c r="Z27" s="12">
        <v>0</v>
      </c>
      <c r="AA27" s="12">
        <v>0</v>
      </c>
      <c r="AB27" s="12">
        <v>0</v>
      </c>
      <c r="AC27" s="12">
        <v>0</v>
      </c>
      <c r="AD27" s="12">
        <v>0</v>
      </c>
      <c r="AE27" s="12">
        <v>0</v>
      </c>
      <c r="AF27" s="12">
        <v>0</v>
      </c>
      <c r="AG27" s="12">
        <v>0</v>
      </c>
      <c r="AH27" s="12">
        <v>0</v>
      </c>
      <c r="AI27" s="12">
        <v>0</v>
      </c>
      <c r="AJ27" s="12">
        <v>0</v>
      </c>
      <c r="AK27" s="12">
        <v>0</v>
      </c>
      <c r="AL27" s="12">
        <v>0</v>
      </c>
      <c r="AM27" s="12">
        <v>0</v>
      </c>
      <c r="AN27" s="12">
        <v>0</v>
      </c>
      <c r="AO27" s="12">
        <v>0</v>
      </c>
      <c r="AP27" s="12">
        <v>0</v>
      </c>
      <c r="AQ27" s="12">
        <v>0</v>
      </c>
      <c r="AR27" s="12">
        <v>0</v>
      </c>
      <c r="AS27" s="12">
        <v>0</v>
      </c>
      <c r="AT27" s="12">
        <v>0</v>
      </c>
      <c r="AU27" s="12">
        <v>0</v>
      </c>
      <c r="AV27" s="12">
        <v>0</v>
      </c>
      <c r="AW27" s="12">
        <v>0</v>
      </c>
      <c r="AX27" s="12">
        <v>0</v>
      </c>
      <c r="AY27" s="12">
        <v>0</v>
      </c>
      <c r="AZ27" s="12">
        <v>0</v>
      </c>
      <c r="BA27" s="12">
        <v>0</v>
      </c>
      <c r="BB27" s="12">
        <v>0</v>
      </c>
      <c r="BC27" s="12">
        <v>0</v>
      </c>
      <c r="BD27" s="12">
        <v>0</v>
      </c>
      <c r="BE27" s="12">
        <v>0</v>
      </c>
      <c r="BF27" s="12">
        <v>0</v>
      </c>
      <c r="BG27" s="12">
        <v>0</v>
      </c>
      <c r="BH27" s="12">
        <v>0</v>
      </c>
      <c r="BI27" s="12">
        <v>0</v>
      </c>
      <c r="BJ27" s="12">
        <v>0</v>
      </c>
      <c r="BK27" s="12">
        <v>0</v>
      </c>
      <c r="BL27" s="12">
        <v>0</v>
      </c>
      <c r="BM27" s="12">
        <v>0</v>
      </c>
      <c r="BN27" s="12">
        <v>0</v>
      </c>
      <c r="BO27" s="12">
        <v>0</v>
      </c>
      <c r="BP27" s="12">
        <v>0</v>
      </c>
      <c r="BQ27" s="12">
        <v>0</v>
      </c>
      <c r="BR27" s="12">
        <v>0</v>
      </c>
      <c r="BS27" s="12">
        <v>0</v>
      </c>
      <c r="BT27" s="12">
        <v>0</v>
      </c>
      <c r="BU27" s="12">
        <v>0</v>
      </c>
      <c r="BV27" s="12">
        <v>0</v>
      </c>
      <c r="BW27" s="12">
        <v>0</v>
      </c>
      <c r="BX27" s="12">
        <v>0</v>
      </c>
      <c r="BY27" s="12">
        <v>0</v>
      </c>
    </row>
    <row r="28" spans="1:77" x14ac:dyDescent="0.25">
      <c r="A28" s="152" t="s">
        <v>1255</v>
      </c>
      <c r="B28" s="12" t="s">
        <v>798</v>
      </c>
      <c r="C28" s="12">
        <v>0</v>
      </c>
      <c r="D28" s="12">
        <v>0</v>
      </c>
      <c r="E28" s="12">
        <v>0</v>
      </c>
      <c r="F28" s="12">
        <v>0</v>
      </c>
      <c r="G28" s="12">
        <v>0</v>
      </c>
      <c r="H28" s="12">
        <v>0</v>
      </c>
      <c r="I28" s="12">
        <v>0</v>
      </c>
      <c r="J28" s="12">
        <v>0</v>
      </c>
      <c r="K28" s="12">
        <v>0</v>
      </c>
      <c r="L28" s="12">
        <v>0</v>
      </c>
      <c r="M28" s="12">
        <v>0</v>
      </c>
      <c r="N28" s="12">
        <v>0</v>
      </c>
      <c r="O28" s="12">
        <v>0</v>
      </c>
      <c r="P28" s="12">
        <v>0</v>
      </c>
      <c r="Q28" s="12">
        <v>0</v>
      </c>
      <c r="R28" s="12">
        <v>0</v>
      </c>
      <c r="S28" s="12">
        <v>0</v>
      </c>
      <c r="T28" s="12">
        <v>0</v>
      </c>
      <c r="U28" s="12">
        <v>0</v>
      </c>
      <c r="V28" s="12">
        <v>0</v>
      </c>
      <c r="W28" s="12">
        <v>0</v>
      </c>
      <c r="X28" s="12">
        <v>0</v>
      </c>
      <c r="Y28" s="12">
        <v>0</v>
      </c>
      <c r="Z28" s="12">
        <v>0</v>
      </c>
      <c r="AA28" s="12">
        <v>0</v>
      </c>
      <c r="AB28" s="12">
        <v>0</v>
      </c>
      <c r="AC28" s="12">
        <v>0</v>
      </c>
      <c r="AD28" s="12">
        <v>0</v>
      </c>
      <c r="AE28" s="12">
        <v>0</v>
      </c>
      <c r="AF28" s="12">
        <v>0</v>
      </c>
      <c r="AG28" s="12">
        <v>0</v>
      </c>
      <c r="AH28" s="12">
        <v>0</v>
      </c>
      <c r="AI28" s="12">
        <v>0</v>
      </c>
      <c r="AJ28" s="12">
        <v>0</v>
      </c>
      <c r="AK28" s="12">
        <v>0</v>
      </c>
      <c r="AL28" s="12">
        <v>0</v>
      </c>
      <c r="AM28" s="12">
        <v>0</v>
      </c>
      <c r="AN28" s="12">
        <v>0</v>
      </c>
      <c r="AO28" s="12">
        <v>0</v>
      </c>
      <c r="AP28" s="12">
        <v>0</v>
      </c>
      <c r="AQ28" s="12">
        <v>0</v>
      </c>
      <c r="AR28" s="12">
        <v>0</v>
      </c>
      <c r="AS28" s="12">
        <v>0</v>
      </c>
      <c r="AT28" s="12">
        <v>0</v>
      </c>
      <c r="AU28" s="12">
        <v>0</v>
      </c>
      <c r="AV28" s="12">
        <v>0</v>
      </c>
      <c r="AW28" s="12">
        <v>0</v>
      </c>
      <c r="AX28" s="12">
        <v>0</v>
      </c>
      <c r="AY28" s="12">
        <v>0</v>
      </c>
      <c r="AZ28" s="12">
        <v>0</v>
      </c>
      <c r="BA28" s="12">
        <v>0</v>
      </c>
      <c r="BB28" s="12">
        <v>0</v>
      </c>
      <c r="BC28" s="12">
        <v>0</v>
      </c>
      <c r="BD28" s="12">
        <v>0</v>
      </c>
      <c r="BE28" s="12">
        <v>0</v>
      </c>
      <c r="BF28" s="12">
        <v>0</v>
      </c>
      <c r="BG28" s="12">
        <v>0</v>
      </c>
      <c r="BH28" s="12">
        <v>0</v>
      </c>
      <c r="BI28" s="12">
        <v>0</v>
      </c>
      <c r="BJ28" s="12">
        <v>0</v>
      </c>
      <c r="BK28" s="12">
        <v>0</v>
      </c>
      <c r="BL28" s="12">
        <v>0</v>
      </c>
      <c r="BM28" s="12">
        <v>0</v>
      </c>
      <c r="BN28" s="12">
        <v>0</v>
      </c>
      <c r="BO28" s="12">
        <v>0</v>
      </c>
      <c r="BP28" s="12">
        <v>0</v>
      </c>
      <c r="BQ28" s="12">
        <v>0</v>
      </c>
      <c r="BR28" s="12">
        <v>0</v>
      </c>
      <c r="BS28" s="12">
        <v>0</v>
      </c>
      <c r="BT28" s="12">
        <v>0</v>
      </c>
      <c r="BU28" s="12">
        <v>0</v>
      </c>
      <c r="BV28" s="12">
        <v>0</v>
      </c>
      <c r="BW28" s="12">
        <v>0</v>
      </c>
      <c r="BX28" s="12">
        <v>0</v>
      </c>
      <c r="BY28" s="12">
        <v>0</v>
      </c>
    </row>
    <row r="29" spans="1:77" x14ac:dyDescent="0.25">
      <c r="A29" s="152" t="s">
        <v>1256</v>
      </c>
      <c r="B29" s="12" t="s">
        <v>797</v>
      </c>
      <c r="C29" s="12">
        <v>0</v>
      </c>
      <c r="D29" s="12">
        <v>0</v>
      </c>
      <c r="E29" s="12">
        <v>0</v>
      </c>
      <c r="F29" s="12">
        <v>0</v>
      </c>
      <c r="G29" s="12">
        <v>0</v>
      </c>
      <c r="H29" s="12">
        <v>0</v>
      </c>
      <c r="I29" s="12">
        <v>0</v>
      </c>
      <c r="J29" s="12">
        <v>0</v>
      </c>
      <c r="K29" s="12">
        <v>0</v>
      </c>
      <c r="L29" s="12">
        <v>0</v>
      </c>
      <c r="M29" s="12">
        <v>0</v>
      </c>
      <c r="N29" s="12">
        <v>0</v>
      </c>
      <c r="O29" s="12">
        <v>0</v>
      </c>
      <c r="P29" s="12">
        <v>0</v>
      </c>
      <c r="Q29" s="12">
        <v>0</v>
      </c>
      <c r="R29" s="12">
        <v>0</v>
      </c>
      <c r="S29" s="12">
        <v>0</v>
      </c>
      <c r="T29" s="12">
        <v>0</v>
      </c>
      <c r="U29" s="12">
        <v>0</v>
      </c>
      <c r="V29" s="12">
        <v>0</v>
      </c>
      <c r="W29" s="12">
        <v>0</v>
      </c>
      <c r="X29" s="12">
        <v>0</v>
      </c>
      <c r="Y29" s="12">
        <v>0</v>
      </c>
      <c r="Z29" s="12">
        <v>0</v>
      </c>
      <c r="AA29" s="12">
        <v>0</v>
      </c>
      <c r="AB29" s="12">
        <v>0</v>
      </c>
      <c r="AC29" s="12">
        <v>0</v>
      </c>
      <c r="AD29" s="12">
        <v>0</v>
      </c>
      <c r="AE29" s="12">
        <v>0</v>
      </c>
      <c r="AF29" s="12">
        <v>0</v>
      </c>
      <c r="AG29" s="12">
        <v>0</v>
      </c>
      <c r="AH29" s="12">
        <v>0</v>
      </c>
      <c r="AI29" s="12">
        <v>0</v>
      </c>
      <c r="AJ29" s="12">
        <v>0</v>
      </c>
      <c r="AK29" s="12">
        <v>0</v>
      </c>
      <c r="AL29" s="12">
        <v>0</v>
      </c>
      <c r="AM29" s="12">
        <v>0</v>
      </c>
      <c r="AN29" s="12">
        <v>0</v>
      </c>
      <c r="AO29" s="12">
        <v>0</v>
      </c>
      <c r="AP29" s="12">
        <v>0</v>
      </c>
      <c r="AQ29" s="12">
        <v>0</v>
      </c>
      <c r="AR29" s="12">
        <v>0</v>
      </c>
      <c r="AS29" s="12">
        <v>0</v>
      </c>
      <c r="AT29" s="12">
        <v>0</v>
      </c>
      <c r="AU29" s="12">
        <v>0</v>
      </c>
      <c r="AV29" s="12">
        <v>0</v>
      </c>
      <c r="AW29" s="12">
        <v>0</v>
      </c>
      <c r="AX29" s="12">
        <v>0</v>
      </c>
      <c r="AY29" s="12">
        <v>0</v>
      </c>
      <c r="AZ29" s="12">
        <v>0</v>
      </c>
      <c r="BA29" s="12">
        <v>0</v>
      </c>
      <c r="BB29" s="12">
        <v>0</v>
      </c>
      <c r="BC29" s="12">
        <v>0</v>
      </c>
      <c r="BD29" s="12">
        <v>0</v>
      </c>
      <c r="BE29" s="12">
        <v>0</v>
      </c>
      <c r="BF29" s="12">
        <v>0</v>
      </c>
      <c r="BG29" s="12">
        <v>0</v>
      </c>
      <c r="BH29" s="12">
        <v>0</v>
      </c>
      <c r="BI29" s="12">
        <v>0</v>
      </c>
      <c r="BJ29" s="12">
        <v>0</v>
      </c>
      <c r="BK29" s="12">
        <v>0</v>
      </c>
      <c r="BL29" s="12">
        <v>0</v>
      </c>
      <c r="BM29" s="12">
        <v>0</v>
      </c>
      <c r="BN29" s="12">
        <v>0</v>
      </c>
      <c r="BO29" s="12">
        <v>0</v>
      </c>
      <c r="BP29" s="12">
        <v>0</v>
      </c>
      <c r="BQ29" s="12">
        <v>0</v>
      </c>
      <c r="BR29" s="12">
        <v>0</v>
      </c>
      <c r="BS29" s="12">
        <v>0</v>
      </c>
      <c r="BT29" s="12">
        <v>0</v>
      </c>
      <c r="BU29" s="12">
        <v>0</v>
      </c>
      <c r="BV29" s="12">
        <v>0</v>
      </c>
      <c r="BW29" s="12">
        <v>0</v>
      </c>
      <c r="BX29" s="12">
        <v>0</v>
      </c>
      <c r="BY29" s="12">
        <v>0</v>
      </c>
    </row>
    <row r="30" spans="1:77" x14ac:dyDescent="0.25">
      <c r="A30" s="152" t="s">
        <v>1257</v>
      </c>
      <c r="B30" s="12" t="s">
        <v>796</v>
      </c>
      <c r="C30" s="12">
        <v>0</v>
      </c>
      <c r="D30" s="12">
        <v>0</v>
      </c>
      <c r="E30" s="12">
        <v>0</v>
      </c>
      <c r="F30" s="12">
        <v>0</v>
      </c>
      <c r="G30" s="12">
        <v>0</v>
      </c>
      <c r="H30" s="12">
        <v>0</v>
      </c>
      <c r="I30" s="12">
        <v>0</v>
      </c>
      <c r="J30" s="12">
        <v>0</v>
      </c>
      <c r="K30" s="12">
        <v>0</v>
      </c>
      <c r="L30" s="12">
        <v>0</v>
      </c>
      <c r="M30" s="12">
        <v>0</v>
      </c>
      <c r="N30" s="12">
        <v>0</v>
      </c>
      <c r="O30" s="12">
        <v>0</v>
      </c>
      <c r="P30" s="12">
        <v>0</v>
      </c>
      <c r="Q30" s="12">
        <v>0</v>
      </c>
      <c r="R30" s="12">
        <v>0</v>
      </c>
      <c r="S30" s="12">
        <v>0</v>
      </c>
      <c r="T30" s="12">
        <v>0</v>
      </c>
      <c r="U30" s="12">
        <v>0</v>
      </c>
      <c r="V30" s="12">
        <v>0</v>
      </c>
      <c r="W30" s="12">
        <v>0</v>
      </c>
      <c r="X30" s="12">
        <v>0</v>
      </c>
      <c r="Y30" s="12">
        <v>0</v>
      </c>
      <c r="Z30" s="12">
        <v>0</v>
      </c>
      <c r="AA30" s="12">
        <v>0</v>
      </c>
      <c r="AB30" s="12">
        <v>0</v>
      </c>
      <c r="AC30" s="12">
        <v>0</v>
      </c>
      <c r="AD30" s="12">
        <v>0</v>
      </c>
      <c r="AE30" s="12">
        <v>0</v>
      </c>
      <c r="AF30" s="12">
        <v>0</v>
      </c>
      <c r="AG30" s="12">
        <v>0</v>
      </c>
      <c r="AH30" s="12">
        <v>0</v>
      </c>
      <c r="AI30" s="12">
        <v>0</v>
      </c>
      <c r="AJ30" s="12">
        <v>0</v>
      </c>
      <c r="AK30" s="12">
        <v>0</v>
      </c>
      <c r="AL30" s="12">
        <v>0</v>
      </c>
      <c r="AM30" s="12">
        <v>0</v>
      </c>
      <c r="AN30" s="12">
        <v>0</v>
      </c>
      <c r="AO30" s="12">
        <v>0</v>
      </c>
      <c r="AP30" s="12">
        <v>0</v>
      </c>
      <c r="AQ30" s="12">
        <v>0</v>
      </c>
      <c r="AR30" s="12">
        <v>0</v>
      </c>
      <c r="AS30" s="12">
        <v>0</v>
      </c>
      <c r="AT30" s="12">
        <v>0</v>
      </c>
      <c r="AU30" s="12">
        <v>0</v>
      </c>
      <c r="AV30" s="12">
        <v>0</v>
      </c>
      <c r="AW30" s="12">
        <v>0</v>
      </c>
      <c r="AX30" s="12">
        <v>0</v>
      </c>
      <c r="AY30" s="12">
        <v>0</v>
      </c>
      <c r="AZ30" s="12">
        <v>0</v>
      </c>
      <c r="BA30" s="12">
        <v>0</v>
      </c>
      <c r="BB30" s="12">
        <v>0</v>
      </c>
      <c r="BC30" s="12">
        <v>0</v>
      </c>
      <c r="BD30" s="12">
        <v>0</v>
      </c>
      <c r="BE30" s="12">
        <v>0</v>
      </c>
      <c r="BF30" s="12">
        <v>0</v>
      </c>
      <c r="BG30" s="12">
        <v>0</v>
      </c>
      <c r="BH30" s="12">
        <v>0</v>
      </c>
      <c r="BI30" s="12">
        <v>0</v>
      </c>
      <c r="BJ30" s="12">
        <v>0</v>
      </c>
      <c r="BK30" s="12">
        <v>0</v>
      </c>
      <c r="BL30" s="12">
        <v>0</v>
      </c>
      <c r="BM30" s="12">
        <v>0</v>
      </c>
      <c r="BN30" s="12">
        <v>0</v>
      </c>
      <c r="BO30" s="12">
        <v>0</v>
      </c>
      <c r="BP30" s="12">
        <v>0</v>
      </c>
      <c r="BQ30" s="12">
        <v>0</v>
      </c>
      <c r="BR30" s="12">
        <v>0</v>
      </c>
      <c r="BS30" s="12">
        <v>0</v>
      </c>
      <c r="BT30" s="12">
        <v>0</v>
      </c>
      <c r="BU30" s="12">
        <v>0</v>
      </c>
      <c r="BV30" s="12">
        <v>0</v>
      </c>
      <c r="BW30" s="12">
        <v>0</v>
      </c>
      <c r="BX30" s="12">
        <v>0</v>
      </c>
      <c r="BY30" s="12">
        <v>0</v>
      </c>
    </row>
    <row r="31" spans="1:77" x14ac:dyDescent="0.25">
      <c r="A31" s="152"/>
      <c r="B31" s="12"/>
    </row>
    <row r="32" spans="1:77" x14ac:dyDescent="0.25">
      <c r="A32" s="191" t="s">
        <v>1580</v>
      </c>
      <c r="B32" s="12"/>
    </row>
    <row r="33" spans="1:164" x14ac:dyDescent="0.25">
      <c r="A33" s="152" t="s">
        <v>1258</v>
      </c>
      <c r="B33" s="12" t="s">
        <v>730</v>
      </c>
      <c r="C33" s="12">
        <v>3625.83</v>
      </c>
      <c r="D33" s="12">
        <v>4114.8</v>
      </c>
      <c r="E33" s="12">
        <v>4246.2</v>
      </c>
      <c r="F33" s="12">
        <v>6942.69</v>
      </c>
      <c r="G33" s="12">
        <v>2952</v>
      </c>
      <c r="H33" s="12">
        <v>-30168.3</v>
      </c>
      <c r="I33" s="12">
        <v>-4167.09</v>
      </c>
      <c r="J33" s="12">
        <v>3205.62</v>
      </c>
      <c r="K33" s="12">
        <v>-2730.6</v>
      </c>
      <c r="L33" s="12">
        <v>7082.82</v>
      </c>
      <c r="M33" s="12">
        <v>3349.08</v>
      </c>
      <c r="N33" s="12">
        <v>-9693.6299999999992</v>
      </c>
      <c r="O33" s="12">
        <v>3361.59</v>
      </c>
      <c r="P33" s="12">
        <v>4279.7700000000004</v>
      </c>
      <c r="Q33" s="12">
        <v>4308.12</v>
      </c>
      <c r="R33" s="12">
        <v>3897</v>
      </c>
      <c r="S33" s="12">
        <v>5045.3999999999996</v>
      </c>
      <c r="T33" s="12">
        <v>3556.8</v>
      </c>
      <c r="U33" s="12">
        <v>-11065.6</v>
      </c>
      <c r="V33" s="12">
        <v>3754.17</v>
      </c>
      <c r="W33" s="12">
        <v>5160.96</v>
      </c>
      <c r="X33" s="12">
        <v>86.76</v>
      </c>
      <c r="Y33" s="12">
        <v>-17.73</v>
      </c>
      <c r="Z33" s="12">
        <v>189.72</v>
      </c>
      <c r="AA33" s="12">
        <v>5783.94</v>
      </c>
      <c r="AB33" s="12">
        <v>-5214.33</v>
      </c>
      <c r="AC33" s="12">
        <v>2492.0100000000002</v>
      </c>
      <c r="AD33" s="12">
        <v>-175.95</v>
      </c>
      <c r="AE33" s="12">
        <v>246.15</v>
      </c>
      <c r="AF33" s="12">
        <v>-6338.34</v>
      </c>
      <c r="AG33" s="12">
        <v>-9941.49</v>
      </c>
      <c r="AH33" s="12">
        <v>3083.94</v>
      </c>
      <c r="AI33" s="12">
        <v>10549.1</v>
      </c>
      <c r="AJ33" s="12">
        <v>-9726.93</v>
      </c>
      <c r="AK33" s="12">
        <v>1751.4</v>
      </c>
      <c r="AL33" s="12">
        <v>-22.68</v>
      </c>
      <c r="AM33" s="12">
        <v>-5792.49</v>
      </c>
      <c r="AN33" s="12">
        <v>3861.45</v>
      </c>
      <c r="AO33" s="12">
        <v>-6690.69</v>
      </c>
      <c r="AP33" s="12">
        <v>-1227.96</v>
      </c>
      <c r="AQ33" s="12">
        <v>593.82000000000005</v>
      </c>
      <c r="AR33" s="12">
        <v>6015.96</v>
      </c>
      <c r="AS33" s="12">
        <v>4414.95</v>
      </c>
      <c r="AT33" s="12">
        <v>-5089.5</v>
      </c>
      <c r="AU33" s="12">
        <v>-14225.5</v>
      </c>
      <c r="AV33" s="12">
        <v>1760.4</v>
      </c>
      <c r="AW33" s="12">
        <v>-3859.2</v>
      </c>
      <c r="AX33" s="12">
        <v>8064.9</v>
      </c>
      <c r="AY33" s="12">
        <v>-454.05</v>
      </c>
      <c r="AZ33" s="12">
        <v>12581.3</v>
      </c>
      <c r="BA33" s="12">
        <v>-9918.7199999999993</v>
      </c>
      <c r="BB33" s="12">
        <v>312.66000000000003</v>
      </c>
      <c r="BC33" s="12">
        <v>-365.31</v>
      </c>
      <c r="BD33" s="12">
        <v>3446.28</v>
      </c>
      <c r="BE33" s="12">
        <v>3281.04</v>
      </c>
      <c r="BF33" s="12">
        <v>-4614.4799999999996</v>
      </c>
      <c r="BG33" s="12">
        <v>7242.75</v>
      </c>
      <c r="BH33" s="12">
        <v>-2719.71</v>
      </c>
      <c r="BI33" s="12">
        <v>-6469.02</v>
      </c>
      <c r="BJ33" s="12">
        <v>1705.14</v>
      </c>
      <c r="BK33" s="12">
        <v>-1702.53</v>
      </c>
      <c r="BL33" s="12">
        <v>-2794.59</v>
      </c>
      <c r="BM33" s="12">
        <v>272.25</v>
      </c>
      <c r="BN33" s="12">
        <v>5669.19</v>
      </c>
      <c r="BO33" s="12">
        <v>-3182.4</v>
      </c>
      <c r="BP33" s="12">
        <v>-1680.75</v>
      </c>
      <c r="BQ33" s="12">
        <v>6165.54</v>
      </c>
      <c r="BR33" s="12">
        <v>-2980.08</v>
      </c>
      <c r="BS33" s="12">
        <v>-1314.63</v>
      </c>
      <c r="BT33" s="12">
        <v>8530.92</v>
      </c>
      <c r="BU33" s="12">
        <v>-3296.97</v>
      </c>
      <c r="BV33" s="12">
        <v>2225.61</v>
      </c>
      <c r="BW33" s="12">
        <v>6449.04</v>
      </c>
      <c r="BX33" s="12">
        <v>-2708.01</v>
      </c>
      <c r="BY33" s="12">
        <v>8212.0499999999993</v>
      </c>
    </row>
    <row r="34" spans="1:164" x14ac:dyDescent="0.25">
      <c r="A34" s="152" t="s">
        <v>1485</v>
      </c>
      <c r="B34" s="12" t="s">
        <v>731</v>
      </c>
      <c r="C34" s="12">
        <v>14.612</v>
      </c>
      <c r="D34" s="12">
        <v>15.74</v>
      </c>
      <c r="E34" s="12">
        <v>13.939</v>
      </c>
      <c r="F34" s="12">
        <v>23.616</v>
      </c>
      <c r="G34" s="12">
        <v>11.558</v>
      </c>
      <c r="H34" s="12">
        <v>56.826000000000001</v>
      </c>
      <c r="I34" s="12">
        <v>21.861999999999998</v>
      </c>
      <c r="J34" s="12">
        <v>18.5</v>
      </c>
      <c r="K34" s="12">
        <v>17.495000000000001</v>
      </c>
      <c r="L34" s="12">
        <v>24.062000000000001</v>
      </c>
      <c r="M34" s="12">
        <v>12.615</v>
      </c>
      <c r="N34" s="12">
        <v>21.093</v>
      </c>
      <c r="O34" s="12">
        <v>17.704000000000001</v>
      </c>
      <c r="P34" s="12">
        <v>12.273999999999999</v>
      </c>
      <c r="Q34" s="12">
        <v>16.488</v>
      </c>
      <c r="R34" s="12">
        <v>13.545</v>
      </c>
      <c r="S34" s="12">
        <v>14.199</v>
      </c>
      <c r="T34" s="12">
        <v>12.57</v>
      </c>
      <c r="U34" s="12">
        <v>19.861999999999998</v>
      </c>
      <c r="V34" s="12">
        <v>11.58</v>
      </c>
      <c r="W34" s="12">
        <v>15.88</v>
      </c>
      <c r="X34" s="12">
        <v>2.1120000000000001</v>
      </c>
      <c r="Y34" s="12">
        <v>1.7350000000000001</v>
      </c>
      <c r="Z34" s="12">
        <v>3.05</v>
      </c>
      <c r="AA34" s="12">
        <v>15.193</v>
      </c>
      <c r="AB34" s="12">
        <v>13.83</v>
      </c>
      <c r="AC34" s="12">
        <v>10.304</v>
      </c>
      <c r="AD34" s="12">
        <v>3.0350000000000001</v>
      </c>
      <c r="AE34" s="12">
        <v>2.8540000000000001</v>
      </c>
      <c r="AF34" s="12">
        <v>13.196999999999999</v>
      </c>
      <c r="AG34" s="12">
        <v>18.795000000000002</v>
      </c>
      <c r="AH34" s="12">
        <v>11.452999999999999</v>
      </c>
      <c r="AI34" s="12">
        <v>25.626999999999999</v>
      </c>
      <c r="AJ34" s="12">
        <v>20.803999999999998</v>
      </c>
      <c r="AK34" s="12">
        <v>9.2040000000000006</v>
      </c>
      <c r="AL34" s="12">
        <v>1.18</v>
      </c>
      <c r="AM34" s="12">
        <v>18.541</v>
      </c>
      <c r="AN34" s="12">
        <v>12.488</v>
      </c>
      <c r="AO34" s="12">
        <v>25.317</v>
      </c>
      <c r="AP34" s="12">
        <v>8.5630000000000006</v>
      </c>
      <c r="AQ34" s="12">
        <v>5.5759999999999996</v>
      </c>
      <c r="AR34" s="12">
        <v>13.186</v>
      </c>
      <c r="AS34" s="12">
        <v>12.260999999999999</v>
      </c>
      <c r="AT34" s="12">
        <v>14.085000000000001</v>
      </c>
      <c r="AU34" s="12">
        <v>20.905000000000001</v>
      </c>
      <c r="AV34" s="12">
        <v>10.398</v>
      </c>
      <c r="AW34" s="12">
        <v>16.952000000000002</v>
      </c>
      <c r="AX34" s="12">
        <v>20.263000000000002</v>
      </c>
      <c r="AY34" s="12">
        <v>6.0970000000000004</v>
      </c>
      <c r="AZ34" s="12">
        <v>26.093</v>
      </c>
      <c r="BA34" s="12">
        <v>25.917000000000002</v>
      </c>
      <c r="BB34" s="12">
        <v>4.5309999999999997</v>
      </c>
      <c r="BC34" s="12">
        <v>3.7240000000000002</v>
      </c>
      <c r="BD34" s="12">
        <v>13.468999999999999</v>
      </c>
      <c r="BE34" s="12">
        <v>16.332999999999998</v>
      </c>
      <c r="BF34" s="12">
        <v>21.564</v>
      </c>
      <c r="BG34" s="12">
        <v>20.692</v>
      </c>
      <c r="BH34" s="12">
        <v>13.407999999999999</v>
      </c>
      <c r="BI34" s="12">
        <v>24.591000000000001</v>
      </c>
      <c r="BJ34" s="12">
        <v>7.4080000000000004</v>
      </c>
      <c r="BK34" s="12">
        <v>7.3730000000000002</v>
      </c>
      <c r="BL34" s="12">
        <v>14.436999999999999</v>
      </c>
      <c r="BM34" s="12">
        <v>3.9849999999999999</v>
      </c>
      <c r="BN34" s="12">
        <v>21.518000000000001</v>
      </c>
      <c r="BO34" s="12">
        <v>11.452</v>
      </c>
      <c r="BP34" s="12">
        <v>9.2129999999999992</v>
      </c>
      <c r="BQ34" s="12">
        <v>17.184999999999999</v>
      </c>
      <c r="BR34" s="12">
        <v>14.53</v>
      </c>
      <c r="BS34" s="12">
        <v>8.7289999999999992</v>
      </c>
      <c r="BT34" s="12">
        <v>17.041</v>
      </c>
      <c r="BU34" s="12">
        <v>13.7</v>
      </c>
      <c r="BV34" s="12">
        <v>10.71</v>
      </c>
      <c r="BW34" s="12">
        <v>15.852</v>
      </c>
      <c r="BX34" s="12">
        <v>11.073</v>
      </c>
      <c r="BY34" s="12">
        <v>20.465</v>
      </c>
    </row>
    <row r="35" spans="1:164" x14ac:dyDescent="0.25">
      <c r="A35" s="152" t="s">
        <v>1484</v>
      </c>
      <c r="B35" s="12" t="s">
        <v>732</v>
      </c>
      <c r="C35" s="12">
        <v>0.54700000000000004</v>
      </c>
      <c r="D35" s="152">
        <v>0.57499999999999996</v>
      </c>
      <c r="E35" s="152">
        <v>0.58199999999999996</v>
      </c>
      <c r="F35" s="152">
        <v>0.70899999999999996</v>
      </c>
      <c r="G35" s="152">
        <v>0.503</v>
      </c>
      <c r="H35" s="152">
        <v>1.276</v>
      </c>
      <c r="I35" s="152">
        <v>0.57799999999999996</v>
      </c>
      <c r="J35" s="152">
        <v>0.52</v>
      </c>
      <c r="K35" s="152">
        <v>0.48799999999999999</v>
      </c>
      <c r="L35" s="152">
        <v>0.71499999999999997</v>
      </c>
      <c r="M35" s="152">
        <v>0.53</v>
      </c>
      <c r="N35" s="152">
        <v>0.81</v>
      </c>
      <c r="O35" s="152">
        <v>0.53</v>
      </c>
      <c r="P35" s="152">
        <v>0.58399999999999996</v>
      </c>
      <c r="Q35" s="152">
        <v>0.58599999999999997</v>
      </c>
      <c r="R35" s="152">
        <v>0.56299999999999994</v>
      </c>
      <c r="S35" s="152">
        <v>0.624</v>
      </c>
      <c r="T35" s="152">
        <v>0.54200000000000004</v>
      </c>
      <c r="U35" s="152">
        <v>0.85399999999999998</v>
      </c>
      <c r="V35" s="152">
        <v>0.55400000000000005</v>
      </c>
      <c r="W35" s="152">
        <v>0.63</v>
      </c>
      <c r="X35" s="152">
        <v>0.123</v>
      </c>
      <c r="Y35" s="152">
        <v>6.5000000000000002E-2</v>
      </c>
      <c r="Z35" s="152">
        <v>0.16800000000000001</v>
      </c>
      <c r="AA35" s="152">
        <v>0.65900000000000003</v>
      </c>
      <c r="AB35" s="152">
        <v>0.63200000000000001</v>
      </c>
      <c r="AC35" s="152">
        <v>0.47099999999999997</v>
      </c>
      <c r="AD35" s="152">
        <v>0.16300000000000001</v>
      </c>
      <c r="AE35" s="152">
        <v>0.186</v>
      </c>
      <c r="AF35" s="152">
        <v>0.68300000000000005</v>
      </c>
      <c r="AG35" s="152">
        <v>0.81799999999999995</v>
      </c>
      <c r="AH35" s="152">
        <v>0.51200000000000001</v>
      </c>
      <c r="AI35" s="152">
        <v>0.83799999999999997</v>
      </c>
      <c r="AJ35" s="152">
        <v>0.81100000000000005</v>
      </c>
      <c r="AK35" s="152">
        <v>0.40899999999999997</v>
      </c>
      <c r="AL35" s="152">
        <v>7.1999999999999995E-2</v>
      </c>
      <c r="AM35" s="152">
        <v>0.65900000000000003</v>
      </c>
      <c r="AN35" s="152">
        <v>0.56100000000000005</v>
      </c>
      <c r="AO35" s="152">
        <v>0.69799999999999995</v>
      </c>
      <c r="AP35" s="152">
        <v>0.35499999999999998</v>
      </c>
      <c r="AQ35" s="152">
        <v>0.26500000000000001</v>
      </c>
      <c r="AR35" s="152">
        <v>0.66900000000000004</v>
      </c>
      <c r="AS35" s="152">
        <v>0.59099999999999997</v>
      </c>
      <c r="AT35" s="152">
        <v>0.626</v>
      </c>
      <c r="AU35" s="152">
        <v>0.94399999999999995</v>
      </c>
      <c r="AV35" s="152">
        <v>0.40899999999999997</v>
      </c>
      <c r="AW35" s="152">
        <v>0.56000000000000005</v>
      </c>
      <c r="AX35" s="152">
        <v>0.753</v>
      </c>
      <c r="AY35" s="152">
        <v>0.23799999999999999</v>
      </c>
      <c r="AZ35" s="152">
        <v>0.89900000000000002</v>
      </c>
      <c r="BA35" s="152">
        <v>0.81799999999999995</v>
      </c>
      <c r="BB35" s="152">
        <v>0.20499999999999999</v>
      </c>
      <c r="BC35" s="152">
        <v>0.218</v>
      </c>
      <c r="BD35" s="152">
        <v>0.53600000000000003</v>
      </c>
      <c r="BE35" s="152">
        <v>0.52500000000000002</v>
      </c>
      <c r="BF35" s="152">
        <v>0.60199999999999998</v>
      </c>
      <c r="BG35" s="152">
        <v>0.72099999999999997</v>
      </c>
      <c r="BH35" s="152">
        <v>0.48699999999999999</v>
      </c>
      <c r="BI35" s="152">
        <v>0.68899999999999995</v>
      </c>
      <c r="BJ35" s="152">
        <v>0.40400000000000003</v>
      </c>
      <c r="BK35" s="152">
        <v>0.40400000000000003</v>
      </c>
      <c r="BL35" s="152">
        <v>0.49299999999999999</v>
      </c>
      <c r="BM35" s="152">
        <v>0.19400000000000001</v>
      </c>
      <c r="BN35" s="152">
        <v>0.65400000000000003</v>
      </c>
      <c r="BO35" s="152">
        <v>0.51900000000000002</v>
      </c>
      <c r="BP35" s="152">
        <v>0.40200000000000002</v>
      </c>
      <c r="BQ35" s="152">
        <v>0.67600000000000005</v>
      </c>
      <c r="BR35" s="152">
        <v>0.505</v>
      </c>
      <c r="BS35" s="152">
        <v>0.36399999999999999</v>
      </c>
      <c r="BT35" s="152">
        <v>0.77</v>
      </c>
      <c r="BU35" s="152">
        <v>0.52600000000000002</v>
      </c>
      <c r="BV35" s="152">
        <v>0.45</v>
      </c>
      <c r="BW35" s="152">
        <v>0.68799999999999994</v>
      </c>
      <c r="BX35" s="152">
        <v>0.48599999999999999</v>
      </c>
      <c r="BY35" s="152">
        <v>0.75800000000000001</v>
      </c>
      <c r="BZ35" s="152"/>
      <c r="CA35" s="152"/>
      <c r="CB35" s="152"/>
      <c r="CC35" s="152"/>
      <c r="CD35" s="152"/>
      <c r="CE35" s="152"/>
      <c r="CF35" s="152"/>
      <c r="CG35" s="152"/>
      <c r="CH35" s="152"/>
      <c r="CI35" s="152"/>
      <c r="CJ35" s="152"/>
      <c r="CK35" s="152"/>
      <c r="CL35" s="152"/>
      <c r="CM35" s="152"/>
      <c r="CN35" s="152"/>
      <c r="CO35" s="152"/>
      <c r="CP35" s="152"/>
      <c r="CQ35" s="152"/>
      <c r="CR35" s="152"/>
      <c r="CS35" s="152"/>
      <c r="CT35" s="152"/>
      <c r="CU35" s="152"/>
      <c r="CV35" s="152"/>
      <c r="CW35" s="152"/>
      <c r="CX35" s="152"/>
      <c r="CY35" s="152"/>
      <c r="CZ35" s="152"/>
      <c r="DA35" s="152"/>
      <c r="DB35" s="152"/>
      <c r="DC35" s="152"/>
      <c r="DD35" s="152"/>
      <c r="DE35" s="152"/>
      <c r="DF35" s="152"/>
      <c r="DG35" s="152"/>
      <c r="DH35" s="152"/>
      <c r="DI35" s="152"/>
      <c r="DJ35" s="152"/>
      <c r="DK35" s="152"/>
      <c r="DL35" s="152"/>
      <c r="DM35" s="152"/>
      <c r="DN35" s="152"/>
      <c r="DO35" s="152"/>
      <c r="DP35" s="152"/>
      <c r="DQ35" s="152"/>
      <c r="DR35" s="152"/>
      <c r="DS35" s="152"/>
      <c r="DT35" s="152"/>
      <c r="DU35" s="152"/>
      <c r="DV35" s="152"/>
      <c r="DW35" s="152"/>
      <c r="DX35" s="152"/>
      <c r="DY35" s="152"/>
      <c r="DZ35" s="152"/>
      <c r="EA35" s="152"/>
      <c r="EB35" s="152"/>
      <c r="EC35" s="152"/>
      <c r="ED35" s="152"/>
      <c r="EE35" s="152"/>
      <c r="EF35" s="152"/>
      <c r="EG35" s="152"/>
      <c r="EH35" s="152"/>
      <c r="EI35" s="152"/>
      <c r="EJ35" s="152"/>
      <c r="EK35" s="152"/>
      <c r="EL35" s="152"/>
      <c r="EM35" s="152"/>
      <c r="EN35" s="152"/>
      <c r="EO35" s="152"/>
      <c r="EP35" s="152"/>
      <c r="EQ35" s="152"/>
      <c r="ER35" s="152"/>
      <c r="ES35" s="152"/>
      <c r="ET35" s="152"/>
      <c r="EU35" s="152"/>
      <c r="EV35" s="152"/>
      <c r="EW35" s="152"/>
      <c r="EX35" s="152"/>
      <c r="EY35" s="152"/>
      <c r="EZ35" s="152"/>
      <c r="FA35" s="152"/>
      <c r="FB35" s="152"/>
      <c r="FC35" s="152"/>
      <c r="FD35" s="152"/>
      <c r="FE35" s="152"/>
      <c r="FF35" s="152"/>
      <c r="FG35" s="152"/>
      <c r="FH35" s="152"/>
    </row>
    <row r="36" spans="1:164" x14ac:dyDescent="0.25">
      <c r="A36" s="152" t="s">
        <v>1486</v>
      </c>
      <c r="B36" s="12" t="s">
        <v>733</v>
      </c>
      <c r="C36" s="12">
        <v>2.5999999999999999E-2</v>
      </c>
      <c r="D36" s="152">
        <v>2.5000000000000001E-2</v>
      </c>
      <c r="E36" s="152">
        <v>3.5000000000000003E-2</v>
      </c>
      <c r="F36" s="152">
        <v>1.0999999999999999E-2</v>
      </c>
      <c r="G36" s="152">
        <v>5.0999999999999997E-2</v>
      </c>
      <c r="H36" s="152">
        <v>3.3000000000000002E-2</v>
      </c>
      <c r="I36" s="152">
        <v>1.7000000000000001E-2</v>
      </c>
      <c r="J36" s="152">
        <v>1.2999999999999999E-2</v>
      </c>
      <c r="K36" s="152">
        <v>1.6E-2</v>
      </c>
      <c r="L36" s="152">
        <v>1.2E-2</v>
      </c>
      <c r="M36" s="152">
        <v>5.1999999999999998E-2</v>
      </c>
      <c r="N36" s="152">
        <v>7.6999999999999999E-2</v>
      </c>
      <c r="O36" s="152">
        <v>2.7E-2</v>
      </c>
      <c r="P36" s="152">
        <v>0.105</v>
      </c>
      <c r="Q36" s="152">
        <v>0.105</v>
      </c>
      <c r="R36" s="152">
        <v>0.13</v>
      </c>
      <c r="S36" s="152">
        <v>8.1000000000000003E-2</v>
      </c>
      <c r="T36" s="152">
        <v>7.9000000000000001E-2</v>
      </c>
      <c r="U36" s="152">
        <v>5.6000000000000001E-2</v>
      </c>
      <c r="V36" s="152">
        <v>0.108</v>
      </c>
      <c r="W36" s="152">
        <v>6.7000000000000004E-2</v>
      </c>
      <c r="X36" s="152">
        <v>0.28000000000000003</v>
      </c>
      <c r="Y36" s="152">
        <v>0.108</v>
      </c>
      <c r="Z36" s="152">
        <v>0.378</v>
      </c>
      <c r="AA36" s="152">
        <v>8.4000000000000005E-2</v>
      </c>
      <c r="AB36" s="152">
        <v>8.8999999999999996E-2</v>
      </c>
      <c r="AC36" s="152">
        <v>0.106</v>
      </c>
      <c r="AD36" s="152">
        <v>0.19500000000000001</v>
      </c>
      <c r="AE36" s="152">
        <v>0.41</v>
      </c>
      <c r="AF36" s="152">
        <v>0.104</v>
      </c>
      <c r="AG36" s="152">
        <v>0.09</v>
      </c>
      <c r="AH36" s="152">
        <v>0.129</v>
      </c>
      <c r="AI36" s="152">
        <v>5.3999999999999999E-2</v>
      </c>
      <c r="AJ36" s="152">
        <v>7.3999999999999996E-2</v>
      </c>
      <c r="AK36" s="152">
        <v>9.1999999999999998E-2</v>
      </c>
      <c r="AL36" s="152">
        <v>0.33200000000000002</v>
      </c>
      <c r="AM36" s="152">
        <v>8.8999999999999996E-2</v>
      </c>
      <c r="AN36" s="152">
        <v>0.11600000000000001</v>
      </c>
      <c r="AO36" s="152">
        <v>4.7E-2</v>
      </c>
      <c r="AP36" s="152">
        <v>0.10299999999999999</v>
      </c>
      <c r="AQ36" s="152">
        <v>0.13600000000000001</v>
      </c>
      <c r="AR36" s="152">
        <v>0.105</v>
      </c>
      <c r="AS36" s="152">
        <v>5.5E-2</v>
      </c>
      <c r="AT36" s="152">
        <v>6.6000000000000003E-2</v>
      </c>
      <c r="AU36" s="152">
        <v>4.4999999999999998E-2</v>
      </c>
      <c r="AV36" s="152">
        <v>0.08</v>
      </c>
      <c r="AW36" s="152">
        <v>6.0999999999999999E-2</v>
      </c>
      <c r="AX36" s="152">
        <v>6.3E-2</v>
      </c>
      <c r="AY36" s="152">
        <v>0.125</v>
      </c>
      <c r="AZ36" s="152">
        <v>4.4999999999999998E-2</v>
      </c>
      <c r="BA36" s="152">
        <v>6.8000000000000005E-2</v>
      </c>
      <c r="BB36" s="152">
        <v>0.12</v>
      </c>
      <c r="BC36" s="152">
        <v>3.5000000000000003E-2</v>
      </c>
      <c r="BD36" s="152">
        <v>3.6999999999999998E-2</v>
      </c>
      <c r="BE36" s="152">
        <v>3.2000000000000001E-2</v>
      </c>
      <c r="BF36" s="152">
        <v>2.4E-2</v>
      </c>
      <c r="BG36" s="152">
        <v>3.1E-2</v>
      </c>
      <c r="BH36" s="152">
        <v>0.05</v>
      </c>
      <c r="BI36" s="152">
        <v>1.2E-2</v>
      </c>
      <c r="BJ36" s="152">
        <v>4.3999999999999997E-2</v>
      </c>
      <c r="BK36" s="152">
        <v>3.1E-2</v>
      </c>
      <c r="BL36" s="152">
        <v>2.7E-2</v>
      </c>
      <c r="BM36" s="152">
        <v>1.7000000000000001E-2</v>
      </c>
      <c r="BN36" s="152">
        <v>2.1999999999999999E-2</v>
      </c>
      <c r="BO36" s="152">
        <v>2.8000000000000001E-2</v>
      </c>
      <c r="BP36" s="152">
        <v>2.4E-2</v>
      </c>
      <c r="BQ36" s="152">
        <v>2.4E-2</v>
      </c>
      <c r="BR36" s="152">
        <v>2.7E-2</v>
      </c>
      <c r="BS36" s="152">
        <v>0.02</v>
      </c>
      <c r="BT36" s="152">
        <v>1.7999999999999999E-2</v>
      </c>
      <c r="BU36" s="152">
        <v>0.02</v>
      </c>
      <c r="BV36" s="152">
        <v>2.1999999999999999E-2</v>
      </c>
      <c r="BW36" s="152">
        <v>1.6E-2</v>
      </c>
      <c r="BX36" s="152">
        <v>2.1999999999999999E-2</v>
      </c>
      <c r="BY36" s="152">
        <v>1.0999999999999999E-2</v>
      </c>
      <c r="BZ36" s="152"/>
      <c r="CA36" s="152"/>
      <c r="CB36" s="152"/>
      <c r="CC36" s="152"/>
      <c r="CD36" s="152"/>
      <c r="CE36" s="152"/>
      <c r="CF36" s="152"/>
      <c r="CG36" s="152"/>
      <c r="CH36" s="152"/>
      <c r="CI36" s="152"/>
      <c r="CJ36" s="152"/>
      <c r="CK36" s="152"/>
      <c r="CL36" s="152"/>
      <c r="CM36" s="152"/>
      <c r="CN36" s="152"/>
      <c r="CO36" s="152"/>
      <c r="CP36" s="152"/>
      <c r="CQ36" s="152"/>
      <c r="CR36" s="152"/>
      <c r="CS36" s="152"/>
      <c r="CT36" s="152"/>
      <c r="CU36" s="152"/>
      <c r="CV36" s="152"/>
      <c r="CW36" s="152"/>
      <c r="CX36" s="152"/>
      <c r="CY36" s="152"/>
      <c r="CZ36" s="152"/>
      <c r="DA36" s="152"/>
      <c r="DB36" s="152"/>
      <c r="DC36" s="152"/>
      <c r="DD36" s="152"/>
      <c r="DE36" s="152"/>
      <c r="DF36" s="152"/>
      <c r="DG36" s="152"/>
      <c r="DH36" s="152"/>
      <c r="DI36" s="152"/>
      <c r="DJ36" s="152"/>
      <c r="DK36" s="152"/>
      <c r="DL36" s="152"/>
      <c r="DM36" s="152"/>
      <c r="DN36" s="152"/>
      <c r="DO36" s="152"/>
      <c r="DP36" s="152"/>
      <c r="DQ36" s="152"/>
      <c r="DR36" s="152"/>
      <c r="DS36" s="152"/>
      <c r="DT36" s="152"/>
      <c r="DU36" s="152"/>
      <c r="DV36" s="152"/>
      <c r="DW36" s="152"/>
      <c r="DX36" s="152"/>
      <c r="DY36" s="152"/>
      <c r="DZ36" s="152"/>
      <c r="EA36" s="152"/>
      <c r="EB36" s="152"/>
      <c r="EC36" s="152"/>
      <c r="ED36" s="152"/>
      <c r="EE36" s="152"/>
      <c r="EF36" s="152"/>
      <c r="EG36" s="152"/>
      <c r="EH36" s="152"/>
      <c r="EI36" s="152"/>
      <c r="EJ36" s="152"/>
      <c r="EK36" s="152"/>
      <c r="EL36" s="152"/>
      <c r="EM36" s="152"/>
      <c r="EN36" s="152"/>
      <c r="EO36" s="152"/>
      <c r="EP36" s="152"/>
      <c r="EQ36" s="152"/>
      <c r="ER36" s="152"/>
      <c r="ES36" s="152"/>
      <c r="ET36" s="152"/>
      <c r="EU36" s="152"/>
      <c r="EV36" s="152"/>
      <c r="EW36" s="152"/>
      <c r="EX36" s="152"/>
      <c r="EY36" s="152"/>
      <c r="EZ36" s="152"/>
      <c r="FA36" s="152"/>
      <c r="FB36" s="152"/>
      <c r="FC36" s="152"/>
      <c r="FD36" s="152"/>
      <c r="FE36" s="152"/>
      <c r="FF36" s="152"/>
      <c r="FG36" s="152"/>
      <c r="FH36" s="152"/>
    </row>
    <row r="37" spans="1:164" x14ac:dyDescent="0.25">
      <c r="A37" s="152" t="s">
        <v>1487</v>
      </c>
      <c r="B37" s="12" t="s">
        <v>734</v>
      </c>
      <c r="C37" s="12">
        <v>1.4999999999999999E-2</v>
      </c>
      <c r="D37" s="152">
        <v>1.4999999999999999E-2</v>
      </c>
      <c r="E37" s="152">
        <v>1.4999999999999999E-2</v>
      </c>
      <c r="F37" s="152">
        <v>1.4999999999999999E-2</v>
      </c>
      <c r="G37" s="152">
        <v>1.4999999999999999E-2</v>
      </c>
      <c r="H37" s="152">
        <v>1.4999999999999999E-2</v>
      </c>
      <c r="I37" s="152">
        <v>1.4999999999999999E-2</v>
      </c>
      <c r="J37" s="152">
        <v>1.4999999999999999E-2</v>
      </c>
      <c r="K37" s="152">
        <v>1.4999999999999999E-2</v>
      </c>
      <c r="L37" s="152">
        <v>1.4999999999999999E-2</v>
      </c>
      <c r="M37" s="152">
        <v>1.4999999999999999E-2</v>
      </c>
      <c r="N37" s="152">
        <v>1.4999999999999999E-2</v>
      </c>
      <c r="O37" s="152">
        <v>1.4999999999999999E-2</v>
      </c>
      <c r="P37" s="152">
        <v>1.4999999999999999E-2</v>
      </c>
      <c r="Q37" s="152">
        <v>1.4999999999999999E-2</v>
      </c>
      <c r="R37" s="152">
        <v>1.4999999999999999E-2</v>
      </c>
      <c r="S37" s="152">
        <v>1.4999999999999999E-2</v>
      </c>
      <c r="T37" s="152">
        <v>1.4999999999999999E-2</v>
      </c>
      <c r="U37" s="152">
        <v>1.4999999999999999E-2</v>
      </c>
      <c r="V37" s="152">
        <v>1.4999999999999999E-2</v>
      </c>
      <c r="W37" s="152">
        <v>1.4999999999999999E-2</v>
      </c>
      <c r="X37" s="152">
        <v>1.4999999999999999E-2</v>
      </c>
      <c r="Y37" s="152">
        <v>1.4999999999999999E-2</v>
      </c>
      <c r="Z37" s="152">
        <v>1.4999999999999999E-2</v>
      </c>
      <c r="AA37" s="152">
        <v>1.4999999999999999E-2</v>
      </c>
      <c r="AB37" s="152">
        <v>1.4999999999999999E-2</v>
      </c>
      <c r="AC37" s="152">
        <v>1.4999999999999999E-2</v>
      </c>
      <c r="AD37" s="152">
        <v>1.4999999999999999E-2</v>
      </c>
      <c r="AE37" s="152">
        <v>1.4999999999999999E-2</v>
      </c>
      <c r="AF37" s="152">
        <v>1.4999999999999999E-2</v>
      </c>
      <c r="AG37" s="152">
        <v>1.4999999999999999E-2</v>
      </c>
      <c r="AH37" s="152">
        <v>1.4999999999999999E-2</v>
      </c>
      <c r="AI37" s="152">
        <v>1.4999999999999999E-2</v>
      </c>
      <c r="AJ37" s="152">
        <v>1.4999999999999999E-2</v>
      </c>
      <c r="AK37" s="152">
        <v>1.4999999999999999E-2</v>
      </c>
      <c r="AL37" s="152">
        <v>1.4999999999999999E-2</v>
      </c>
      <c r="AM37" s="152">
        <v>1.4999999999999999E-2</v>
      </c>
      <c r="AN37" s="152">
        <v>1.4999999999999999E-2</v>
      </c>
      <c r="AO37" s="152">
        <v>1.4999999999999999E-2</v>
      </c>
      <c r="AP37" s="152">
        <v>1.4999999999999999E-2</v>
      </c>
      <c r="AQ37" s="152">
        <v>1.4999999999999999E-2</v>
      </c>
      <c r="AR37" s="152">
        <v>1.4999999999999999E-2</v>
      </c>
      <c r="AS37" s="152">
        <v>1.4999999999999999E-2</v>
      </c>
      <c r="AT37" s="152">
        <v>1.4999999999999999E-2</v>
      </c>
      <c r="AU37" s="152">
        <v>1.4999999999999999E-2</v>
      </c>
      <c r="AV37" s="152">
        <v>1.4999999999999999E-2</v>
      </c>
      <c r="AW37" s="152">
        <v>1.4999999999999999E-2</v>
      </c>
      <c r="AX37" s="152">
        <v>1.4999999999999999E-2</v>
      </c>
      <c r="AY37" s="152">
        <v>1.4999999999999999E-2</v>
      </c>
      <c r="AZ37" s="152">
        <v>1.4999999999999999E-2</v>
      </c>
      <c r="BA37" s="152">
        <v>1.4999999999999999E-2</v>
      </c>
      <c r="BB37" s="152">
        <v>1.4999999999999999E-2</v>
      </c>
      <c r="BC37" s="152">
        <v>1.4999999999999999E-2</v>
      </c>
      <c r="BD37" s="152">
        <v>1.4999999999999999E-2</v>
      </c>
      <c r="BE37" s="152">
        <v>1.4999999999999999E-2</v>
      </c>
      <c r="BF37" s="152">
        <v>1.4999999999999999E-2</v>
      </c>
      <c r="BG37" s="152">
        <v>1.4999999999999999E-2</v>
      </c>
      <c r="BH37" s="152">
        <v>1.4999999999999999E-2</v>
      </c>
      <c r="BI37" s="152">
        <v>1.4999999999999999E-2</v>
      </c>
      <c r="BJ37" s="152">
        <v>1.4999999999999999E-2</v>
      </c>
      <c r="BK37" s="152">
        <v>1.4999999999999999E-2</v>
      </c>
      <c r="BL37" s="152">
        <v>1.4999999999999999E-2</v>
      </c>
      <c r="BM37" s="152">
        <v>1.4999999999999999E-2</v>
      </c>
      <c r="BN37" s="152">
        <v>1.4999999999999999E-2</v>
      </c>
      <c r="BO37" s="152">
        <v>1.4999999999999999E-2</v>
      </c>
      <c r="BP37" s="152">
        <v>1.4999999999999999E-2</v>
      </c>
      <c r="BQ37" s="152">
        <v>1.4999999999999999E-2</v>
      </c>
      <c r="BR37" s="152">
        <v>1.4999999999999999E-2</v>
      </c>
      <c r="BS37" s="152">
        <v>1.4999999999999999E-2</v>
      </c>
      <c r="BT37" s="152">
        <v>1.4999999999999999E-2</v>
      </c>
      <c r="BU37" s="152">
        <v>1.4999999999999999E-2</v>
      </c>
      <c r="BV37" s="152">
        <v>1.4999999999999999E-2</v>
      </c>
      <c r="BW37" s="152">
        <v>1.4999999999999999E-2</v>
      </c>
      <c r="BX37" s="152">
        <v>1.4999999999999999E-2</v>
      </c>
      <c r="BY37" s="152">
        <v>1.4999999999999999E-2</v>
      </c>
      <c r="BZ37" s="152"/>
      <c r="CA37" s="152"/>
      <c r="CB37" s="152"/>
      <c r="CC37" s="152"/>
      <c r="CD37" s="152"/>
      <c r="CE37" s="152"/>
      <c r="CF37" s="152"/>
      <c r="CG37" s="152"/>
      <c r="CH37" s="152"/>
      <c r="CI37" s="152"/>
      <c r="CJ37" s="152"/>
      <c r="CK37" s="152"/>
      <c r="CL37" s="152"/>
      <c r="CM37" s="152"/>
      <c r="CN37" s="152"/>
      <c r="CO37" s="152"/>
      <c r="CP37" s="152"/>
      <c r="CQ37" s="152"/>
      <c r="CR37" s="152"/>
      <c r="CS37" s="152"/>
      <c r="CT37" s="152"/>
      <c r="CU37" s="152"/>
      <c r="CV37" s="152"/>
      <c r="CW37" s="152"/>
      <c r="CX37" s="152"/>
      <c r="CY37" s="152"/>
      <c r="CZ37" s="152"/>
      <c r="DA37" s="152"/>
      <c r="DB37" s="152"/>
      <c r="DC37" s="152"/>
      <c r="DD37" s="152"/>
      <c r="DE37" s="152"/>
      <c r="DF37" s="152"/>
      <c r="DG37" s="152"/>
      <c r="DH37" s="152"/>
      <c r="DI37" s="152"/>
      <c r="DJ37" s="152"/>
      <c r="DK37" s="152"/>
      <c r="DL37" s="152"/>
      <c r="DM37" s="152"/>
      <c r="DN37" s="152"/>
      <c r="DO37" s="152"/>
      <c r="DP37" s="152"/>
      <c r="DQ37" s="152"/>
      <c r="DR37" s="152"/>
      <c r="DS37" s="152"/>
      <c r="DT37" s="152"/>
      <c r="DU37" s="152"/>
      <c r="DV37" s="152"/>
      <c r="DW37" s="152"/>
      <c r="DX37" s="152"/>
      <c r="DY37" s="152"/>
      <c r="DZ37" s="152"/>
      <c r="EA37" s="152"/>
      <c r="EB37" s="152"/>
      <c r="EC37" s="152"/>
      <c r="ED37" s="152"/>
      <c r="EE37" s="152"/>
      <c r="EF37" s="152"/>
      <c r="EG37" s="152"/>
      <c r="EH37" s="152"/>
      <c r="EI37" s="152"/>
      <c r="EJ37" s="152"/>
      <c r="EK37" s="152"/>
      <c r="EL37" s="152"/>
      <c r="EM37" s="152"/>
      <c r="EN37" s="152"/>
      <c r="EO37" s="152"/>
      <c r="EP37" s="152"/>
      <c r="EQ37" s="152"/>
      <c r="ER37" s="152"/>
      <c r="ES37" s="152"/>
      <c r="ET37" s="152"/>
      <c r="EU37" s="152"/>
      <c r="EV37" s="152"/>
      <c r="EW37" s="152"/>
      <c r="EX37" s="152"/>
      <c r="EY37" s="152"/>
      <c r="EZ37" s="152"/>
      <c r="FA37" s="152"/>
      <c r="FB37" s="152"/>
      <c r="FC37" s="152"/>
      <c r="FD37" s="152"/>
      <c r="FE37" s="152"/>
      <c r="FF37" s="152"/>
      <c r="FG37" s="152"/>
      <c r="FH37" s="152"/>
    </row>
    <row r="38" spans="1:164" x14ac:dyDescent="0.25">
      <c r="A38" s="152" t="s">
        <v>1259</v>
      </c>
      <c r="B38" s="12" t="s">
        <v>735</v>
      </c>
      <c r="C38" s="12">
        <v>0.10199999999999999</v>
      </c>
      <c r="D38" s="12">
        <v>0.20699999999999999</v>
      </c>
      <c r="E38" s="12">
        <v>0.188</v>
      </c>
      <c r="F38" s="12">
        <v>6.8000000000000005E-2</v>
      </c>
      <c r="G38" s="12">
        <v>0.17799999999999999</v>
      </c>
      <c r="H38" s="12">
        <v>0.308</v>
      </c>
      <c r="I38" s="12">
        <v>7.6999999999999999E-2</v>
      </c>
      <c r="J38" s="12">
        <v>6.9000000000000006E-2</v>
      </c>
      <c r="K38" s="12">
        <v>5.5E-2</v>
      </c>
      <c r="L38" s="12">
        <v>0.13800000000000001</v>
      </c>
      <c r="M38" s="12">
        <v>0.214</v>
      </c>
      <c r="N38" s="12">
        <v>0.375</v>
      </c>
      <c r="O38" s="12">
        <v>0.22</v>
      </c>
      <c r="P38" s="12">
        <v>0.33</v>
      </c>
      <c r="Q38" s="12">
        <v>0.28000000000000003</v>
      </c>
      <c r="R38" s="12">
        <v>0.625</v>
      </c>
      <c r="S38" s="12">
        <v>0.55000000000000004</v>
      </c>
      <c r="T38" s="12">
        <v>0.52600000000000002</v>
      </c>
      <c r="U38" s="12">
        <v>0.52500000000000002</v>
      </c>
      <c r="V38" s="12">
        <v>0.56100000000000005</v>
      </c>
      <c r="W38" s="12">
        <v>0.51900000000000002</v>
      </c>
      <c r="X38" s="12">
        <v>0.47899999999999998</v>
      </c>
      <c r="Y38" s="12">
        <v>0.11799999999999999</v>
      </c>
      <c r="Z38" s="12">
        <v>0.315</v>
      </c>
      <c r="AA38" s="12">
        <v>0.52100000000000002</v>
      </c>
      <c r="AB38" s="12">
        <v>0.47899999999999998</v>
      </c>
      <c r="AC38" s="12">
        <v>0.51300000000000001</v>
      </c>
      <c r="AD38" s="12">
        <v>0.40600000000000003</v>
      </c>
      <c r="AE38" s="12">
        <v>0.48899999999999999</v>
      </c>
      <c r="AF38" s="12">
        <v>0.443</v>
      </c>
      <c r="AG38" s="12">
        <v>0.67500000000000004</v>
      </c>
      <c r="AH38" s="12">
        <v>0.61399999999999999</v>
      </c>
      <c r="AI38" s="12">
        <v>0.39400000000000002</v>
      </c>
      <c r="AJ38" s="12">
        <v>0.40100000000000002</v>
      </c>
      <c r="AK38" s="12">
        <v>0.37</v>
      </c>
      <c r="AL38" s="12">
        <v>0.5</v>
      </c>
      <c r="AM38" s="12">
        <v>0.371</v>
      </c>
      <c r="AN38" s="12">
        <v>0.29899999999999999</v>
      </c>
      <c r="AO38" s="12">
        <v>0.28399999999999997</v>
      </c>
      <c r="AP38" s="12">
        <v>0.29099999999999998</v>
      </c>
      <c r="AQ38" s="12">
        <v>0.22900000000000001</v>
      </c>
      <c r="AR38" s="12">
        <v>0.49199999999999999</v>
      </c>
      <c r="AS38" s="12">
        <v>0.30299999999999999</v>
      </c>
      <c r="AT38" s="12">
        <v>0.38</v>
      </c>
      <c r="AU38" s="12">
        <v>0.46700000000000003</v>
      </c>
      <c r="AV38" s="12">
        <v>0.46100000000000002</v>
      </c>
      <c r="AW38" s="12">
        <v>0.36099999999999999</v>
      </c>
      <c r="AX38" s="12">
        <v>0.5</v>
      </c>
      <c r="AY38" s="12">
        <v>0.35199999999999998</v>
      </c>
      <c r="AZ38" s="12">
        <v>0.35499999999999998</v>
      </c>
      <c r="BA38" s="12">
        <v>0.42399999999999999</v>
      </c>
      <c r="BB38" s="12">
        <v>0.26500000000000001</v>
      </c>
      <c r="BC38" s="12">
        <v>0.121</v>
      </c>
      <c r="BD38" s="12">
        <v>0.23599999999999999</v>
      </c>
      <c r="BE38" s="12">
        <v>0.13200000000000001</v>
      </c>
      <c r="BF38" s="12">
        <v>0.20399999999999999</v>
      </c>
      <c r="BG38" s="12">
        <v>0.186</v>
      </c>
      <c r="BH38" s="12">
        <v>0.20399999999999999</v>
      </c>
      <c r="BI38" s="12">
        <v>0.12</v>
      </c>
      <c r="BJ38" s="12">
        <v>0.16700000000000001</v>
      </c>
      <c r="BK38" s="12">
        <v>0.214</v>
      </c>
      <c r="BL38" s="12">
        <v>0.18</v>
      </c>
      <c r="BM38" s="12">
        <v>5.1999999999999998E-2</v>
      </c>
      <c r="BN38" s="12">
        <v>0.17199999999999999</v>
      </c>
      <c r="BO38" s="12">
        <v>0.11600000000000001</v>
      </c>
      <c r="BP38" s="12">
        <v>0.1</v>
      </c>
      <c r="BQ38" s="12">
        <v>0.112</v>
      </c>
      <c r="BR38" s="12">
        <v>0.21</v>
      </c>
      <c r="BS38" s="12">
        <v>7.8E-2</v>
      </c>
      <c r="BT38" s="12">
        <v>0.1</v>
      </c>
      <c r="BU38" s="12">
        <v>0.08</v>
      </c>
      <c r="BV38" s="12">
        <v>8.4000000000000005E-2</v>
      </c>
      <c r="BW38" s="12">
        <v>7.0999999999999994E-2</v>
      </c>
      <c r="BX38" s="12">
        <v>7.2999999999999995E-2</v>
      </c>
      <c r="BY38" s="12">
        <v>7.0999999999999994E-2</v>
      </c>
    </row>
    <row r="39" spans="1:164" x14ac:dyDescent="0.25">
      <c r="A39" s="152" t="s">
        <v>1260</v>
      </c>
      <c r="B39" s="12" t="s">
        <v>736</v>
      </c>
      <c r="C39" s="12">
        <v>60.957000000000001</v>
      </c>
      <c r="D39" s="12">
        <v>15.239000000000001</v>
      </c>
      <c r="E39" s="12">
        <v>18.286999999999999</v>
      </c>
      <c r="F39" s="12">
        <v>60.957000000000001</v>
      </c>
      <c r="G39" s="12">
        <v>18.286999999999999</v>
      </c>
      <c r="H39" s="12">
        <v>15.239000000000001</v>
      </c>
      <c r="I39" s="12">
        <v>60.957000000000001</v>
      </c>
      <c r="J39" s="12">
        <v>60.957000000000001</v>
      </c>
      <c r="K39" s="12">
        <v>60.957000000000001</v>
      </c>
      <c r="L39" s="12">
        <v>24.382999999999999</v>
      </c>
      <c r="M39" s="12">
        <v>15.239000000000001</v>
      </c>
      <c r="N39" s="12">
        <v>15.239000000000001</v>
      </c>
      <c r="O39" s="12">
        <v>15.239000000000001</v>
      </c>
      <c r="P39" s="12">
        <v>15.239000000000001</v>
      </c>
      <c r="Q39" s="12">
        <v>15.239000000000001</v>
      </c>
      <c r="R39" s="12">
        <v>9.1440000000000001</v>
      </c>
      <c r="S39" s="12">
        <v>15.239000000000001</v>
      </c>
      <c r="T39" s="12">
        <v>15.239000000000001</v>
      </c>
      <c r="U39" s="12">
        <v>15.239000000000001</v>
      </c>
      <c r="V39" s="12">
        <v>15.239000000000001</v>
      </c>
      <c r="W39" s="12">
        <v>15.239000000000001</v>
      </c>
      <c r="X39" s="12">
        <v>15.239000000000001</v>
      </c>
      <c r="Y39" s="12">
        <v>60.957000000000001</v>
      </c>
      <c r="Z39" s="12">
        <v>15.239000000000001</v>
      </c>
      <c r="AA39" s="12">
        <v>15.239000000000001</v>
      </c>
      <c r="AB39" s="12">
        <v>15.239000000000001</v>
      </c>
      <c r="AC39" s="12">
        <v>15.239000000000001</v>
      </c>
      <c r="AD39" s="12">
        <v>15.239000000000001</v>
      </c>
      <c r="AE39" s="12">
        <v>15.239000000000001</v>
      </c>
      <c r="AF39" s="12">
        <v>15.239000000000001</v>
      </c>
      <c r="AG39" s="12">
        <v>9.1440000000000001</v>
      </c>
      <c r="AH39" s="12">
        <v>9.1440000000000001</v>
      </c>
      <c r="AI39" s="12">
        <v>15.239000000000001</v>
      </c>
      <c r="AJ39" s="12">
        <v>15.239000000000001</v>
      </c>
      <c r="AK39" s="12">
        <v>15.239000000000001</v>
      </c>
      <c r="AL39" s="12">
        <v>15.239000000000001</v>
      </c>
      <c r="AM39" s="12">
        <v>15.239000000000001</v>
      </c>
      <c r="AN39" s="12">
        <v>15.239000000000001</v>
      </c>
      <c r="AO39" s="12">
        <v>15.239000000000001</v>
      </c>
      <c r="AP39" s="12">
        <v>15.239000000000001</v>
      </c>
      <c r="AQ39" s="12">
        <v>15.239000000000001</v>
      </c>
      <c r="AR39" s="12">
        <v>15.239000000000001</v>
      </c>
      <c r="AS39" s="12">
        <v>15.239000000000001</v>
      </c>
      <c r="AT39" s="12">
        <v>15.239000000000001</v>
      </c>
      <c r="AU39" s="12">
        <v>15.239000000000001</v>
      </c>
      <c r="AV39" s="12">
        <v>15.239000000000001</v>
      </c>
      <c r="AW39" s="12">
        <v>15.239000000000001</v>
      </c>
      <c r="AX39" s="12">
        <v>15.239000000000001</v>
      </c>
      <c r="AY39" s="12">
        <v>15.239000000000001</v>
      </c>
      <c r="AZ39" s="12">
        <v>15.239000000000001</v>
      </c>
      <c r="BA39" s="12">
        <v>15.239000000000001</v>
      </c>
      <c r="BB39" s="12">
        <v>15.239000000000001</v>
      </c>
      <c r="BC39" s="12">
        <v>24.382999999999999</v>
      </c>
      <c r="BD39" s="12">
        <v>15.239000000000001</v>
      </c>
      <c r="BE39" s="12">
        <v>24.382999999999999</v>
      </c>
      <c r="BF39" s="12">
        <v>15.239000000000001</v>
      </c>
      <c r="BG39" s="12">
        <v>18.286999999999999</v>
      </c>
      <c r="BH39" s="12">
        <v>15.239000000000001</v>
      </c>
      <c r="BI39" s="12">
        <v>24.382999999999999</v>
      </c>
      <c r="BJ39" s="12">
        <v>18.286999999999999</v>
      </c>
      <c r="BK39" s="12">
        <v>15.239000000000001</v>
      </c>
      <c r="BL39" s="12">
        <v>18.286999999999999</v>
      </c>
      <c r="BM39" s="12">
        <v>60.957000000000001</v>
      </c>
      <c r="BN39" s="12">
        <v>18.286999999999999</v>
      </c>
      <c r="BO39" s="12">
        <v>60.957000000000001</v>
      </c>
      <c r="BP39" s="12">
        <v>60.957000000000001</v>
      </c>
      <c r="BQ39" s="12">
        <v>60.957000000000001</v>
      </c>
      <c r="BR39" s="12">
        <v>15.239000000000001</v>
      </c>
      <c r="BS39" s="12">
        <v>60.957000000000001</v>
      </c>
      <c r="BT39" s="12">
        <v>60.957000000000001</v>
      </c>
      <c r="BU39" s="12">
        <v>60.957000000000001</v>
      </c>
      <c r="BV39" s="12">
        <v>60.957000000000001</v>
      </c>
      <c r="BW39" s="12">
        <v>60.957000000000001</v>
      </c>
      <c r="BX39" s="12">
        <v>60.957000000000001</v>
      </c>
      <c r="BY39" s="12">
        <v>60.957000000000001</v>
      </c>
    </row>
    <row r="40" spans="1:164" x14ac:dyDescent="0.25">
      <c r="A40" s="152" t="s">
        <v>1488</v>
      </c>
      <c r="B40" s="12" t="s">
        <v>737</v>
      </c>
      <c r="C40" s="12">
        <v>0.15</v>
      </c>
      <c r="D40" s="12">
        <v>0.15</v>
      </c>
      <c r="E40" s="12">
        <v>0.15</v>
      </c>
      <c r="F40" s="12">
        <v>0.15</v>
      </c>
      <c r="G40" s="12">
        <v>0.15</v>
      </c>
      <c r="H40" s="12">
        <v>0.15</v>
      </c>
      <c r="I40" s="12">
        <v>0.15</v>
      </c>
      <c r="J40" s="12">
        <v>0.15</v>
      </c>
      <c r="K40" s="12">
        <v>0.15</v>
      </c>
      <c r="L40" s="12">
        <v>0.15</v>
      </c>
      <c r="M40" s="12">
        <v>0.15</v>
      </c>
      <c r="N40" s="12">
        <v>0.15</v>
      </c>
      <c r="O40" s="12">
        <v>0.15</v>
      </c>
      <c r="P40" s="12">
        <v>0.15</v>
      </c>
      <c r="Q40" s="12">
        <v>0.15</v>
      </c>
      <c r="R40" s="12">
        <v>0.15</v>
      </c>
      <c r="S40" s="12">
        <v>0.15</v>
      </c>
      <c r="T40" s="12">
        <v>0.15</v>
      </c>
      <c r="U40" s="12">
        <v>0.15</v>
      </c>
      <c r="V40" s="12">
        <v>0.15</v>
      </c>
      <c r="W40" s="12">
        <v>0.15</v>
      </c>
      <c r="X40" s="12">
        <v>0.15</v>
      </c>
      <c r="Y40" s="12">
        <v>0.15</v>
      </c>
      <c r="Z40" s="12">
        <v>0.15</v>
      </c>
      <c r="AA40" s="12">
        <v>0.15</v>
      </c>
      <c r="AB40" s="12">
        <v>0.15</v>
      </c>
      <c r="AC40" s="12">
        <v>0.15</v>
      </c>
      <c r="AD40" s="12">
        <v>0.15</v>
      </c>
      <c r="AE40" s="12">
        <v>0.15</v>
      </c>
      <c r="AF40" s="12">
        <v>0.15</v>
      </c>
      <c r="AG40" s="12">
        <v>0.15</v>
      </c>
      <c r="AH40" s="12">
        <v>0.15</v>
      </c>
      <c r="AI40" s="12">
        <v>0.15</v>
      </c>
      <c r="AJ40" s="12">
        <v>0.15</v>
      </c>
      <c r="AK40" s="12">
        <v>0.15</v>
      </c>
      <c r="AL40" s="12">
        <v>0.15</v>
      </c>
      <c r="AM40" s="12">
        <v>0.15</v>
      </c>
      <c r="AN40" s="12">
        <v>0.15</v>
      </c>
      <c r="AO40" s="12">
        <v>0.15</v>
      </c>
      <c r="AP40" s="12">
        <v>0.15</v>
      </c>
      <c r="AQ40" s="12">
        <v>0.15</v>
      </c>
      <c r="AR40" s="12">
        <v>0.15</v>
      </c>
      <c r="AS40" s="12">
        <v>0.15</v>
      </c>
      <c r="AT40" s="12">
        <v>0.15</v>
      </c>
      <c r="AU40" s="12">
        <v>0.15</v>
      </c>
      <c r="AV40" s="12">
        <v>0.15</v>
      </c>
      <c r="AW40" s="12">
        <v>0.15</v>
      </c>
      <c r="AX40" s="12">
        <v>0.15</v>
      </c>
      <c r="AY40" s="12">
        <v>0.15</v>
      </c>
      <c r="AZ40" s="12">
        <v>0.15</v>
      </c>
      <c r="BA40" s="12">
        <v>0.15</v>
      </c>
      <c r="BB40" s="12">
        <v>0.15</v>
      </c>
      <c r="BC40" s="12">
        <v>0.15</v>
      </c>
      <c r="BD40" s="12">
        <v>0.15</v>
      </c>
      <c r="BE40" s="12">
        <v>0.15</v>
      </c>
      <c r="BF40" s="12">
        <v>0.15</v>
      </c>
      <c r="BG40" s="12">
        <v>0.15</v>
      </c>
      <c r="BH40" s="12">
        <v>0.15</v>
      </c>
      <c r="BI40" s="12">
        <v>0.15</v>
      </c>
      <c r="BJ40" s="12">
        <v>0.15</v>
      </c>
      <c r="BK40" s="12">
        <v>0.15</v>
      </c>
      <c r="BL40" s="12">
        <v>0.15</v>
      </c>
      <c r="BM40" s="12">
        <v>0.15</v>
      </c>
      <c r="BN40" s="12">
        <v>0.15</v>
      </c>
      <c r="BO40" s="12">
        <v>0.15</v>
      </c>
      <c r="BP40" s="12">
        <v>0.15</v>
      </c>
      <c r="BQ40" s="12">
        <v>0.15</v>
      </c>
      <c r="BR40" s="12">
        <v>0.15</v>
      </c>
      <c r="BS40" s="12">
        <v>0.15</v>
      </c>
      <c r="BT40" s="12">
        <v>0.15</v>
      </c>
      <c r="BU40" s="12">
        <v>0.15</v>
      </c>
      <c r="BV40" s="12">
        <v>0.15</v>
      </c>
      <c r="BW40" s="12">
        <v>0.15</v>
      </c>
      <c r="BX40" s="12">
        <v>0.15</v>
      </c>
      <c r="BY40" s="12">
        <v>0.15</v>
      </c>
    </row>
    <row r="41" spans="1:164" x14ac:dyDescent="0.25">
      <c r="A41" s="152" t="s">
        <v>1261</v>
      </c>
      <c r="B41" s="12" t="s">
        <v>738</v>
      </c>
      <c r="C41" s="12">
        <v>0</v>
      </c>
      <c r="D41" s="12">
        <v>0</v>
      </c>
      <c r="E41" s="12">
        <v>0</v>
      </c>
      <c r="F41" s="12">
        <v>0</v>
      </c>
      <c r="G41" s="12">
        <v>0</v>
      </c>
      <c r="H41" s="12">
        <v>0</v>
      </c>
      <c r="I41" s="12">
        <v>0</v>
      </c>
      <c r="J41" s="12">
        <v>0</v>
      </c>
      <c r="K41" s="12">
        <v>0</v>
      </c>
      <c r="L41" s="12">
        <v>0</v>
      </c>
      <c r="M41" s="12">
        <v>0</v>
      </c>
      <c r="N41" s="12">
        <v>0</v>
      </c>
      <c r="O41" s="12">
        <v>0</v>
      </c>
      <c r="P41" s="12">
        <v>0</v>
      </c>
      <c r="Q41" s="12">
        <v>0</v>
      </c>
      <c r="R41" s="12">
        <v>0</v>
      </c>
      <c r="S41" s="12">
        <v>0</v>
      </c>
      <c r="T41" s="12">
        <v>0</v>
      </c>
      <c r="U41" s="12">
        <v>0</v>
      </c>
      <c r="V41" s="12">
        <v>0</v>
      </c>
      <c r="W41" s="12">
        <v>0</v>
      </c>
      <c r="X41" s="12">
        <v>0</v>
      </c>
      <c r="Y41" s="12">
        <v>0</v>
      </c>
      <c r="Z41" s="12">
        <v>0</v>
      </c>
      <c r="AA41" s="12">
        <v>0</v>
      </c>
      <c r="AB41" s="12">
        <v>0</v>
      </c>
      <c r="AC41" s="12">
        <v>0</v>
      </c>
      <c r="AD41" s="12">
        <v>0</v>
      </c>
      <c r="AE41" s="12">
        <v>0</v>
      </c>
      <c r="AF41" s="12">
        <v>0</v>
      </c>
      <c r="AG41" s="12">
        <v>0</v>
      </c>
      <c r="AH41" s="12">
        <v>0</v>
      </c>
      <c r="AI41" s="12">
        <v>0</v>
      </c>
      <c r="AJ41" s="12">
        <v>0</v>
      </c>
      <c r="AK41" s="12">
        <v>0</v>
      </c>
      <c r="AL41" s="12">
        <v>0</v>
      </c>
      <c r="AM41" s="12">
        <v>0</v>
      </c>
      <c r="AN41" s="12">
        <v>0</v>
      </c>
      <c r="AO41" s="12">
        <v>0</v>
      </c>
      <c r="AP41" s="12">
        <v>0</v>
      </c>
      <c r="AQ41" s="12">
        <v>0</v>
      </c>
      <c r="AR41" s="12">
        <v>0</v>
      </c>
      <c r="AS41" s="12">
        <v>0</v>
      </c>
      <c r="AT41" s="12">
        <v>0</v>
      </c>
      <c r="AU41" s="12">
        <v>0</v>
      </c>
      <c r="AV41" s="12">
        <v>0</v>
      </c>
      <c r="AW41" s="12">
        <v>0</v>
      </c>
      <c r="AX41" s="12">
        <v>0</v>
      </c>
      <c r="AY41" s="12">
        <v>0</v>
      </c>
      <c r="AZ41" s="12">
        <v>0</v>
      </c>
      <c r="BA41" s="12">
        <v>0</v>
      </c>
      <c r="BB41" s="12">
        <v>0</v>
      </c>
      <c r="BC41" s="12">
        <v>0</v>
      </c>
      <c r="BD41" s="12">
        <v>0</v>
      </c>
      <c r="BE41" s="12">
        <v>0</v>
      </c>
      <c r="BF41" s="12">
        <v>0</v>
      </c>
      <c r="BG41" s="12">
        <v>0</v>
      </c>
      <c r="BH41" s="12">
        <v>0</v>
      </c>
      <c r="BI41" s="12">
        <v>0</v>
      </c>
      <c r="BJ41" s="12">
        <v>0</v>
      </c>
      <c r="BK41" s="12">
        <v>0</v>
      </c>
      <c r="BL41" s="12">
        <v>0</v>
      </c>
      <c r="BM41" s="12">
        <v>0</v>
      </c>
      <c r="BN41" s="12">
        <v>0</v>
      </c>
      <c r="BO41" s="12">
        <v>0</v>
      </c>
      <c r="BP41" s="12">
        <v>0</v>
      </c>
      <c r="BQ41" s="12">
        <v>0</v>
      </c>
      <c r="BR41" s="12">
        <v>0</v>
      </c>
      <c r="BS41" s="12">
        <v>0</v>
      </c>
      <c r="BT41" s="12">
        <v>0</v>
      </c>
      <c r="BU41" s="12">
        <v>0</v>
      </c>
      <c r="BV41" s="12">
        <v>0</v>
      </c>
      <c r="BW41" s="12">
        <v>0</v>
      </c>
      <c r="BX41" s="12">
        <v>0</v>
      </c>
      <c r="BY41" s="12">
        <v>0</v>
      </c>
    </row>
    <row r="42" spans="1:164" x14ac:dyDescent="0.25">
      <c r="A42" s="152" t="s">
        <v>1262</v>
      </c>
      <c r="B42" s="12" t="s">
        <v>739</v>
      </c>
      <c r="C42" s="12">
        <v>0</v>
      </c>
      <c r="D42" s="12">
        <v>0</v>
      </c>
      <c r="E42" s="12">
        <v>0</v>
      </c>
      <c r="F42" s="12">
        <v>0</v>
      </c>
      <c r="G42" s="12">
        <v>0</v>
      </c>
      <c r="H42" s="12">
        <v>0</v>
      </c>
      <c r="I42" s="12">
        <v>0</v>
      </c>
      <c r="J42" s="12">
        <v>0</v>
      </c>
      <c r="K42" s="12">
        <v>0</v>
      </c>
      <c r="L42" s="12">
        <v>0</v>
      </c>
      <c r="M42" s="12">
        <v>0</v>
      </c>
      <c r="N42" s="12">
        <v>0</v>
      </c>
      <c r="O42" s="12">
        <v>0</v>
      </c>
      <c r="P42" s="12">
        <v>0</v>
      </c>
      <c r="Q42" s="12">
        <v>0</v>
      </c>
      <c r="R42" s="12">
        <v>0</v>
      </c>
      <c r="S42" s="12">
        <v>0</v>
      </c>
      <c r="T42" s="12">
        <v>0</v>
      </c>
      <c r="U42" s="12">
        <v>0</v>
      </c>
      <c r="V42" s="12">
        <v>0</v>
      </c>
      <c r="W42" s="12">
        <v>0</v>
      </c>
      <c r="X42" s="12">
        <v>0</v>
      </c>
      <c r="Y42" s="12">
        <v>0</v>
      </c>
      <c r="Z42" s="12">
        <v>0</v>
      </c>
      <c r="AA42" s="12">
        <v>0</v>
      </c>
      <c r="AB42" s="12">
        <v>0</v>
      </c>
      <c r="AC42" s="12">
        <v>0</v>
      </c>
      <c r="AD42" s="12">
        <v>0</v>
      </c>
      <c r="AE42" s="12">
        <v>0</v>
      </c>
      <c r="AF42" s="12">
        <v>0</v>
      </c>
      <c r="AG42" s="12">
        <v>0</v>
      </c>
      <c r="AH42" s="12">
        <v>0</v>
      </c>
      <c r="AI42" s="12">
        <v>0</v>
      </c>
      <c r="AJ42" s="12">
        <v>0</v>
      </c>
      <c r="AK42" s="12">
        <v>0</v>
      </c>
      <c r="AL42" s="12">
        <v>0</v>
      </c>
      <c r="AM42" s="12">
        <v>0</v>
      </c>
      <c r="AN42" s="12">
        <v>0</v>
      </c>
      <c r="AO42" s="12">
        <v>0</v>
      </c>
      <c r="AP42" s="12">
        <v>0</v>
      </c>
      <c r="AQ42" s="12">
        <v>0</v>
      </c>
      <c r="AR42" s="12">
        <v>0</v>
      </c>
      <c r="AS42" s="12">
        <v>0</v>
      </c>
      <c r="AT42" s="12">
        <v>0</v>
      </c>
      <c r="AU42" s="12">
        <v>0</v>
      </c>
      <c r="AV42" s="12">
        <v>0</v>
      </c>
      <c r="AW42" s="12">
        <v>0</v>
      </c>
      <c r="AX42" s="12">
        <v>0</v>
      </c>
      <c r="AY42" s="12">
        <v>0</v>
      </c>
      <c r="AZ42" s="12">
        <v>0</v>
      </c>
      <c r="BA42" s="12">
        <v>0</v>
      </c>
      <c r="BB42" s="12">
        <v>0</v>
      </c>
      <c r="BC42" s="12">
        <v>0</v>
      </c>
      <c r="BD42" s="12">
        <v>0</v>
      </c>
      <c r="BE42" s="12">
        <v>0</v>
      </c>
      <c r="BF42" s="12">
        <v>0</v>
      </c>
      <c r="BG42" s="12">
        <v>0</v>
      </c>
      <c r="BH42" s="12">
        <v>0</v>
      </c>
      <c r="BI42" s="12">
        <v>0</v>
      </c>
      <c r="BJ42" s="12">
        <v>0</v>
      </c>
      <c r="BK42" s="12">
        <v>0</v>
      </c>
      <c r="BL42" s="12">
        <v>0</v>
      </c>
      <c r="BM42" s="12">
        <v>0</v>
      </c>
      <c r="BN42" s="12">
        <v>0</v>
      </c>
      <c r="BO42" s="12">
        <v>0</v>
      </c>
      <c r="BP42" s="12">
        <v>0</v>
      </c>
      <c r="BQ42" s="12">
        <v>0</v>
      </c>
      <c r="BR42" s="12">
        <v>0</v>
      </c>
      <c r="BS42" s="12">
        <v>0</v>
      </c>
      <c r="BT42" s="12">
        <v>0</v>
      </c>
      <c r="BU42" s="12">
        <v>0</v>
      </c>
      <c r="BV42" s="12">
        <v>0</v>
      </c>
      <c r="BW42" s="12">
        <v>0</v>
      </c>
      <c r="BX42" s="12">
        <v>0</v>
      </c>
      <c r="BY42" s="12">
        <v>0</v>
      </c>
    </row>
    <row r="43" spans="1:164" x14ac:dyDescent="0.25">
      <c r="A43" s="152"/>
      <c r="B43" s="12"/>
    </row>
    <row r="44" spans="1:164" x14ac:dyDescent="0.25">
      <c r="A44" s="191" t="s">
        <v>1581</v>
      </c>
      <c r="B44" s="12"/>
    </row>
    <row r="45" spans="1:164" x14ac:dyDescent="0.25">
      <c r="A45" s="152" t="s">
        <v>1263</v>
      </c>
      <c r="B45" s="12" t="s">
        <v>740</v>
      </c>
      <c r="C45" s="12">
        <v>14.612</v>
      </c>
      <c r="D45" s="12">
        <v>15.74</v>
      </c>
      <c r="E45" s="12">
        <v>13.939</v>
      </c>
      <c r="F45" s="12">
        <v>23.616</v>
      </c>
      <c r="G45" s="12">
        <v>11.558</v>
      </c>
      <c r="H45" s="12">
        <v>56.826000000000001</v>
      </c>
      <c r="I45" s="12">
        <v>18.605</v>
      </c>
      <c r="J45" s="12">
        <v>2.1160000000000001</v>
      </c>
      <c r="K45" s="12">
        <v>17.495000000000001</v>
      </c>
      <c r="L45" s="12">
        <v>15.417</v>
      </c>
      <c r="M45" s="12">
        <v>12.615</v>
      </c>
      <c r="N45" s="12">
        <v>21.093</v>
      </c>
      <c r="O45" s="12">
        <v>6.1269999999999998</v>
      </c>
      <c r="P45" s="12">
        <v>12.273999999999999</v>
      </c>
      <c r="Q45" s="12">
        <v>16.488</v>
      </c>
      <c r="R45" s="12">
        <v>13.545</v>
      </c>
      <c r="S45" s="12">
        <v>14.199</v>
      </c>
      <c r="T45" s="12">
        <v>12.57</v>
      </c>
      <c r="U45" s="12">
        <v>19.861999999999998</v>
      </c>
      <c r="V45" s="12">
        <v>7.8710000000000004</v>
      </c>
      <c r="W45" s="12">
        <v>15.88</v>
      </c>
      <c r="X45" s="12">
        <v>1.0489999999999999</v>
      </c>
      <c r="Y45" s="12">
        <v>1.282</v>
      </c>
      <c r="Z45" s="12">
        <v>0.90600000000000003</v>
      </c>
      <c r="AA45" s="12">
        <v>15.193</v>
      </c>
      <c r="AB45" s="12">
        <v>13.83</v>
      </c>
      <c r="AC45" s="12">
        <v>4.3609999999999998</v>
      </c>
      <c r="AD45" s="12">
        <v>0.85199999999999998</v>
      </c>
      <c r="AE45" s="12">
        <v>0.86</v>
      </c>
      <c r="AF45" s="12">
        <v>9.0980000000000008</v>
      </c>
      <c r="AG45" s="12">
        <v>13.26</v>
      </c>
      <c r="AH45" s="12">
        <v>8.9909999999999997</v>
      </c>
      <c r="AI45" s="12">
        <v>25.626999999999999</v>
      </c>
      <c r="AJ45" s="12">
        <v>20.803999999999998</v>
      </c>
      <c r="AK45" s="12">
        <v>4.3460000000000001</v>
      </c>
      <c r="AL45" s="12">
        <v>0.57199999999999995</v>
      </c>
      <c r="AM45" s="12">
        <v>10.114000000000001</v>
      </c>
      <c r="AN45" s="12">
        <v>9.0050000000000008</v>
      </c>
      <c r="AO45" s="12">
        <v>25.317</v>
      </c>
      <c r="AP45" s="12">
        <v>5.84</v>
      </c>
      <c r="AQ45" s="12">
        <v>2.2010000000000001</v>
      </c>
      <c r="AR45" s="12">
        <v>13.186</v>
      </c>
      <c r="AS45" s="12">
        <v>12.260999999999999</v>
      </c>
      <c r="AT45" s="12">
        <v>14.085000000000001</v>
      </c>
      <c r="AU45" s="12">
        <v>17.399000000000001</v>
      </c>
      <c r="AV45" s="12">
        <v>5.1929999999999996</v>
      </c>
      <c r="AW45" s="12">
        <v>16.952000000000002</v>
      </c>
      <c r="AX45" s="12">
        <v>9.9640000000000004</v>
      </c>
      <c r="AY45" s="12">
        <v>3.7490000000000001</v>
      </c>
      <c r="AZ45" s="12">
        <v>15.930999999999999</v>
      </c>
      <c r="BA45" s="12">
        <v>25.917000000000002</v>
      </c>
      <c r="BB45" s="12">
        <v>1.0169999999999999</v>
      </c>
      <c r="BC45" s="12">
        <v>1.7809999999999999</v>
      </c>
      <c r="BD45" s="12">
        <v>7.6959999999999997</v>
      </c>
      <c r="BE45" s="12">
        <v>6.8090000000000002</v>
      </c>
      <c r="BF45" s="12">
        <v>21.564</v>
      </c>
      <c r="BG45" s="12">
        <v>8.9559999999999995</v>
      </c>
      <c r="BH45" s="12">
        <v>13.407999999999999</v>
      </c>
      <c r="BI45" s="12">
        <v>10.271000000000001</v>
      </c>
      <c r="BJ45" s="12">
        <v>0.84699999999999998</v>
      </c>
      <c r="BK45" s="12">
        <v>5.8310000000000004</v>
      </c>
      <c r="BL45" s="12">
        <v>10.538</v>
      </c>
      <c r="BM45" s="12">
        <v>1.5389999999999999</v>
      </c>
      <c r="BN45" s="12">
        <v>21.518000000000001</v>
      </c>
      <c r="BO45" s="12">
        <v>11.452</v>
      </c>
      <c r="BP45" s="12">
        <v>4.7830000000000004</v>
      </c>
      <c r="BQ45" s="12">
        <v>8.0079999999999991</v>
      </c>
      <c r="BR45" s="12">
        <v>14.53</v>
      </c>
      <c r="BS45" s="12">
        <v>2.6619999999999999</v>
      </c>
      <c r="BT45" s="12">
        <v>8.0139999999999993</v>
      </c>
      <c r="BU45" s="12">
        <v>13.7</v>
      </c>
      <c r="BV45" s="12">
        <v>2.5859999999999999</v>
      </c>
      <c r="BW45" s="12">
        <v>6.7210000000000001</v>
      </c>
      <c r="BX45" s="12">
        <v>11.073</v>
      </c>
      <c r="BY45" s="12">
        <v>16.119</v>
      </c>
    </row>
    <row r="46" spans="1:164" x14ac:dyDescent="0.25">
      <c r="A46" s="152" t="s">
        <v>1489</v>
      </c>
      <c r="B46" s="12" t="s">
        <v>741</v>
      </c>
      <c r="C46" s="12">
        <v>0.54700000000000004</v>
      </c>
      <c r="D46" s="152">
        <v>0.57499999999999996</v>
      </c>
      <c r="E46" s="152">
        <v>0.58199999999999996</v>
      </c>
      <c r="F46" s="152">
        <v>0.70899999999999996</v>
      </c>
      <c r="G46" s="152">
        <v>0.503</v>
      </c>
      <c r="H46" s="152">
        <v>1.276</v>
      </c>
      <c r="I46" s="152">
        <v>1.389</v>
      </c>
      <c r="J46" s="152">
        <v>1.5289999999999999</v>
      </c>
      <c r="K46" s="152">
        <v>0.48799999999999999</v>
      </c>
      <c r="L46" s="152">
        <v>1.6479999999999999</v>
      </c>
      <c r="M46" s="152">
        <v>0.53</v>
      </c>
      <c r="N46" s="152">
        <v>0.81</v>
      </c>
      <c r="O46" s="152">
        <v>1</v>
      </c>
      <c r="P46" s="152">
        <v>0.58399999999999996</v>
      </c>
      <c r="Q46" s="152">
        <v>0.58599999999999997</v>
      </c>
      <c r="R46" s="152">
        <v>0.56299999999999994</v>
      </c>
      <c r="S46" s="152">
        <v>0.624</v>
      </c>
      <c r="T46" s="152">
        <v>0.54200000000000004</v>
      </c>
      <c r="U46" s="152">
        <v>0.85399999999999998</v>
      </c>
      <c r="V46" s="152">
        <v>1.046</v>
      </c>
      <c r="W46" s="152">
        <v>0.63</v>
      </c>
      <c r="X46" s="152">
        <v>0.63400000000000001</v>
      </c>
      <c r="Y46" s="152">
        <v>0.63500000000000001</v>
      </c>
      <c r="Z46" s="152">
        <v>1.161</v>
      </c>
      <c r="AA46" s="152">
        <v>0.65900000000000003</v>
      </c>
      <c r="AB46" s="152">
        <v>0.63200000000000001</v>
      </c>
      <c r="AC46" s="152">
        <v>0.92500000000000004</v>
      </c>
      <c r="AD46" s="152">
        <v>0.92900000000000005</v>
      </c>
      <c r="AE46" s="152">
        <v>1.395</v>
      </c>
      <c r="AF46" s="152">
        <v>1.4850000000000001</v>
      </c>
      <c r="AG46" s="152">
        <v>1.669</v>
      </c>
      <c r="AH46" s="152">
        <v>1.7450000000000001</v>
      </c>
      <c r="AI46" s="152">
        <v>0.83799999999999997</v>
      </c>
      <c r="AJ46" s="152">
        <v>0.81100000000000005</v>
      </c>
      <c r="AK46" s="152">
        <v>1.125</v>
      </c>
      <c r="AL46" s="152">
        <v>1.125</v>
      </c>
      <c r="AM46" s="152">
        <v>2.0089999999999999</v>
      </c>
      <c r="AN46" s="152">
        <v>2.077</v>
      </c>
      <c r="AO46" s="152">
        <v>0.69799999999999995</v>
      </c>
      <c r="AP46" s="152">
        <v>2.14</v>
      </c>
      <c r="AQ46" s="152">
        <v>2.1779999999999999</v>
      </c>
      <c r="AR46" s="152">
        <v>0.66900000000000004</v>
      </c>
      <c r="AS46" s="152">
        <v>0.59099999999999997</v>
      </c>
      <c r="AT46" s="152">
        <v>0.626</v>
      </c>
      <c r="AU46" s="152">
        <v>1.159</v>
      </c>
      <c r="AV46" s="152">
        <v>1.298</v>
      </c>
      <c r="AW46" s="152">
        <v>0.56000000000000005</v>
      </c>
      <c r="AX46" s="152">
        <v>1.476</v>
      </c>
      <c r="AY46" s="152">
        <v>1.482</v>
      </c>
      <c r="AZ46" s="152">
        <v>2.5550000000000002</v>
      </c>
      <c r="BA46" s="152">
        <v>0.81799999999999995</v>
      </c>
      <c r="BB46" s="152">
        <v>2.6150000000000002</v>
      </c>
      <c r="BC46" s="152">
        <v>2.6179999999999999</v>
      </c>
      <c r="BD46" s="152">
        <v>2.7280000000000002</v>
      </c>
      <c r="BE46" s="152">
        <v>2.746</v>
      </c>
      <c r="BF46" s="152">
        <v>0.60199999999999998</v>
      </c>
      <c r="BG46" s="152">
        <v>2.8079999999999998</v>
      </c>
      <c r="BH46" s="152">
        <v>0.48699999999999999</v>
      </c>
      <c r="BI46" s="152">
        <v>2.855</v>
      </c>
      <c r="BJ46" s="152">
        <v>3.133</v>
      </c>
      <c r="BK46" s="152">
        <v>3.14</v>
      </c>
      <c r="BL46" s="152">
        <v>3.1709999999999998</v>
      </c>
      <c r="BM46" s="152">
        <v>3.19</v>
      </c>
      <c r="BN46" s="152">
        <v>0.65400000000000003</v>
      </c>
      <c r="BO46" s="152">
        <v>0.51900000000000002</v>
      </c>
      <c r="BP46" s="152">
        <v>0.83699999999999997</v>
      </c>
      <c r="BQ46" s="152">
        <v>3.26</v>
      </c>
      <c r="BR46" s="152">
        <v>0.505</v>
      </c>
      <c r="BS46" s="152">
        <v>3.278</v>
      </c>
      <c r="BT46" s="152">
        <v>3.327</v>
      </c>
      <c r="BU46" s="152">
        <v>0.52600000000000002</v>
      </c>
      <c r="BV46" s="152">
        <v>3.3490000000000002</v>
      </c>
      <c r="BW46" s="152">
        <v>3.375</v>
      </c>
      <c r="BX46" s="152">
        <v>0.48599999999999999</v>
      </c>
      <c r="BY46" s="152">
        <v>3.4169999999999998</v>
      </c>
      <c r="BZ46" s="152"/>
      <c r="CA46" s="152"/>
      <c r="CB46" s="152"/>
      <c r="CC46" s="152"/>
      <c r="CD46" s="152"/>
      <c r="CE46" s="152"/>
      <c r="CF46" s="152"/>
      <c r="CG46" s="152"/>
      <c r="CH46" s="152"/>
      <c r="CI46" s="152"/>
      <c r="CJ46" s="152"/>
      <c r="CK46" s="152"/>
      <c r="CL46" s="152"/>
      <c r="CM46" s="152"/>
      <c r="CN46" s="152"/>
      <c r="CO46" s="152"/>
      <c r="CP46" s="152"/>
      <c r="CQ46" s="152"/>
      <c r="CR46" s="152"/>
      <c r="CS46" s="152"/>
      <c r="CT46" s="152"/>
      <c r="CU46" s="152"/>
      <c r="CV46" s="152"/>
      <c r="CW46" s="152"/>
      <c r="CX46" s="152"/>
      <c r="CY46" s="152"/>
      <c r="CZ46" s="152"/>
      <c r="DA46" s="152"/>
      <c r="DB46" s="152"/>
      <c r="DC46" s="152"/>
      <c r="DD46" s="152"/>
      <c r="DE46" s="152"/>
      <c r="DF46" s="152"/>
      <c r="DG46" s="152"/>
      <c r="DH46" s="152"/>
      <c r="DI46" s="152"/>
      <c r="DJ46" s="152"/>
      <c r="DK46" s="152"/>
      <c r="DL46" s="152"/>
      <c r="DM46" s="152"/>
      <c r="DN46" s="152"/>
      <c r="DO46" s="152"/>
      <c r="DP46" s="152"/>
      <c r="DQ46" s="152"/>
      <c r="DR46" s="152"/>
      <c r="DS46" s="152"/>
      <c r="DT46" s="152"/>
      <c r="DU46" s="152"/>
      <c r="DV46" s="152"/>
      <c r="DW46" s="152"/>
      <c r="DX46" s="152"/>
      <c r="DY46" s="152"/>
      <c r="DZ46" s="152"/>
      <c r="EA46" s="152"/>
      <c r="EB46" s="152"/>
      <c r="EC46" s="152"/>
      <c r="ED46" s="152"/>
      <c r="EE46" s="152"/>
      <c r="EF46" s="152"/>
      <c r="EG46" s="152"/>
      <c r="EH46" s="152"/>
      <c r="EI46" s="152"/>
      <c r="EJ46" s="152"/>
      <c r="EK46" s="152"/>
      <c r="EL46" s="152"/>
      <c r="EM46" s="152"/>
      <c r="EN46" s="152"/>
      <c r="EO46" s="152"/>
      <c r="EP46" s="152"/>
      <c r="EQ46" s="152"/>
      <c r="ER46" s="152"/>
      <c r="ES46" s="152"/>
      <c r="ET46" s="152"/>
      <c r="EU46" s="152"/>
      <c r="EV46" s="152"/>
      <c r="EW46" s="152"/>
      <c r="EX46" s="152"/>
      <c r="EY46" s="152"/>
      <c r="EZ46" s="152"/>
      <c r="FA46" s="152"/>
      <c r="FB46" s="152"/>
      <c r="FC46" s="152"/>
      <c r="FD46" s="152"/>
      <c r="FE46" s="152"/>
      <c r="FF46" s="152"/>
      <c r="FG46" s="152"/>
      <c r="FH46" s="152"/>
    </row>
    <row r="47" spans="1:164" x14ac:dyDescent="0.25">
      <c r="A47" s="152" t="s">
        <v>1490</v>
      </c>
      <c r="B47" s="12" t="s">
        <v>742</v>
      </c>
      <c r="C47" s="12">
        <v>0</v>
      </c>
      <c r="D47" s="152">
        <v>0</v>
      </c>
      <c r="E47" s="152">
        <v>0</v>
      </c>
      <c r="F47" s="152">
        <v>0</v>
      </c>
      <c r="G47" s="152">
        <v>0</v>
      </c>
      <c r="H47" s="152">
        <v>0</v>
      </c>
      <c r="I47" s="152">
        <v>0</v>
      </c>
      <c r="J47" s="152">
        <v>0</v>
      </c>
      <c r="K47" s="152">
        <v>0</v>
      </c>
      <c r="L47" s="152">
        <v>0</v>
      </c>
      <c r="M47" s="152">
        <v>0</v>
      </c>
      <c r="N47" s="152">
        <v>0</v>
      </c>
      <c r="O47" s="152">
        <v>0</v>
      </c>
      <c r="P47" s="152">
        <v>0</v>
      </c>
      <c r="Q47" s="152">
        <v>0</v>
      </c>
      <c r="R47" s="152">
        <v>0</v>
      </c>
      <c r="S47" s="152">
        <v>0</v>
      </c>
      <c r="T47" s="152">
        <v>0</v>
      </c>
      <c r="U47" s="152">
        <v>0</v>
      </c>
      <c r="V47" s="152">
        <v>0</v>
      </c>
      <c r="W47" s="152">
        <v>0</v>
      </c>
      <c r="X47" s="152">
        <v>0</v>
      </c>
      <c r="Y47" s="152">
        <v>0</v>
      </c>
      <c r="Z47" s="152">
        <v>0</v>
      </c>
      <c r="AA47" s="152">
        <v>0</v>
      </c>
      <c r="AB47" s="152">
        <v>0</v>
      </c>
      <c r="AC47" s="152">
        <v>0</v>
      </c>
      <c r="AD47" s="152">
        <v>0</v>
      </c>
      <c r="AE47" s="152">
        <v>0</v>
      </c>
      <c r="AF47" s="152">
        <v>0</v>
      </c>
      <c r="AG47" s="152">
        <v>0</v>
      </c>
      <c r="AH47" s="152">
        <v>0</v>
      </c>
      <c r="AI47" s="152">
        <v>0</v>
      </c>
      <c r="AJ47" s="152">
        <v>0</v>
      </c>
      <c r="AK47" s="152">
        <v>0</v>
      </c>
      <c r="AL47" s="152">
        <v>0</v>
      </c>
      <c r="AM47" s="152">
        <v>0</v>
      </c>
      <c r="AN47" s="152">
        <v>0</v>
      </c>
      <c r="AO47" s="152">
        <v>0</v>
      </c>
      <c r="AP47" s="152">
        <v>0</v>
      </c>
      <c r="AQ47" s="152">
        <v>0</v>
      </c>
      <c r="AR47" s="152">
        <v>0</v>
      </c>
      <c r="AS47" s="152">
        <v>0</v>
      </c>
      <c r="AT47" s="152">
        <v>0</v>
      </c>
      <c r="AU47" s="152">
        <v>0</v>
      </c>
      <c r="AV47" s="152">
        <v>0</v>
      </c>
      <c r="AW47" s="152">
        <v>0</v>
      </c>
      <c r="AX47" s="152">
        <v>0</v>
      </c>
      <c r="AY47" s="152">
        <v>0</v>
      </c>
      <c r="AZ47" s="152">
        <v>0</v>
      </c>
      <c r="BA47" s="152">
        <v>0</v>
      </c>
      <c r="BB47" s="152">
        <v>0</v>
      </c>
      <c r="BC47" s="152">
        <v>0</v>
      </c>
      <c r="BD47" s="152">
        <v>0</v>
      </c>
      <c r="BE47" s="152">
        <v>0</v>
      </c>
      <c r="BF47" s="152">
        <v>0</v>
      </c>
      <c r="BG47" s="152">
        <v>0</v>
      </c>
      <c r="BH47" s="152">
        <v>0</v>
      </c>
      <c r="BI47" s="152">
        <v>0</v>
      </c>
      <c r="BJ47" s="152">
        <v>0</v>
      </c>
      <c r="BK47" s="152">
        <v>0</v>
      </c>
      <c r="BL47" s="152">
        <v>0</v>
      </c>
      <c r="BM47" s="152">
        <v>0</v>
      </c>
      <c r="BN47" s="152">
        <v>0</v>
      </c>
      <c r="BO47" s="152">
        <v>0</v>
      </c>
      <c r="BP47" s="152">
        <v>0</v>
      </c>
      <c r="BQ47" s="152">
        <v>0</v>
      </c>
      <c r="BR47" s="152">
        <v>0</v>
      </c>
      <c r="BS47" s="152">
        <v>0</v>
      </c>
      <c r="BT47" s="152">
        <v>0</v>
      </c>
      <c r="BU47" s="152">
        <v>0</v>
      </c>
      <c r="BV47" s="152">
        <v>0</v>
      </c>
      <c r="BW47" s="152">
        <v>0</v>
      </c>
      <c r="BX47" s="152">
        <v>0</v>
      </c>
      <c r="BY47" s="152">
        <v>0</v>
      </c>
      <c r="BZ47" s="152"/>
      <c r="CA47" s="152"/>
      <c r="CB47" s="152"/>
      <c r="CC47" s="152"/>
      <c r="CD47" s="152"/>
      <c r="CE47" s="152"/>
      <c r="CF47" s="152"/>
      <c r="CG47" s="152"/>
      <c r="CH47" s="152"/>
      <c r="CI47" s="152"/>
      <c r="CJ47" s="152"/>
      <c r="CK47" s="152"/>
      <c r="CL47" s="152"/>
      <c r="CM47" s="152"/>
      <c r="CN47" s="152"/>
      <c r="CO47" s="152"/>
      <c r="CP47" s="152"/>
      <c r="CQ47" s="152"/>
      <c r="CR47" s="152"/>
      <c r="CS47" s="152"/>
      <c r="CT47" s="152"/>
      <c r="CU47" s="152"/>
      <c r="CV47" s="152"/>
      <c r="CW47" s="152"/>
      <c r="CX47" s="152"/>
      <c r="CY47" s="152"/>
      <c r="CZ47" s="152"/>
      <c r="DA47" s="152"/>
      <c r="DB47" s="152"/>
      <c r="DC47" s="152"/>
      <c r="DD47" s="152"/>
      <c r="DE47" s="152"/>
      <c r="DF47" s="152"/>
      <c r="DG47" s="152"/>
      <c r="DH47" s="152"/>
      <c r="DI47" s="152"/>
      <c r="DJ47" s="152"/>
      <c r="DK47" s="152"/>
      <c r="DL47" s="152"/>
      <c r="DM47" s="152"/>
      <c r="DN47" s="152"/>
      <c r="DO47" s="152"/>
      <c r="DP47" s="152"/>
      <c r="DQ47" s="152"/>
      <c r="DR47" s="152"/>
      <c r="DS47" s="152"/>
      <c r="DT47" s="152"/>
      <c r="DU47" s="152"/>
      <c r="DV47" s="152"/>
      <c r="DW47" s="152"/>
      <c r="DX47" s="152"/>
      <c r="DY47" s="152"/>
      <c r="DZ47" s="152"/>
      <c r="EA47" s="152"/>
      <c r="EB47" s="152"/>
      <c r="EC47" s="152"/>
      <c r="ED47" s="152"/>
      <c r="EE47" s="152"/>
      <c r="EF47" s="152"/>
      <c r="EG47" s="152"/>
      <c r="EH47" s="152"/>
      <c r="EI47" s="152"/>
      <c r="EJ47" s="152"/>
      <c r="EK47" s="152"/>
      <c r="EL47" s="152"/>
      <c r="EM47" s="152"/>
      <c r="EN47" s="152"/>
      <c r="EO47" s="152"/>
      <c r="EP47" s="152"/>
      <c r="EQ47" s="152"/>
      <c r="ER47" s="152"/>
      <c r="ES47" s="152"/>
      <c r="ET47" s="152"/>
      <c r="EU47" s="152"/>
      <c r="EV47" s="152"/>
      <c r="EW47" s="152"/>
      <c r="EX47" s="152"/>
      <c r="EY47" s="152"/>
      <c r="EZ47" s="152"/>
      <c r="FA47" s="152"/>
      <c r="FB47" s="152"/>
      <c r="FC47" s="152"/>
      <c r="FD47" s="152"/>
      <c r="FE47" s="152"/>
      <c r="FF47" s="152"/>
      <c r="FG47" s="152"/>
      <c r="FH47" s="152"/>
    </row>
    <row r="48" spans="1:164" x14ac:dyDescent="0.25">
      <c r="A48" s="152" t="s">
        <v>1491</v>
      </c>
      <c r="B48" s="12" t="s">
        <v>743</v>
      </c>
      <c r="C48" s="12">
        <v>11.122999999999999</v>
      </c>
      <c r="D48" s="152">
        <v>12</v>
      </c>
      <c r="E48" s="152">
        <v>12.228999999999999</v>
      </c>
      <c r="F48" s="152">
        <v>16.425000000000001</v>
      </c>
      <c r="G48" s="152">
        <v>9.8320000000000007</v>
      </c>
      <c r="H48" s="152">
        <v>39.656999999999996</v>
      </c>
      <c r="I48" s="152">
        <v>45.033000000000001</v>
      </c>
      <c r="J48" s="152">
        <v>52.03</v>
      </c>
      <c r="K48" s="152">
        <v>9.3829999999999991</v>
      </c>
      <c r="L48" s="152">
        <v>58.244</v>
      </c>
      <c r="M48" s="152">
        <v>10.606</v>
      </c>
      <c r="N48" s="152">
        <v>20.067</v>
      </c>
      <c r="O48" s="152">
        <v>27.515000000000001</v>
      </c>
      <c r="P48" s="152">
        <v>12.287000000000001</v>
      </c>
      <c r="Q48" s="152">
        <v>12.336</v>
      </c>
      <c r="R48" s="152">
        <v>11.615</v>
      </c>
      <c r="S48" s="152">
        <v>13.561999999999999</v>
      </c>
      <c r="T48" s="152">
        <v>10.996</v>
      </c>
      <c r="U48" s="152">
        <v>21.725999999999999</v>
      </c>
      <c r="V48" s="152">
        <v>29.454000000000001</v>
      </c>
      <c r="W48" s="152">
        <v>13.747999999999999</v>
      </c>
      <c r="X48" s="152">
        <v>13.885999999999999</v>
      </c>
      <c r="Y48" s="152">
        <v>13.914</v>
      </c>
      <c r="Z48" s="152">
        <v>34.426000000000002</v>
      </c>
      <c r="AA48" s="152">
        <v>14.721</v>
      </c>
      <c r="AB48" s="152">
        <v>13.833</v>
      </c>
      <c r="AC48" s="152">
        <v>24.468</v>
      </c>
      <c r="AD48" s="152">
        <v>24.658999999999999</v>
      </c>
      <c r="AE48" s="152">
        <v>45.363</v>
      </c>
      <c r="AF48" s="152">
        <v>49.790999999999997</v>
      </c>
      <c r="AG48" s="152">
        <v>59.347999999999999</v>
      </c>
      <c r="AH48" s="152">
        <v>63.462000000000003</v>
      </c>
      <c r="AI48" s="152">
        <v>21.111000000000001</v>
      </c>
      <c r="AJ48" s="152">
        <v>20.108000000000001</v>
      </c>
      <c r="AK48" s="152">
        <v>32.837000000000003</v>
      </c>
      <c r="AL48" s="152">
        <v>32.857999999999997</v>
      </c>
      <c r="AM48" s="152">
        <v>78.373999999999995</v>
      </c>
      <c r="AN48" s="152">
        <v>82.397000000000006</v>
      </c>
      <c r="AO48" s="152">
        <v>16.065000000000001</v>
      </c>
      <c r="AP48" s="152">
        <v>86.174999999999997</v>
      </c>
      <c r="AQ48" s="152">
        <v>88.445999999999998</v>
      </c>
      <c r="AR48" s="152">
        <v>15.071999999999999</v>
      </c>
      <c r="AS48" s="152">
        <v>12.518000000000001</v>
      </c>
      <c r="AT48" s="152">
        <v>13.632999999999999</v>
      </c>
      <c r="AU48" s="152">
        <v>34.337000000000003</v>
      </c>
      <c r="AV48" s="152">
        <v>40.703000000000003</v>
      </c>
      <c r="AW48" s="152">
        <v>11.548</v>
      </c>
      <c r="AX48" s="152">
        <v>49.347999999999999</v>
      </c>
      <c r="AY48" s="152">
        <v>49.656999999999996</v>
      </c>
      <c r="AZ48" s="152">
        <v>112.428</v>
      </c>
      <c r="BA48" s="152">
        <v>20.344999999999999</v>
      </c>
      <c r="BB48" s="152">
        <v>116.41</v>
      </c>
      <c r="BC48" s="152">
        <v>116.55</v>
      </c>
      <c r="BD48" s="152">
        <v>124.023</v>
      </c>
      <c r="BE48" s="152">
        <v>125.229</v>
      </c>
      <c r="BF48" s="152">
        <v>12.855</v>
      </c>
      <c r="BG48" s="152">
        <v>129.52500000000001</v>
      </c>
      <c r="BH48" s="152">
        <v>9.3610000000000007</v>
      </c>
      <c r="BI48" s="152">
        <v>132.79</v>
      </c>
      <c r="BJ48" s="152">
        <v>152.595</v>
      </c>
      <c r="BK48" s="152">
        <v>153.142</v>
      </c>
      <c r="BL48" s="152">
        <v>155.387</v>
      </c>
      <c r="BM48" s="152">
        <v>156.77500000000001</v>
      </c>
      <c r="BN48" s="152">
        <v>14.545</v>
      </c>
      <c r="BO48" s="152">
        <v>10.286</v>
      </c>
      <c r="BP48" s="152">
        <v>21.091000000000001</v>
      </c>
      <c r="BQ48" s="152">
        <v>161.98500000000001</v>
      </c>
      <c r="BR48" s="152">
        <v>9.8879999999999999</v>
      </c>
      <c r="BS48" s="152">
        <v>163.30699999999999</v>
      </c>
      <c r="BT48" s="152">
        <v>167.011</v>
      </c>
      <c r="BU48" s="152">
        <v>10.507</v>
      </c>
      <c r="BV48" s="152">
        <v>168.67599999999999</v>
      </c>
      <c r="BW48" s="152">
        <v>170.60599999999999</v>
      </c>
      <c r="BX48" s="152">
        <v>9.3360000000000003</v>
      </c>
      <c r="BY48" s="152">
        <v>173.84200000000001</v>
      </c>
      <c r="BZ48" s="152"/>
      <c r="CA48" s="152"/>
      <c r="CB48" s="152"/>
      <c r="CC48" s="152"/>
      <c r="CD48" s="152"/>
      <c r="CE48" s="152"/>
      <c r="CF48" s="152"/>
      <c r="CG48" s="152"/>
      <c r="CH48" s="152"/>
      <c r="CI48" s="152"/>
      <c r="CJ48" s="152"/>
      <c r="CK48" s="152"/>
      <c r="CL48" s="152"/>
      <c r="CM48" s="152"/>
      <c r="CN48" s="152"/>
      <c r="CO48" s="152"/>
      <c r="CP48" s="152"/>
      <c r="CQ48" s="152"/>
      <c r="CR48" s="152"/>
      <c r="CS48" s="152"/>
      <c r="CT48" s="152"/>
      <c r="CU48" s="152"/>
      <c r="CV48" s="152"/>
      <c r="CW48" s="152"/>
      <c r="CX48" s="152"/>
      <c r="CY48" s="152"/>
      <c r="CZ48" s="152"/>
      <c r="DA48" s="152"/>
      <c r="DB48" s="152"/>
      <c r="DC48" s="152"/>
      <c r="DD48" s="152"/>
      <c r="DE48" s="152"/>
      <c r="DF48" s="152"/>
      <c r="DG48" s="152"/>
      <c r="DH48" s="152"/>
      <c r="DI48" s="152"/>
      <c r="DJ48" s="152"/>
      <c r="DK48" s="152"/>
      <c r="DL48" s="152"/>
      <c r="DM48" s="152"/>
      <c r="DN48" s="152"/>
      <c r="DO48" s="152"/>
      <c r="DP48" s="152"/>
      <c r="DQ48" s="152"/>
      <c r="DR48" s="152"/>
      <c r="DS48" s="152"/>
      <c r="DT48" s="152"/>
      <c r="DU48" s="152"/>
      <c r="DV48" s="152"/>
      <c r="DW48" s="152"/>
      <c r="DX48" s="152"/>
      <c r="DY48" s="152"/>
      <c r="DZ48" s="152"/>
      <c r="EA48" s="152"/>
      <c r="EB48" s="152"/>
      <c r="EC48" s="152"/>
      <c r="ED48" s="152"/>
      <c r="EE48" s="152"/>
      <c r="EF48" s="152"/>
      <c r="EG48" s="152"/>
      <c r="EH48" s="152"/>
      <c r="EI48" s="152"/>
      <c r="EJ48" s="152"/>
      <c r="EK48" s="152"/>
      <c r="EL48" s="152"/>
      <c r="EM48" s="152"/>
      <c r="EN48" s="152"/>
      <c r="EO48" s="152"/>
      <c r="EP48" s="152"/>
      <c r="EQ48" s="152"/>
      <c r="ER48" s="152"/>
      <c r="ES48" s="152"/>
      <c r="ET48" s="152"/>
      <c r="EU48" s="152"/>
      <c r="EV48" s="152"/>
      <c r="EW48" s="152"/>
      <c r="EX48" s="152"/>
      <c r="EY48" s="152"/>
      <c r="EZ48" s="152"/>
      <c r="FA48" s="152"/>
      <c r="FB48" s="152"/>
      <c r="FC48" s="152"/>
      <c r="FD48" s="152"/>
      <c r="FE48" s="152"/>
      <c r="FF48" s="152"/>
      <c r="FG48" s="152"/>
      <c r="FH48" s="152"/>
    </row>
    <row r="49" spans="1:164" x14ac:dyDescent="0.25">
      <c r="A49" s="152" t="s">
        <v>1492</v>
      </c>
      <c r="B49" s="12" t="s">
        <v>744</v>
      </c>
      <c r="C49" s="12">
        <v>1.4E-2</v>
      </c>
      <c r="D49" s="152">
        <v>1.2999999999999999E-2</v>
      </c>
      <c r="E49" s="152">
        <v>2.1999999999999999E-2</v>
      </c>
      <c r="F49" s="152">
        <v>7.0000000000000001E-3</v>
      </c>
      <c r="G49" s="152">
        <v>2.1999999999999999E-2</v>
      </c>
      <c r="H49" s="152">
        <v>2.4E-2</v>
      </c>
      <c r="I49" s="152">
        <v>8.0000000000000002E-3</v>
      </c>
      <c r="J49" s="152">
        <v>6.0000000000000001E-3</v>
      </c>
      <c r="K49" s="152">
        <v>2.3E-2</v>
      </c>
      <c r="L49" s="152">
        <v>6.0000000000000001E-3</v>
      </c>
      <c r="M49" s="152">
        <v>2.8000000000000001E-2</v>
      </c>
      <c r="N49" s="152">
        <v>2.3E-2</v>
      </c>
      <c r="O49" s="152">
        <v>1.6E-2</v>
      </c>
      <c r="P49" s="152">
        <v>5.0000000000000001E-3</v>
      </c>
      <c r="Q49" s="152">
        <v>0.115</v>
      </c>
      <c r="R49" s="152">
        <v>8.7999999999999995E-2</v>
      </c>
      <c r="S49" s="152">
        <v>6.2E-2</v>
      </c>
      <c r="T49" s="152">
        <v>2.9000000000000001E-2</v>
      </c>
      <c r="U49" s="152">
        <v>2.9000000000000001E-2</v>
      </c>
      <c r="V49" s="152">
        <v>1.4999999999999999E-2</v>
      </c>
      <c r="W49" s="152">
        <v>3.1E-2</v>
      </c>
      <c r="X49" s="152">
        <v>3.6999999999999998E-2</v>
      </c>
      <c r="Y49" s="152">
        <v>1.6E-2</v>
      </c>
      <c r="Z49" s="152">
        <v>1.2E-2</v>
      </c>
      <c r="AA49" s="152">
        <v>1.7000000000000001E-2</v>
      </c>
      <c r="AB49" s="152">
        <v>3.4000000000000002E-2</v>
      </c>
      <c r="AC49" s="152">
        <v>1.4E-2</v>
      </c>
      <c r="AD49" s="152">
        <v>0.01</v>
      </c>
      <c r="AE49" s="152">
        <v>2E-3</v>
      </c>
      <c r="AF49" s="152">
        <v>1.2E-2</v>
      </c>
      <c r="AG49" s="152">
        <v>1.6E-2</v>
      </c>
      <c r="AH49" s="152">
        <v>1.7000000000000001E-2</v>
      </c>
      <c r="AI49" s="152">
        <v>3.2000000000000001E-2</v>
      </c>
      <c r="AJ49" s="152">
        <v>3.7999999999999999E-2</v>
      </c>
      <c r="AK49" s="152">
        <v>2.3E-2</v>
      </c>
      <c r="AL49" s="152">
        <v>3.6999999999999998E-2</v>
      </c>
      <c r="AM49" s="152">
        <v>1.2E-2</v>
      </c>
      <c r="AN49" s="152">
        <v>1.7000000000000001E-2</v>
      </c>
      <c r="AO49" s="152">
        <v>4.2000000000000003E-2</v>
      </c>
      <c r="AP49" s="152">
        <v>7.0000000000000001E-3</v>
      </c>
      <c r="AQ49" s="152">
        <v>5.0000000000000001E-3</v>
      </c>
      <c r="AR49" s="152">
        <v>0.04</v>
      </c>
      <c r="AS49" s="152">
        <v>2.7E-2</v>
      </c>
      <c r="AT49" s="152">
        <v>2.1000000000000001E-2</v>
      </c>
      <c r="AU49" s="152">
        <v>1.9E-2</v>
      </c>
      <c r="AV49" s="152">
        <v>1.7000000000000001E-2</v>
      </c>
      <c r="AW49" s="152">
        <v>7.1999999999999995E-2</v>
      </c>
      <c r="AX49" s="152">
        <v>0.02</v>
      </c>
      <c r="AY49" s="152">
        <v>1.4E-2</v>
      </c>
      <c r="AZ49" s="152">
        <v>1E-3</v>
      </c>
      <c r="BA49" s="152">
        <v>0.03</v>
      </c>
      <c r="BB49" s="152">
        <v>3.0000000000000001E-3</v>
      </c>
      <c r="BC49" s="152">
        <v>6.0000000000000001E-3</v>
      </c>
      <c r="BD49" s="152">
        <v>5.0000000000000001E-3</v>
      </c>
      <c r="BE49" s="152">
        <v>4.0000000000000001E-3</v>
      </c>
      <c r="BF49" s="152">
        <v>1.7999999999999999E-2</v>
      </c>
      <c r="BG49" s="152">
        <v>4.0000000000000001E-3</v>
      </c>
      <c r="BH49" s="152">
        <v>1.7999999999999999E-2</v>
      </c>
      <c r="BI49" s="152">
        <v>4.0000000000000001E-3</v>
      </c>
      <c r="BJ49" s="152">
        <v>4.0000000000000001E-3</v>
      </c>
      <c r="BK49" s="152">
        <v>3.0000000000000001E-3</v>
      </c>
      <c r="BL49" s="152">
        <v>3.0000000000000001E-3</v>
      </c>
      <c r="BM49" s="152">
        <v>3.0000000000000001E-3</v>
      </c>
      <c r="BN49" s="152">
        <v>1.0999999999999999E-2</v>
      </c>
      <c r="BO49" s="152">
        <v>1.2999999999999999E-2</v>
      </c>
      <c r="BP49" s="152">
        <v>1.2E-2</v>
      </c>
      <c r="BQ49" s="152">
        <v>3.0000000000000001E-3</v>
      </c>
      <c r="BR49" s="152">
        <v>0.01</v>
      </c>
      <c r="BS49" s="152">
        <v>3.0000000000000001E-3</v>
      </c>
      <c r="BT49" s="152">
        <v>4.0000000000000001E-3</v>
      </c>
      <c r="BU49" s="152">
        <v>1.2E-2</v>
      </c>
      <c r="BV49" s="152">
        <v>4.0000000000000001E-3</v>
      </c>
      <c r="BW49" s="152">
        <v>3.0000000000000001E-3</v>
      </c>
      <c r="BX49" s="152">
        <v>7.0000000000000001E-3</v>
      </c>
      <c r="BY49" s="152">
        <v>4.0000000000000001E-3</v>
      </c>
      <c r="BZ49" s="152"/>
      <c r="CA49" s="152"/>
      <c r="CB49" s="152"/>
      <c r="CC49" s="152"/>
      <c r="CD49" s="152"/>
      <c r="CE49" s="152"/>
      <c r="CF49" s="152"/>
      <c r="CG49" s="152"/>
      <c r="CH49" s="152"/>
      <c r="CI49" s="152"/>
      <c r="CJ49" s="152"/>
      <c r="CK49" s="152"/>
      <c r="CL49" s="152"/>
      <c r="CM49" s="152"/>
      <c r="CN49" s="152"/>
      <c r="CO49" s="152"/>
      <c r="CP49" s="152"/>
      <c r="CQ49" s="152"/>
      <c r="CR49" s="152"/>
      <c r="CS49" s="152"/>
      <c r="CT49" s="152"/>
      <c r="CU49" s="152"/>
      <c r="CV49" s="152"/>
      <c r="CW49" s="152"/>
      <c r="CX49" s="152"/>
      <c r="CY49" s="152"/>
      <c r="CZ49" s="152"/>
      <c r="DA49" s="152"/>
      <c r="DB49" s="152"/>
      <c r="DC49" s="152"/>
      <c r="DD49" s="152"/>
      <c r="DE49" s="152"/>
      <c r="DF49" s="152"/>
      <c r="DG49" s="152"/>
      <c r="DH49" s="152"/>
      <c r="DI49" s="152"/>
      <c r="DJ49" s="152"/>
      <c r="DK49" s="152"/>
      <c r="DL49" s="152"/>
      <c r="DM49" s="152"/>
      <c r="DN49" s="152"/>
      <c r="DO49" s="152"/>
      <c r="DP49" s="152"/>
      <c r="DQ49" s="152"/>
      <c r="DR49" s="152"/>
      <c r="DS49" s="152"/>
      <c r="DT49" s="152"/>
      <c r="DU49" s="152"/>
      <c r="DV49" s="152"/>
      <c r="DW49" s="152"/>
      <c r="DX49" s="152"/>
      <c r="DY49" s="152"/>
      <c r="DZ49" s="152"/>
      <c r="EA49" s="152"/>
      <c r="EB49" s="152"/>
      <c r="EC49" s="152"/>
      <c r="ED49" s="152"/>
      <c r="EE49" s="152"/>
      <c r="EF49" s="152"/>
      <c r="EG49" s="152"/>
      <c r="EH49" s="152"/>
      <c r="EI49" s="152"/>
      <c r="EJ49" s="152"/>
      <c r="EK49" s="152"/>
      <c r="EL49" s="152"/>
      <c r="EM49" s="152"/>
      <c r="EN49" s="152"/>
      <c r="EO49" s="152"/>
      <c r="EP49" s="152"/>
      <c r="EQ49" s="152"/>
      <c r="ER49" s="152"/>
      <c r="ES49" s="152"/>
      <c r="ET49" s="152"/>
      <c r="EU49" s="152"/>
      <c r="EV49" s="152"/>
      <c r="EW49" s="152"/>
      <c r="EX49" s="152"/>
      <c r="EY49" s="152"/>
      <c r="EZ49" s="152"/>
      <c r="FA49" s="152"/>
      <c r="FB49" s="152"/>
      <c r="FC49" s="152"/>
      <c r="FD49" s="152"/>
      <c r="FE49" s="152"/>
      <c r="FF49" s="152"/>
      <c r="FG49" s="152"/>
      <c r="FH49" s="152"/>
    </row>
    <row r="50" spans="1:164" x14ac:dyDescent="0.25">
      <c r="A50" s="152" t="s">
        <v>1493</v>
      </c>
      <c r="B50" s="12" t="s">
        <v>745</v>
      </c>
      <c r="C50" s="12">
        <v>0.05</v>
      </c>
      <c r="D50" s="152">
        <v>0.05</v>
      </c>
      <c r="E50" s="152">
        <v>0.05</v>
      </c>
      <c r="F50" s="152">
        <v>0.05</v>
      </c>
      <c r="G50" s="152">
        <v>0.05</v>
      </c>
      <c r="H50" s="152">
        <v>0.05</v>
      </c>
      <c r="I50" s="152">
        <v>0.05</v>
      </c>
      <c r="J50" s="152">
        <v>0.05</v>
      </c>
      <c r="K50" s="152">
        <v>0.05</v>
      </c>
      <c r="L50" s="152">
        <v>0.05</v>
      </c>
      <c r="M50" s="152">
        <v>0.05</v>
      </c>
      <c r="N50" s="152">
        <v>0.05</v>
      </c>
      <c r="O50" s="152">
        <v>0.05</v>
      </c>
      <c r="P50" s="152">
        <v>0.05</v>
      </c>
      <c r="Q50" s="152">
        <v>0.05</v>
      </c>
      <c r="R50" s="152">
        <v>0.05</v>
      </c>
      <c r="S50" s="152">
        <v>0.05</v>
      </c>
      <c r="T50" s="152">
        <v>0.05</v>
      </c>
      <c r="U50" s="152">
        <v>0.05</v>
      </c>
      <c r="V50" s="152">
        <v>0.05</v>
      </c>
      <c r="W50" s="152">
        <v>0.05</v>
      </c>
      <c r="X50" s="152">
        <v>0.05</v>
      </c>
      <c r="Y50" s="152">
        <v>0.05</v>
      </c>
      <c r="Z50" s="152">
        <v>0.05</v>
      </c>
      <c r="AA50" s="152">
        <v>0.05</v>
      </c>
      <c r="AB50" s="152">
        <v>0.05</v>
      </c>
      <c r="AC50" s="152">
        <v>0.05</v>
      </c>
      <c r="AD50" s="152">
        <v>0.05</v>
      </c>
      <c r="AE50" s="152">
        <v>0.05</v>
      </c>
      <c r="AF50" s="152">
        <v>0.05</v>
      </c>
      <c r="AG50" s="152">
        <v>0.05</v>
      </c>
      <c r="AH50" s="152">
        <v>0.05</v>
      </c>
      <c r="AI50" s="152">
        <v>0.05</v>
      </c>
      <c r="AJ50" s="152">
        <v>0.05</v>
      </c>
      <c r="AK50" s="152">
        <v>0.05</v>
      </c>
      <c r="AL50" s="152">
        <v>0.05</v>
      </c>
      <c r="AM50" s="152">
        <v>0.05</v>
      </c>
      <c r="AN50" s="152">
        <v>0.05</v>
      </c>
      <c r="AO50" s="152">
        <v>0.05</v>
      </c>
      <c r="AP50" s="152">
        <v>0.05</v>
      </c>
      <c r="AQ50" s="152">
        <v>0.05</v>
      </c>
      <c r="AR50" s="152">
        <v>0.05</v>
      </c>
      <c r="AS50" s="152">
        <v>0.05</v>
      </c>
      <c r="AT50" s="152">
        <v>0.05</v>
      </c>
      <c r="AU50" s="152">
        <v>0.05</v>
      </c>
      <c r="AV50" s="152">
        <v>0.05</v>
      </c>
      <c r="AW50" s="152">
        <v>0.05</v>
      </c>
      <c r="AX50" s="152">
        <v>0.05</v>
      </c>
      <c r="AY50" s="152">
        <v>0.05</v>
      </c>
      <c r="AZ50" s="152">
        <v>0.05</v>
      </c>
      <c r="BA50" s="152">
        <v>0.05</v>
      </c>
      <c r="BB50" s="152">
        <v>0.05</v>
      </c>
      <c r="BC50" s="152">
        <v>0.05</v>
      </c>
      <c r="BD50" s="152">
        <v>0.05</v>
      </c>
      <c r="BE50" s="152">
        <v>0.05</v>
      </c>
      <c r="BF50" s="152">
        <v>0.05</v>
      </c>
      <c r="BG50" s="152">
        <v>0.05</v>
      </c>
      <c r="BH50" s="152">
        <v>0.05</v>
      </c>
      <c r="BI50" s="152">
        <v>0.05</v>
      </c>
      <c r="BJ50" s="152">
        <v>0.05</v>
      </c>
      <c r="BK50" s="152">
        <v>0.05</v>
      </c>
      <c r="BL50" s="152">
        <v>0.05</v>
      </c>
      <c r="BM50" s="152">
        <v>0.05</v>
      </c>
      <c r="BN50" s="152">
        <v>0.05</v>
      </c>
      <c r="BO50" s="152">
        <v>0.05</v>
      </c>
      <c r="BP50" s="152">
        <v>0.05</v>
      </c>
      <c r="BQ50" s="152">
        <v>0.05</v>
      </c>
      <c r="BR50" s="152">
        <v>0.05</v>
      </c>
      <c r="BS50" s="152">
        <v>0.05</v>
      </c>
      <c r="BT50" s="152">
        <v>0.05</v>
      </c>
      <c r="BU50" s="152">
        <v>0.05</v>
      </c>
      <c r="BV50" s="152">
        <v>0.05</v>
      </c>
      <c r="BW50" s="152">
        <v>0.05</v>
      </c>
      <c r="BX50" s="152">
        <v>0.05</v>
      </c>
      <c r="BY50" s="152">
        <v>0.05</v>
      </c>
      <c r="BZ50" s="152"/>
      <c r="CA50" s="152"/>
      <c r="CB50" s="152"/>
      <c r="CC50" s="152"/>
      <c r="CD50" s="152"/>
      <c r="CE50" s="152"/>
      <c r="CF50" s="152"/>
      <c r="CG50" s="152"/>
      <c r="CH50" s="152"/>
      <c r="CI50" s="152"/>
      <c r="CJ50" s="152"/>
      <c r="CK50" s="152"/>
      <c r="CL50" s="152"/>
      <c r="CM50" s="152"/>
      <c r="CN50" s="152"/>
      <c r="CO50" s="152"/>
      <c r="CP50" s="152"/>
      <c r="CQ50" s="152"/>
      <c r="CR50" s="152"/>
      <c r="CS50" s="152"/>
      <c r="CT50" s="152"/>
      <c r="CU50" s="152"/>
      <c r="CV50" s="152"/>
      <c r="CW50" s="152"/>
      <c r="CX50" s="152"/>
      <c r="CY50" s="152"/>
      <c r="CZ50" s="152"/>
      <c r="DA50" s="152"/>
      <c r="DB50" s="152"/>
      <c r="DC50" s="152"/>
      <c r="DD50" s="152"/>
      <c r="DE50" s="152"/>
      <c r="DF50" s="152"/>
      <c r="DG50" s="152"/>
      <c r="DH50" s="152"/>
      <c r="DI50" s="152"/>
      <c r="DJ50" s="152"/>
      <c r="DK50" s="152"/>
      <c r="DL50" s="152"/>
      <c r="DM50" s="152"/>
      <c r="DN50" s="152"/>
      <c r="DO50" s="152"/>
      <c r="DP50" s="152"/>
      <c r="DQ50" s="152"/>
      <c r="DR50" s="152"/>
      <c r="DS50" s="152"/>
      <c r="DT50" s="152"/>
      <c r="DU50" s="152"/>
      <c r="DV50" s="152"/>
      <c r="DW50" s="152"/>
      <c r="DX50" s="152"/>
      <c r="DY50" s="152"/>
      <c r="DZ50" s="152"/>
      <c r="EA50" s="152"/>
      <c r="EB50" s="152"/>
      <c r="EC50" s="152"/>
      <c r="ED50" s="152"/>
      <c r="EE50" s="152"/>
      <c r="EF50" s="152"/>
      <c r="EG50" s="152"/>
      <c r="EH50" s="152"/>
      <c r="EI50" s="152"/>
      <c r="EJ50" s="152"/>
      <c r="EK50" s="152"/>
      <c r="EL50" s="152"/>
      <c r="EM50" s="152"/>
      <c r="EN50" s="152"/>
      <c r="EO50" s="152"/>
      <c r="EP50" s="152"/>
      <c r="EQ50" s="152"/>
      <c r="ER50" s="152"/>
      <c r="ES50" s="152"/>
      <c r="ET50" s="152"/>
      <c r="EU50" s="152"/>
      <c r="EV50" s="152"/>
      <c r="EW50" s="152"/>
      <c r="EX50" s="152"/>
      <c r="EY50" s="152"/>
      <c r="EZ50" s="152"/>
      <c r="FA50" s="152"/>
      <c r="FB50" s="152"/>
      <c r="FC50" s="152"/>
      <c r="FD50" s="152"/>
      <c r="FE50" s="152"/>
      <c r="FF50" s="152"/>
      <c r="FG50" s="152"/>
      <c r="FH50" s="152"/>
    </row>
    <row r="51" spans="1:164" x14ac:dyDescent="0.25">
      <c r="A51" s="152" t="s">
        <v>1264</v>
      </c>
      <c r="B51" s="12" t="s">
        <v>746</v>
      </c>
      <c r="C51" s="12">
        <v>0</v>
      </c>
      <c r="D51" s="12">
        <v>0</v>
      </c>
      <c r="E51" s="12">
        <v>0</v>
      </c>
      <c r="F51" s="12">
        <v>0</v>
      </c>
      <c r="G51" s="12">
        <v>0</v>
      </c>
      <c r="H51" s="12">
        <v>0</v>
      </c>
      <c r="I51" s="12">
        <v>0</v>
      </c>
      <c r="J51" s="12">
        <v>0</v>
      </c>
      <c r="K51" s="12">
        <v>0</v>
      </c>
      <c r="L51" s="12">
        <v>0</v>
      </c>
      <c r="M51" s="12">
        <v>0</v>
      </c>
      <c r="N51" s="12">
        <v>0</v>
      </c>
      <c r="O51" s="12">
        <v>0</v>
      </c>
      <c r="P51" s="12">
        <v>0</v>
      </c>
      <c r="Q51" s="12">
        <v>0</v>
      </c>
      <c r="R51" s="12">
        <v>0</v>
      </c>
      <c r="S51" s="12">
        <v>0</v>
      </c>
      <c r="T51" s="12">
        <v>0</v>
      </c>
      <c r="U51" s="12">
        <v>0</v>
      </c>
      <c r="V51" s="12">
        <v>0</v>
      </c>
      <c r="W51" s="12">
        <v>0</v>
      </c>
      <c r="X51" s="12">
        <v>0</v>
      </c>
      <c r="Y51" s="12">
        <v>0</v>
      </c>
      <c r="Z51" s="12">
        <v>0</v>
      </c>
      <c r="AA51" s="12">
        <v>0</v>
      </c>
      <c r="AB51" s="12">
        <v>0</v>
      </c>
      <c r="AC51" s="12">
        <v>0</v>
      </c>
      <c r="AD51" s="12">
        <v>0</v>
      </c>
      <c r="AE51" s="12">
        <v>0</v>
      </c>
      <c r="AF51" s="12">
        <v>0</v>
      </c>
      <c r="AG51" s="12">
        <v>0</v>
      </c>
      <c r="AH51" s="12">
        <v>0</v>
      </c>
      <c r="AI51" s="12">
        <v>0</v>
      </c>
      <c r="AJ51" s="12">
        <v>0</v>
      </c>
      <c r="AK51" s="12">
        <v>0</v>
      </c>
      <c r="AL51" s="12">
        <v>0</v>
      </c>
      <c r="AM51" s="12">
        <v>0</v>
      </c>
      <c r="AN51" s="12">
        <v>0</v>
      </c>
      <c r="AO51" s="12">
        <v>0</v>
      </c>
      <c r="AP51" s="12">
        <v>0</v>
      </c>
      <c r="AQ51" s="12">
        <v>0</v>
      </c>
      <c r="AR51" s="12">
        <v>0</v>
      </c>
      <c r="AS51" s="12">
        <v>0</v>
      </c>
      <c r="AT51" s="12">
        <v>0</v>
      </c>
      <c r="AU51" s="12">
        <v>0</v>
      </c>
      <c r="AV51" s="12">
        <v>0</v>
      </c>
      <c r="AW51" s="12">
        <v>0</v>
      </c>
      <c r="AX51" s="12">
        <v>0</v>
      </c>
      <c r="AY51" s="12">
        <v>0</v>
      </c>
      <c r="AZ51" s="12">
        <v>0</v>
      </c>
      <c r="BA51" s="12">
        <v>0</v>
      </c>
      <c r="BB51" s="12">
        <v>0</v>
      </c>
      <c r="BC51" s="12">
        <v>0</v>
      </c>
      <c r="BD51" s="12">
        <v>0</v>
      </c>
      <c r="BE51" s="12">
        <v>0</v>
      </c>
      <c r="BF51" s="12">
        <v>0</v>
      </c>
      <c r="BG51" s="12">
        <v>0</v>
      </c>
      <c r="BH51" s="12">
        <v>0</v>
      </c>
      <c r="BI51" s="12">
        <v>0</v>
      </c>
      <c r="BJ51" s="12">
        <v>0</v>
      </c>
      <c r="BK51" s="12">
        <v>0</v>
      </c>
      <c r="BL51" s="12">
        <v>0</v>
      </c>
      <c r="BM51" s="12">
        <v>0</v>
      </c>
      <c r="BN51" s="12">
        <v>0</v>
      </c>
      <c r="BO51" s="12">
        <v>0</v>
      </c>
      <c r="BP51" s="12">
        <v>0</v>
      </c>
      <c r="BQ51" s="12">
        <v>0</v>
      </c>
      <c r="BR51" s="12">
        <v>0</v>
      </c>
      <c r="BS51" s="12">
        <v>0</v>
      </c>
      <c r="BT51" s="12">
        <v>0</v>
      </c>
      <c r="BU51" s="12">
        <v>0</v>
      </c>
      <c r="BV51" s="12">
        <v>0</v>
      </c>
      <c r="BW51" s="12">
        <v>0</v>
      </c>
      <c r="BX51" s="12">
        <v>0</v>
      </c>
      <c r="BY51" s="12">
        <v>0</v>
      </c>
    </row>
    <row r="52" spans="1:164" x14ac:dyDescent="0.25">
      <c r="A52" s="152" t="s">
        <v>1265</v>
      </c>
      <c r="B52" s="12" t="s">
        <v>747</v>
      </c>
      <c r="C52" s="12">
        <v>0.3</v>
      </c>
      <c r="D52" s="152">
        <v>0.3</v>
      </c>
      <c r="E52" s="152">
        <v>0.3</v>
      </c>
      <c r="F52" s="152">
        <v>0.3</v>
      </c>
      <c r="G52" s="152">
        <v>0.3</v>
      </c>
      <c r="H52" s="152">
        <v>0.3</v>
      </c>
      <c r="I52" s="152">
        <v>0.3</v>
      </c>
      <c r="J52" s="152">
        <v>0.3</v>
      </c>
      <c r="K52" s="152">
        <v>0.3</v>
      </c>
      <c r="L52" s="152">
        <v>0.3</v>
      </c>
      <c r="M52" s="152">
        <v>0.3</v>
      </c>
      <c r="N52" s="152">
        <v>0.3</v>
      </c>
      <c r="O52" s="152">
        <v>0.3</v>
      </c>
      <c r="P52" s="152">
        <v>0.3</v>
      </c>
      <c r="Q52" s="152">
        <v>0.3</v>
      </c>
      <c r="R52" s="152">
        <v>0.3</v>
      </c>
      <c r="S52" s="152">
        <v>0.3</v>
      </c>
      <c r="T52" s="152">
        <v>0.3</v>
      </c>
      <c r="U52" s="152">
        <v>0.3</v>
      </c>
      <c r="V52" s="152">
        <v>0.3</v>
      </c>
      <c r="W52" s="152">
        <v>0.3</v>
      </c>
      <c r="X52" s="152">
        <v>0.3</v>
      </c>
      <c r="Y52" s="152">
        <v>0.3</v>
      </c>
      <c r="Z52" s="152">
        <v>0.3</v>
      </c>
      <c r="AA52" s="152">
        <v>0.3</v>
      </c>
      <c r="AB52" s="152">
        <v>0.3</v>
      </c>
      <c r="AC52" s="152">
        <v>0.3</v>
      </c>
      <c r="AD52" s="152">
        <v>0.3</v>
      </c>
      <c r="AE52" s="152">
        <v>0.3</v>
      </c>
      <c r="AF52" s="152">
        <v>0.3</v>
      </c>
      <c r="AG52" s="152">
        <v>0.3</v>
      </c>
      <c r="AH52" s="152">
        <v>0.3</v>
      </c>
      <c r="AI52" s="152">
        <v>0.3</v>
      </c>
      <c r="AJ52" s="152">
        <v>0.3</v>
      </c>
      <c r="AK52" s="152">
        <v>0.3</v>
      </c>
      <c r="AL52" s="152">
        <v>0.3</v>
      </c>
      <c r="AM52" s="152">
        <v>0.3</v>
      </c>
      <c r="AN52" s="152">
        <v>0.3</v>
      </c>
      <c r="AO52" s="152">
        <v>0.3</v>
      </c>
      <c r="AP52" s="152">
        <v>0.3</v>
      </c>
      <c r="AQ52" s="152">
        <v>0.3</v>
      </c>
      <c r="AR52" s="152">
        <v>0.3</v>
      </c>
      <c r="AS52" s="152">
        <v>0.3</v>
      </c>
      <c r="AT52" s="152">
        <v>0.3</v>
      </c>
      <c r="AU52" s="152">
        <v>0.3</v>
      </c>
      <c r="AV52" s="152">
        <v>0.3</v>
      </c>
      <c r="AW52" s="152">
        <v>0.3</v>
      </c>
      <c r="AX52" s="152">
        <v>0.3</v>
      </c>
      <c r="AY52" s="152">
        <v>0.3</v>
      </c>
      <c r="AZ52" s="152">
        <v>0.3</v>
      </c>
      <c r="BA52" s="152">
        <v>0.3</v>
      </c>
      <c r="BB52" s="152">
        <v>0.3</v>
      </c>
      <c r="BC52" s="152">
        <v>0.3</v>
      </c>
      <c r="BD52" s="152">
        <v>0.3</v>
      </c>
      <c r="BE52" s="152">
        <v>0.3</v>
      </c>
      <c r="BF52" s="152">
        <v>0.3</v>
      </c>
      <c r="BG52" s="152">
        <v>0.3</v>
      </c>
      <c r="BH52" s="152">
        <v>0.3</v>
      </c>
      <c r="BI52" s="152">
        <v>0.3</v>
      </c>
      <c r="BJ52" s="152">
        <v>0.3</v>
      </c>
      <c r="BK52" s="152">
        <v>0.3</v>
      </c>
      <c r="BL52" s="152">
        <v>0.3</v>
      </c>
      <c r="BM52" s="152">
        <v>0.3</v>
      </c>
      <c r="BN52" s="152">
        <v>0.3</v>
      </c>
      <c r="BO52" s="152">
        <v>0.3</v>
      </c>
      <c r="BP52" s="152">
        <v>0.3</v>
      </c>
      <c r="BQ52" s="152">
        <v>0.3</v>
      </c>
      <c r="BR52" s="152">
        <v>0.3</v>
      </c>
      <c r="BS52" s="152">
        <v>0.3</v>
      </c>
      <c r="BT52" s="152">
        <v>0.3</v>
      </c>
      <c r="BU52" s="152">
        <v>0.3</v>
      </c>
      <c r="BV52" s="152">
        <v>0.3</v>
      </c>
      <c r="BW52" s="152">
        <v>0.3</v>
      </c>
      <c r="BX52" s="152">
        <v>0.3</v>
      </c>
      <c r="BY52" s="152">
        <v>0.3</v>
      </c>
      <c r="BZ52" s="152"/>
      <c r="CA52" s="152"/>
      <c r="CB52" s="152"/>
      <c r="CC52" s="152"/>
      <c r="CD52" s="152"/>
      <c r="CE52" s="152"/>
      <c r="CF52" s="152"/>
      <c r="CG52" s="152"/>
      <c r="CH52" s="152"/>
      <c r="CI52" s="152"/>
      <c r="CJ52" s="152"/>
      <c r="CK52" s="152"/>
      <c r="CL52" s="152"/>
      <c r="CM52" s="152"/>
      <c r="CN52" s="152"/>
      <c r="CO52" s="152"/>
      <c r="CP52" s="152"/>
      <c r="CQ52" s="152"/>
      <c r="CR52" s="152"/>
      <c r="CS52" s="152"/>
      <c r="CT52" s="152"/>
      <c r="CU52" s="152"/>
      <c r="CV52" s="152"/>
      <c r="CW52" s="152"/>
      <c r="CX52" s="152"/>
      <c r="CY52" s="152"/>
      <c r="CZ52" s="152"/>
      <c r="DA52" s="152"/>
      <c r="DB52" s="152"/>
      <c r="DC52" s="152"/>
      <c r="DD52" s="152"/>
      <c r="DE52" s="152"/>
      <c r="DF52" s="152"/>
      <c r="DG52" s="152"/>
      <c r="DH52" s="152"/>
      <c r="DI52" s="152"/>
      <c r="DJ52" s="152"/>
      <c r="DK52" s="152"/>
      <c r="DL52" s="152"/>
      <c r="DM52" s="152"/>
      <c r="DN52" s="152"/>
      <c r="DO52" s="152"/>
      <c r="DP52" s="152"/>
      <c r="DQ52" s="152"/>
      <c r="DR52" s="152"/>
      <c r="DS52" s="152"/>
      <c r="DT52" s="152"/>
      <c r="DU52" s="152"/>
      <c r="DV52" s="152"/>
      <c r="DW52" s="152"/>
      <c r="DX52" s="152"/>
      <c r="DY52" s="152"/>
      <c r="DZ52" s="152"/>
      <c r="EA52" s="152"/>
      <c r="EB52" s="152"/>
      <c r="EC52" s="152"/>
      <c r="ED52" s="152"/>
      <c r="EE52" s="152"/>
      <c r="EF52" s="152"/>
      <c r="EG52" s="152"/>
      <c r="EH52" s="152"/>
      <c r="EI52" s="152"/>
      <c r="EJ52" s="152"/>
      <c r="EK52" s="152"/>
      <c r="EL52" s="152"/>
      <c r="EM52" s="152"/>
      <c r="EN52" s="152"/>
      <c r="EO52" s="152"/>
      <c r="EP52" s="152"/>
      <c r="EQ52" s="152"/>
      <c r="ER52" s="152"/>
      <c r="ES52" s="152"/>
      <c r="ET52" s="152"/>
      <c r="EU52" s="152"/>
      <c r="EV52" s="152"/>
      <c r="EW52" s="152"/>
      <c r="EX52" s="152"/>
      <c r="EY52" s="152"/>
      <c r="EZ52" s="152"/>
      <c r="FA52" s="152"/>
      <c r="FB52" s="152"/>
      <c r="FC52" s="152"/>
      <c r="FD52" s="152"/>
      <c r="FE52" s="152"/>
      <c r="FF52" s="152"/>
      <c r="FG52" s="152"/>
      <c r="FH52" s="152"/>
    </row>
    <row r="53" spans="1:164" x14ac:dyDescent="0.25">
      <c r="A53" s="152" t="s">
        <v>1494</v>
      </c>
      <c r="B53" s="12" t="s">
        <v>795</v>
      </c>
      <c r="C53" s="12">
        <v>0</v>
      </c>
      <c r="D53" s="152">
        <v>0</v>
      </c>
      <c r="E53" s="152">
        <v>0</v>
      </c>
      <c r="F53" s="152">
        <v>0</v>
      </c>
      <c r="G53" s="152">
        <v>0</v>
      </c>
      <c r="H53" s="152">
        <v>0</v>
      </c>
      <c r="I53" s="152">
        <v>0</v>
      </c>
      <c r="J53" s="152">
        <v>0</v>
      </c>
      <c r="K53" s="152">
        <v>0</v>
      </c>
      <c r="L53" s="152">
        <v>0</v>
      </c>
      <c r="M53" s="152">
        <v>0</v>
      </c>
      <c r="N53" s="152">
        <v>0</v>
      </c>
      <c r="O53" s="152">
        <v>0</v>
      </c>
      <c r="P53" s="152">
        <v>0</v>
      </c>
      <c r="Q53" s="152">
        <v>0</v>
      </c>
      <c r="R53" s="152">
        <v>0</v>
      </c>
      <c r="S53" s="152">
        <v>0</v>
      </c>
      <c r="T53" s="152">
        <v>0</v>
      </c>
      <c r="U53" s="152">
        <v>0</v>
      </c>
      <c r="V53" s="152">
        <v>0</v>
      </c>
      <c r="W53" s="152">
        <v>0</v>
      </c>
      <c r="X53" s="152">
        <v>0</v>
      </c>
      <c r="Y53" s="152">
        <v>0</v>
      </c>
      <c r="Z53" s="152">
        <v>0</v>
      </c>
      <c r="AA53" s="152">
        <v>0</v>
      </c>
      <c r="AB53" s="152">
        <v>0</v>
      </c>
      <c r="AC53" s="152">
        <v>0</v>
      </c>
      <c r="AD53" s="152">
        <v>0</v>
      </c>
      <c r="AE53" s="152">
        <v>0</v>
      </c>
      <c r="AF53" s="152">
        <v>0</v>
      </c>
      <c r="AG53" s="152">
        <v>0</v>
      </c>
      <c r="AH53" s="152">
        <v>0</v>
      </c>
      <c r="AI53" s="152">
        <v>0</v>
      </c>
      <c r="AJ53" s="152">
        <v>0</v>
      </c>
      <c r="AK53" s="152">
        <v>0</v>
      </c>
      <c r="AL53" s="152">
        <v>0</v>
      </c>
      <c r="AM53" s="152">
        <v>0</v>
      </c>
      <c r="AN53" s="152">
        <v>0</v>
      </c>
      <c r="AO53" s="152">
        <v>0</v>
      </c>
      <c r="AP53" s="152">
        <v>0</v>
      </c>
      <c r="AQ53" s="152">
        <v>0</v>
      </c>
      <c r="AR53" s="152">
        <v>0</v>
      </c>
      <c r="AS53" s="152">
        <v>0</v>
      </c>
      <c r="AT53" s="152">
        <v>0</v>
      </c>
      <c r="AU53" s="152">
        <v>0</v>
      </c>
      <c r="AV53" s="152">
        <v>0</v>
      </c>
      <c r="AW53" s="152">
        <v>0</v>
      </c>
      <c r="AX53" s="152">
        <v>0</v>
      </c>
      <c r="AY53" s="152">
        <v>0</v>
      </c>
      <c r="AZ53" s="152">
        <v>0</v>
      </c>
      <c r="BA53" s="152">
        <v>0</v>
      </c>
      <c r="BB53" s="152">
        <v>0</v>
      </c>
      <c r="BC53" s="152">
        <v>0</v>
      </c>
      <c r="BD53" s="152">
        <v>0</v>
      </c>
      <c r="BE53" s="152">
        <v>0</v>
      </c>
      <c r="BF53" s="152">
        <v>0</v>
      </c>
      <c r="BG53" s="152">
        <v>0</v>
      </c>
      <c r="BH53" s="152">
        <v>0</v>
      </c>
      <c r="BI53" s="152">
        <v>0</v>
      </c>
      <c r="BJ53" s="152">
        <v>0</v>
      </c>
      <c r="BK53" s="152">
        <v>0</v>
      </c>
      <c r="BL53" s="152">
        <v>0</v>
      </c>
      <c r="BM53" s="152">
        <v>0</v>
      </c>
      <c r="BN53" s="152">
        <v>0</v>
      </c>
      <c r="BO53" s="152">
        <v>0</v>
      </c>
      <c r="BP53" s="152">
        <v>0</v>
      </c>
      <c r="BQ53" s="152">
        <v>0</v>
      </c>
      <c r="BR53" s="152">
        <v>0</v>
      </c>
      <c r="BS53" s="152">
        <v>0</v>
      </c>
      <c r="BT53" s="152">
        <v>0</v>
      </c>
      <c r="BU53" s="152">
        <v>0</v>
      </c>
      <c r="BV53" s="152">
        <v>0</v>
      </c>
      <c r="BW53" s="152">
        <v>0</v>
      </c>
      <c r="BX53" s="152">
        <v>0</v>
      </c>
      <c r="BY53" s="152">
        <v>0</v>
      </c>
      <c r="BZ53" s="152"/>
      <c r="CA53" s="152"/>
      <c r="CB53" s="152"/>
      <c r="CC53" s="152"/>
      <c r="CD53" s="152"/>
      <c r="CE53" s="152"/>
      <c r="CF53" s="152"/>
      <c r="CG53" s="152"/>
      <c r="CH53" s="152"/>
      <c r="CI53" s="152"/>
      <c r="CJ53" s="152"/>
      <c r="CK53" s="152"/>
      <c r="CL53" s="152"/>
      <c r="CM53" s="152"/>
      <c r="CN53" s="152"/>
      <c r="CO53" s="152"/>
      <c r="CP53" s="152"/>
      <c r="CQ53" s="152"/>
      <c r="CR53" s="152"/>
      <c r="CS53" s="152"/>
      <c r="CT53" s="152"/>
      <c r="CU53" s="152"/>
      <c r="CV53" s="152"/>
      <c r="CW53" s="152"/>
      <c r="CX53" s="152"/>
      <c r="CY53" s="152"/>
      <c r="CZ53" s="152"/>
      <c r="DA53" s="152"/>
      <c r="DB53" s="152"/>
      <c r="DC53" s="152"/>
      <c r="DD53" s="152"/>
      <c r="DE53" s="152"/>
      <c r="DF53" s="152"/>
      <c r="DG53" s="152"/>
      <c r="DH53" s="152"/>
      <c r="DI53" s="152"/>
      <c r="DJ53" s="152"/>
      <c r="DK53" s="152"/>
      <c r="DL53" s="152"/>
      <c r="DM53" s="152"/>
      <c r="DN53" s="152"/>
      <c r="DO53" s="152"/>
      <c r="DP53" s="152"/>
      <c r="DQ53" s="152"/>
      <c r="DR53" s="152"/>
      <c r="DS53" s="152"/>
      <c r="DT53" s="152"/>
      <c r="DU53" s="152"/>
      <c r="DV53" s="152"/>
      <c r="DW53" s="152"/>
      <c r="DX53" s="152"/>
      <c r="DY53" s="152"/>
      <c r="DZ53" s="152"/>
      <c r="EA53" s="152"/>
      <c r="EB53" s="152"/>
      <c r="EC53" s="152"/>
      <c r="ED53" s="152"/>
      <c r="EE53" s="152"/>
      <c r="EF53" s="152"/>
      <c r="EG53" s="152"/>
      <c r="EH53" s="152"/>
      <c r="EI53" s="152"/>
      <c r="EJ53" s="152"/>
      <c r="EK53" s="152"/>
      <c r="EL53" s="152"/>
      <c r="EM53" s="152"/>
      <c r="EN53" s="152"/>
      <c r="EO53" s="152"/>
      <c r="EP53" s="152"/>
      <c r="EQ53" s="152"/>
      <c r="ER53" s="152"/>
      <c r="ES53" s="152"/>
      <c r="ET53" s="152"/>
      <c r="EU53" s="152"/>
      <c r="EV53" s="152"/>
      <c r="EW53" s="152"/>
      <c r="EX53" s="152"/>
      <c r="EY53" s="152"/>
      <c r="EZ53" s="152"/>
      <c r="FA53" s="152"/>
      <c r="FB53" s="152"/>
      <c r="FC53" s="152"/>
      <c r="FD53" s="152"/>
      <c r="FE53" s="152"/>
      <c r="FF53" s="152"/>
      <c r="FG53" s="152"/>
      <c r="FH53" s="152"/>
    </row>
    <row r="54" spans="1:164" x14ac:dyDescent="0.25">
      <c r="A54" s="152" t="s">
        <v>1495</v>
      </c>
      <c r="B54" s="12" t="s">
        <v>748</v>
      </c>
      <c r="C54" s="12">
        <v>0</v>
      </c>
      <c r="D54" s="12">
        <v>0</v>
      </c>
      <c r="E54" s="12">
        <v>0</v>
      </c>
      <c r="F54" s="12">
        <v>0</v>
      </c>
      <c r="G54" s="12">
        <v>0</v>
      </c>
      <c r="H54" s="12">
        <v>0</v>
      </c>
      <c r="I54" s="12">
        <v>0</v>
      </c>
      <c r="J54" s="12">
        <v>0</v>
      </c>
      <c r="K54" s="12">
        <v>0</v>
      </c>
      <c r="L54" s="12">
        <v>0</v>
      </c>
      <c r="M54" s="12">
        <v>0</v>
      </c>
      <c r="N54" s="12">
        <v>0</v>
      </c>
      <c r="O54" s="12">
        <v>0</v>
      </c>
      <c r="P54" s="12">
        <v>0</v>
      </c>
      <c r="Q54" s="12">
        <v>0</v>
      </c>
      <c r="R54" s="12">
        <v>0</v>
      </c>
      <c r="S54" s="12">
        <v>0</v>
      </c>
      <c r="T54" s="12">
        <v>0</v>
      </c>
      <c r="U54" s="12">
        <v>0</v>
      </c>
      <c r="V54" s="12">
        <v>0</v>
      </c>
      <c r="W54" s="12">
        <v>0</v>
      </c>
      <c r="X54" s="12">
        <v>0</v>
      </c>
      <c r="Y54" s="12">
        <v>0</v>
      </c>
      <c r="Z54" s="12">
        <v>0</v>
      </c>
      <c r="AA54" s="12">
        <v>0</v>
      </c>
      <c r="AB54" s="12">
        <v>0</v>
      </c>
      <c r="AC54" s="12">
        <v>0</v>
      </c>
      <c r="AD54" s="12">
        <v>0</v>
      </c>
      <c r="AE54" s="12">
        <v>0</v>
      </c>
      <c r="AF54" s="12">
        <v>0</v>
      </c>
      <c r="AG54" s="12">
        <v>0</v>
      </c>
      <c r="AH54" s="12">
        <v>0</v>
      </c>
      <c r="AI54" s="12">
        <v>0</v>
      </c>
      <c r="AJ54" s="12">
        <v>0</v>
      </c>
      <c r="AK54" s="12">
        <v>0</v>
      </c>
      <c r="AL54" s="12">
        <v>0</v>
      </c>
      <c r="AM54" s="12">
        <v>0</v>
      </c>
      <c r="AN54" s="12">
        <v>0</v>
      </c>
      <c r="AO54" s="12">
        <v>0</v>
      </c>
      <c r="AP54" s="12">
        <v>0</v>
      </c>
      <c r="AQ54" s="12">
        <v>0</v>
      </c>
      <c r="AR54" s="12">
        <v>0</v>
      </c>
      <c r="AS54" s="12">
        <v>0</v>
      </c>
      <c r="AT54" s="12">
        <v>0</v>
      </c>
      <c r="AU54" s="12">
        <v>0</v>
      </c>
      <c r="AV54" s="12">
        <v>0</v>
      </c>
      <c r="AW54" s="12">
        <v>0</v>
      </c>
      <c r="AX54" s="12">
        <v>0</v>
      </c>
      <c r="AY54" s="12">
        <v>0</v>
      </c>
      <c r="AZ54" s="12">
        <v>0</v>
      </c>
      <c r="BA54" s="12">
        <v>0</v>
      </c>
      <c r="BB54" s="12">
        <v>0</v>
      </c>
      <c r="BC54" s="12">
        <v>0</v>
      </c>
      <c r="BD54" s="12">
        <v>0</v>
      </c>
      <c r="BE54" s="12">
        <v>0</v>
      </c>
      <c r="BF54" s="12">
        <v>0</v>
      </c>
      <c r="BG54" s="12">
        <v>0</v>
      </c>
      <c r="BH54" s="12">
        <v>0</v>
      </c>
      <c r="BI54" s="12">
        <v>0</v>
      </c>
      <c r="BJ54" s="12">
        <v>0</v>
      </c>
      <c r="BK54" s="12">
        <v>0</v>
      </c>
      <c r="BL54" s="12">
        <v>0</v>
      </c>
      <c r="BM54" s="12">
        <v>0</v>
      </c>
      <c r="BN54" s="12">
        <v>0</v>
      </c>
      <c r="BO54" s="12">
        <v>0</v>
      </c>
      <c r="BP54" s="12">
        <v>0</v>
      </c>
      <c r="BQ54" s="12">
        <v>0</v>
      </c>
      <c r="BR54" s="12">
        <v>0</v>
      </c>
      <c r="BS54" s="12">
        <v>0</v>
      </c>
      <c r="BT54" s="12">
        <v>0</v>
      </c>
      <c r="BU54" s="12">
        <v>0</v>
      </c>
      <c r="BV54" s="12">
        <v>0</v>
      </c>
      <c r="BW54" s="12">
        <v>0</v>
      </c>
      <c r="BX54" s="12">
        <v>0</v>
      </c>
      <c r="BY54" s="12">
        <v>0</v>
      </c>
    </row>
    <row r="55" spans="1:164" x14ac:dyDescent="0.25">
      <c r="A55" s="152" t="s">
        <v>1266</v>
      </c>
      <c r="B55" s="103" t="s">
        <v>1028</v>
      </c>
      <c r="C55" s="12">
        <v>1</v>
      </c>
      <c r="D55" s="12">
        <v>1</v>
      </c>
      <c r="E55" s="12">
        <v>1</v>
      </c>
      <c r="F55" s="12">
        <v>1</v>
      </c>
      <c r="G55" s="12">
        <v>1</v>
      </c>
      <c r="H55" s="12">
        <v>1</v>
      </c>
      <c r="I55" s="12">
        <v>1</v>
      </c>
      <c r="J55" s="12">
        <v>1</v>
      </c>
      <c r="K55" s="12">
        <v>1</v>
      </c>
      <c r="L55" s="12">
        <v>1</v>
      </c>
      <c r="M55" s="12">
        <v>1</v>
      </c>
      <c r="N55" s="12">
        <v>1</v>
      </c>
      <c r="O55" s="12">
        <v>1</v>
      </c>
      <c r="P55" s="12">
        <v>1</v>
      </c>
      <c r="Q55" s="12">
        <v>1</v>
      </c>
      <c r="R55" s="12">
        <v>1</v>
      </c>
      <c r="S55" s="12">
        <v>1</v>
      </c>
      <c r="T55" s="12">
        <v>1</v>
      </c>
      <c r="U55" s="12">
        <v>1</v>
      </c>
      <c r="V55" s="12">
        <v>1</v>
      </c>
      <c r="W55" s="12">
        <v>1</v>
      </c>
      <c r="X55" s="12">
        <v>1</v>
      </c>
      <c r="Y55" s="12">
        <v>1</v>
      </c>
      <c r="Z55" s="12">
        <v>1</v>
      </c>
      <c r="AA55" s="12">
        <v>1</v>
      </c>
      <c r="AB55" s="12">
        <v>1</v>
      </c>
      <c r="AC55" s="12">
        <v>1</v>
      </c>
      <c r="AD55" s="12">
        <v>1</v>
      </c>
      <c r="AE55" s="12">
        <v>1</v>
      </c>
      <c r="AF55" s="12">
        <v>1</v>
      </c>
      <c r="AG55" s="12">
        <v>1</v>
      </c>
      <c r="AH55" s="12">
        <v>1</v>
      </c>
      <c r="AI55" s="12">
        <v>1</v>
      </c>
      <c r="AJ55" s="12">
        <v>1</v>
      </c>
      <c r="AK55" s="12">
        <v>1</v>
      </c>
      <c r="AL55" s="12">
        <v>1</v>
      </c>
      <c r="AM55" s="12">
        <v>1</v>
      </c>
      <c r="AN55" s="12">
        <v>1</v>
      </c>
      <c r="AO55" s="12">
        <v>1</v>
      </c>
      <c r="AP55" s="12">
        <v>1</v>
      </c>
      <c r="AQ55" s="12">
        <v>1</v>
      </c>
      <c r="AR55" s="12">
        <v>1</v>
      </c>
      <c r="AS55" s="12">
        <v>1</v>
      </c>
      <c r="AT55" s="12">
        <v>1</v>
      </c>
      <c r="AU55" s="12">
        <v>1</v>
      </c>
      <c r="AV55" s="12">
        <v>1</v>
      </c>
      <c r="AW55" s="12">
        <v>1</v>
      </c>
      <c r="AX55" s="12">
        <v>1</v>
      </c>
      <c r="AY55" s="12">
        <v>1</v>
      </c>
      <c r="AZ55" s="12">
        <v>1</v>
      </c>
      <c r="BA55" s="12">
        <v>1</v>
      </c>
      <c r="BB55" s="12">
        <v>1</v>
      </c>
      <c r="BC55" s="12">
        <v>1</v>
      </c>
      <c r="BD55" s="12">
        <v>1</v>
      </c>
      <c r="BE55" s="12">
        <v>1</v>
      </c>
      <c r="BF55" s="12">
        <v>1</v>
      </c>
      <c r="BG55" s="12">
        <v>1</v>
      </c>
      <c r="BH55" s="12">
        <v>1</v>
      </c>
      <c r="BI55" s="12">
        <v>1</v>
      </c>
      <c r="BJ55" s="12">
        <v>1</v>
      </c>
      <c r="BK55" s="12">
        <v>1</v>
      </c>
      <c r="BL55" s="12">
        <v>1</v>
      </c>
      <c r="BM55" s="12">
        <v>1</v>
      </c>
      <c r="BN55" s="12">
        <v>1</v>
      </c>
      <c r="BO55" s="12">
        <v>1</v>
      </c>
      <c r="BP55" s="12">
        <v>1</v>
      </c>
      <c r="BQ55" s="12">
        <v>1</v>
      </c>
      <c r="BR55" s="12">
        <v>1</v>
      </c>
      <c r="BS55" s="12">
        <v>1</v>
      </c>
      <c r="BT55" s="12">
        <v>1</v>
      </c>
      <c r="BU55" s="12">
        <v>1</v>
      </c>
      <c r="BV55" s="12">
        <v>1</v>
      </c>
      <c r="BW55" s="12">
        <v>1</v>
      </c>
      <c r="BX55" s="12">
        <v>1</v>
      </c>
      <c r="BY55" s="12">
        <v>1</v>
      </c>
    </row>
    <row r="56" spans="1:164" x14ac:dyDescent="0.25">
      <c r="A56" s="152" t="s">
        <v>1267</v>
      </c>
      <c r="B56" s="103" t="s">
        <v>1029</v>
      </c>
      <c r="C56" s="12">
        <v>1</v>
      </c>
      <c r="D56" s="12">
        <v>1</v>
      </c>
      <c r="E56" s="12">
        <v>1</v>
      </c>
      <c r="F56" s="12">
        <v>1</v>
      </c>
      <c r="G56" s="12">
        <v>1</v>
      </c>
      <c r="H56" s="12">
        <v>1</v>
      </c>
      <c r="I56" s="12">
        <v>1</v>
      </c>
      <c r="J56" s="12">
        <v>1</v>
      </c>
      <c r="K56" s="12">
        <v>1</v>
      </c>
      <c r="L56" s="12">
        <v>1</v>
      </c>
      <c r="M56" s="12">
        <v>1</v>
      </c>
      <c r="N56" s="12">
        <v>1</v>
      </c>
      <c r="O56" s="12">
        <v>1</v>
      </c>
      <c r="P56" s="12">
        <v>1</v>
      </c>
      <c r="Q56" s="12">
        <v>1</v>
      </c>
      <c r="R56" s="12">
        <v>1</v>
      </c>
      <c r="S56" s="12">
        <v>1</v>
      </c>
      <c r="T56" s="12">
        <v>1</v>
      </c>
      <c r="U56" s="12">
        <v>1</v>
      </c>
      <c r="V56" s="12">
        <v>1</v>
      </c>
      <c r="W56" s="12">
        <v>1</v>
      </c>
      <c r="X56" s="12">
        <v>1</v>
      </c>
      <c r="Y56" s="12">
        <v>1</v>
      </c>
      <c r="Z56" s="12">
        <v>1</v>
      </c>
      <c r="AA56" s="12">
        <v>1</v>
      </c>
      <c r="AB56" s="12">
        <v>1</v>
      </c>
      <c r="AC56" s="12">
        <v>1</v>
      </c>
      <c r="AD56" s="12">
        <v>1</v>
      </c>
      <c r="AE56" s="12">
        <v>1</v>
      </c>
      <c r="AF56" s="12">
        <v>1</v>
      </c>
      <c r="AG56" s="12">
        <v>1</v>
      </c>
      <c r="AH56" s="12">
        <v>1</v>
      </c>
      <c r="AI56" s="12">
        <v>1</v>
      </c>
      <c r="AJ56" s="12">
        <v>1</v>
      </c>
      <c r="AK56" s="12">
        <v>1</v>
      </c>
      <c r="AL56" s="12">
        <v>1</v>
      </c>
      <c r="AM56" s="12">
        <v>1</v>
      </c>
      <c r="AN56" s="12">
        <v>1</v>
      </c>
      <c r="AO56" s="12">
        <v>1</v>
      </c>
      <c r="AP56" s="12">
        <v>1</v>
      </c>
      <c r="AQ56" s="12">
        <v>1</v>
      </c>
      <c r="AR56" s="12">
        <v>1</v>
      </c>
      <c r="AS56" s="12">
        <v>1</v>
      </c>
      <c r="AT56" s="12">
        <v>1</v>
      </c>
      <c r="AU56" s="12">
        <v>1</v>
      </c>
      <c r="AV56" s="12">
        <v>1</v>
      </c>
      <c r="AW56" s="12">
        <v>1</v>
      </c>
      <c r="AX56" s="12">
        <v>1</v>
      </c>
      <c r="AY56" s="12">
        <v>1</v>
      </c>
      <c r="AZ56" s="12">
        <v>1</v>
      </c>
      <c r="BA56" s="12">
        <v>1</v>
      </c>
      <c r="BB56" s="12">
        <v>1</v>
      </c>
      <c r="BC56" s="12">
        <v>1</v>
      </c>
      <c r="BD56" s="12">
        <v>1</v>
      </c>
      <c r="BE56" s="12">
        <v>1</v>
      </c>
      <c r="BF56" s="12">
        <v>1</v>
      </c>
      <c r="BG56" s="12">
        <v>1</v>
      </c>
      <c r="BH56" s="12">
        <v>1</v>
      </c>
      <c r="BI56" s="12">
        <v>1</v>
      </c>
      <c r="BJ56" s="12">
        <v>1</v>
      </c>
      <c r="BK56" s="12">
        <v>1</v>
      </c>
      <c r="BL56" s="12">
        <v>1</v>
      </c>
      <c r="BM56" s="12">
        <v>1</v>
      </c>
      <c r="BN56" s="12">
        <v>1</v>
      </c>
      <c r="BO56" s="12">
        <v>1</v>
      </c>
      <c r="BP56" s="12">
        <v>1</v>
      </c>
      <c r="BQ56" s="12">
        <v>1</v>
      </c>
      <c r="BR56" s="12">
        <v>1</v>
      </c>
      <c r="BS56" s="12">
        <v>1</v>
      </c>
      <c r="BT56" s="12">
        <v>1</v>
      </c>
      <c r="BU56" s="12">
        <v>1</v>
      </c>
      <c r="BV56" s="12">
        <v>1</v>
      </c>
      <c r="BW56" s="12">
        <v>1</v>
      </c>
      <c r="BX56" s="12">
        <v>1</v>
      </c>
      <c r="BY56" s="12">
        <v>1</v>
      </c>
    </row>
    <row r="57" spans="1:164" x14ac:dyDescent="0.25">
      <c r="A57" s="152"/>
      <c r="B57" s="12"/>
    </row>
    <row r="58" spans="1:164" x14ac:dyDescent="0.25">
      <c r="A58" s="191" t="s">
        <v>1582</v>
      </c>
      <c r="B58" s="12"/>
    </row>
    <row r="59" spans="1:164" x14ac:dyDescent="0.25">
      <c r="A59" s="152" t="s">
        <v>1268</v>
      </c>
      <c r="B59" s="12" t="s">
        <v>749</v>
      </c>
      <c r="C59" s="12">
        <v>0</v>
      </c>
      <c r="D59" s="12">
        <v>0</v>
      </c>
      <c r="E59" s="12">
        <v>0</v>
      </c>
      <c r="F59" s="12">
        <v>0</v>
      </c>
      <c r="G59" s="12">
        <v>0</v>
      </c>
      <c r="H59" s="12">
        <v>0</v>
      </c>
      <c r="I59" s="12">
        <v>0</v>
      </c>
      <c r="J59" s="12">
        <v>0</v>
      </c>
      <c r="K59" s="12">
        <v>0</v>
      </c>
      <c r="L59" s="12">
        <v>0</v>
      </c>
      <c r="M59" s="12">
        <v>0</v>
      </c>
      <c r="N59" s="12">
        <v>0</v>
      </c>
      <c r="O59" s="12">
        <v>0</v>
      </c>
      <c r="P59" s="12">
        <v>0</v>
      </c>
      <c r="Q59" s="12">
        <v>0</v>
      </c>
      <c r="R59" s="12">
        <v>0</v>
      </c>
      <c r="S59" s="12">
        <v>0</v>
      </c>
      <c r="T59" s="12">
        <v>0</v>
      </c>
      <c r="U59" s="12">
        <v>0</v>
      </c>
      <c r="V59" s="12">
        <v>0</v>
      </c>
      <c r="W59" s="12">
        <v>0</v>
      </c>
      <c r="X59" s="12">
        <v>0</v>
      </c>
      <c r="Y59" s="12">
        <v>0</v>
      </c>
      <c r="Z59" s="12">
        <v>0</v>
      </c>
      <c r="AA59" s="12">
        <v>0</v>
      </c>
      <c r="AB59" s="12">
        <v>0</v>
      </c>
      <c r="AC59" s="12">
        <v>0</v>
      </c>
      <c r="AD59" s="12">
        <v>0</v>
      </c>
      <c r="AE59" s="12">
        <v>0</v>
      </c>
      <c r="AF59" s="12">
        <v>0</v>
      </c>
      <c r="AG59" s="12">
        <v>0</v>
      </c>
      <c r="AH59" s="12">
        <v>0</v>
      </c>
      <c r="AI59" s="12">
        <v>0</v>
      </c>
      <c r="AJ59" s="12">
        <v>0</v>
      </c>
      <c r="AK59" s="12">
        <v>0</v>
      </c>
      <c r="AL59" s="12">
        <v>0</v>
      </c>
      <c r="AM59" s="12">
        <v>0</v>
      </c>
      <c r="AN59" s="12">
        <v>0</v>
      </c>
      <c r="AO59" s="12">
        <v>0</v>
      </c>
      <c r="AP59" s="12">
        <v>0</v>
      </c>
      <c r="AQ59" s="12">
        <v>0</v>
      </c>
      <c r="AR59" s="12">
        <v>0</v>
      </c>
      <c r="AS59" s="12">
        <v>0</v>
      </c>
      <c r="AT59" s="12">
        <v>0</v>
      </c>
      <c r="AU59" s="12">
        <v>0</v>
      </c>
      <c r="AV59" s="12">
        <v>0</v>
      </c>
      <c r="AW59" s="12">
        <v>0</v>
      </c>
      <c r="AX59" s="12">
        <v>0</v>
      </c>
      <c r="AY59" s="12">
        <v>0</v>
      </c>
      <c r="AZ59" s="12">
        <v>0</v>
      </c>
      <c r="BA59" s="12">
        <v>0</v>
      </c>
      <c r="BB59" s="12">
        <v>0</v>
      </c>
      <c r="BC59" s="12">
        <v>0</v>
      </c>
      <c r="BD59" s="12">
        <v>0</v>
      </c>
      <c r="BE59" s="12">
        <v>0</v>
      </c>
      <c r="BF59" s="12">
        <v>0</v>
      </c>
      <c r="BG59" s="12">
        <v>0</v>
      </c>
      <c r="BH59" s="12">
        <v>0</v>
      </c>
      <c r="BI59" s="12">
        <v>0</v>
      </c>
      <c r="BJ59" s="12">
        <v>0</v>
      </c>
      <c r="BK59" s="12">
        <v>0</v>
      </c>
      <c r="BL59" s="12">
        <v>0</v>
      </c>
      <c r="BM59" s="12">
        <v>0</v>
      </c>
      <c r="BN59" s="12">
        <v>0</v>
      </c>
      <c r="BO59" s="12">
        <v>0</v>
      </c>
      <c r="BP59" s="12">
        <v>0</v>
      </c>
      <c r="BQ59" s="12">
        <v>0</v>
      </c>
      <c r="BR59" s="12">
        <v>0</v>
      </c>
      <c r="BS59" s="12">
        <v>0</v>
      </c>
      <c r="BT59" s="12">
        <v>0</v>
      </c>
      <c r="BU59" s="12">
        <v>0</v>
      </c>
      <c r="BV59" s="12">
        <v>0</v>
      </c>
      <c r="BW59" s="12">
        <v>0</v>
      </c>
      <c r="BX59" s="12">
        <v>0</v>
      </c>
      <c r="BY59" s="12">
        <v>0</v>
      </c>
    </row>
    <row r="60" spans="1:164" x14ac:dyDescent="0.25">
      <c r="A60" s="152" t="s">
        <v>1269</v>
      </c>
      <c r="B60" s="12" t="s">
        <v>750</v>
      </c>
      <c r="C60" s="12">
        <v>0</v>
      </c>
      <c r="D60" s="12">
        <v>0</v>
      </c>
      <c r="E60" s="12">
        <v>0</v>
      </c>
      <c r="F60" s="12">
        <v>0</v>
      </c>
      <c r="G60" s="12">
        <v>0</v>
      </c>
      <c r="H60" s="12">
        <v>0</v>
      </c>
      <c r="I60" s="12">
        <v>0</v>
      </c>
      <c r="J60" s="12">
        <v>0</v>
      </c>
      <c r="K60" s="12">
        <v>0</v>
      </c>
      <c r="L60" s="12">
        <v>0</v>
      </c>
      <c r="M60" s="12">
        <v>0</v>
      </c>
      <c r="N60" s="12">
        <v>0</v>
      </c>
      <c r="O60" s="12">
        <v>0</v>
      </c>
      <c r="P60" s="12">
        <v>0</v>
      </c>
      <c r="Q60" s="12">
        <v>0</v>
      </c>
      <c r="R60" s="12">
        <v>0</v>
      </c>
      <c r="S60" s="12">
        <v>0</v>
      </c>
      <c r="T60" s="12">
        <v>0</v>
      </c>
      <c r="U60" s="12">
        <v>0</v>
      </c>
      <c r="V60" s="12">
        <v>0</v>
      </c>
      <c r="W60" s="12">
        <v>0</v>
      </c>
      <c r="X60" s="12">
        <v>0</v>
      </c>
      <c r="Y60" s="12">
        <v>0</v>
      </c>
      <c r="Z60" s="12">
        <v>0</v>
      </c>
      <c r="AA60" s="12">
        <v>0</v>
      </c>
      <c r="AB60" s="12">
        <v>0</v>
      </c>
      <c r="AC60" s="12">
        <v>0</v>
      </c>
      <c r="AD60" s="12">
        <v>0</v>
      </c>
      <c r="AE60" s="12">
        <v>0</v>
      </c>
      <c r="AF60" s="12">
        <v>0</v>
      </c>
      <c r="AG60" s="12">
        <v>0</v>
      </c>
      <c r="AH60" s="12">
        <v>0</v>
      </c>
      <c r="AI60" s="12">
        <v>0</v>
      </c>
      <c r="AJ60" s="12">
        <v>0</v>
      </c>
      <c r="AK60" s="12">
        <v>0</v>
      </c>
      <c r="AL60" s="12">
        <v>0</v>
      </c>
      <c r="AM60" s="12">
        <v>0</v>
      </c>
      <c r="AN60" s="12">
        <v>0</v>
      </c>
      <c r="AO60" s="12">
        <v>0</v>
      </c>
      <c r="AP60" s="12">
        <v>0</v>
      </c>
      <c r="AQ60" s="12">
        <v>0</v>
      </c>
      <c r="AR60" s="12">
        <v>0</v>
      </c>
      <c r="AS60" s="12">
        <v>0</v>
      </c>
      <c r="AT60" s="12">
        <v>0</v>
      </c>
      <c r="AU60" s="12">
        <v>0</v>
      </c>
      <c r="AV60" s="12">
        <v>0</v>
      </c>
      <c r="AW60" s="12">
        <v>0</v>
      </c>
      <c r="AX60" s="12">
        <v>0</v>
      </c>
      <c r="AY60" s="12">
        <v>0</v>
      </c>
      <c r="AZ60" s="12">
        <v>0</v>
      </c>
      <c r="BA60" s="12">
        <v>0</v>
      </c>
      <c r="BB60" s="12">
        <v>0</v>
      </c>
      <c r="BC60" s="12">
        <v>0</v>
      </c>
      <c r="BD60" s="12">
        <v>0</v>
      </c>
      <c r="BE60" s="12">
        <v>0</v>
      </c>
      <c r="BF60" s="12">
        <v>0</v>
      </c>
      <c r="BG60" s="12">
        <v>0</v>
      </c>
      <c r="BH60" s="12">
        <v>0</v>
      </c>
      <c r="BI60" s="12">
        <v>0</v>
      </c>
      <c r="BJ60" s="12">
        <v>0</v>
      </c>
      <c r="BK60" s="12">
        <v>0</v>
      </c>
      <c r="BL60" s="12">
        <v>0</v>
      </c>
      <c r="BM60" s="12">
        <v>0</v>
      </c>
      <c r="BN60" s="12">
        <v>0</v>
      </c>
      <c r="BO60" s="12">
        <v>0</v>
      </c>
      <c r="BP60" s="12">
        <v>0</v>
      </c>
      <c r="BQ60" s="12">
        <v>0</v>
      </c>
      <c r="BR60" s="12">
        <v>0</v>
      </c>
      <c r="BS60" s="12">
        <v>0</v>
      </c>
      <c r="BT60" s="12">
        <v>0</v>
      </c>
      <c r="BU60" s="12">
        <v>0</v>
      </c>
      <c r="BV60" s="12">
        <v>0</v>
      </c>
      <c r="BW60" s="12">
        <v>0</v>
      </c>
      <c r="BX60" s="12">
        <v>0</v>
      </c>
      <c r="BY60" s="12">
        <v>0</v>
      </c>
    </row>
    <row r="61" spans="1:164" x14ac:dyDescent="0.25">
      <c r="A61" s="152" t="s">
        <v>1270</v>
      </c>
      <c r="B61" s="12" t="s">
        <v>794</v>
      </c>
      <c r="C61" s="12">
        <v>0</v>
      </c>
      <c r="D61" s="12">
        <v>0</v>
      </c>
      <c r="E61" s="12">
        <v>0</v>
      </c>
      <c r="F61" s="12">
        <v>0</v>
      </c>
      <c r="G61" s="12">
        <v>0</v>
      </c>
      <c r="H61" s="12">
        <v>0</v>
      </c>
      <c r="I61" s="12">
        <v>0</v>
      </c>
      <c r="J61" s="12">
        <v>0</v>
      </c>
      <c r="K61" s="12">
        <v>0</v>
      </c>
      <c r="L61" s="12">
        <v>0</v>
      </c>
      <c r="M61" s="12">
        <v>0</v>
      </c>
      <c r="N61" s="12">
        <v>0</v>
      </c>
      <c r="O61" s="12">
        <v>0</v>
      </c>
      <c r="P61" s="12">
        <v>0</v>
      </c>
      <c r="Q61" s="12">
        <v>0</v>
      </c>
      <c r="R61" s="12">
        <v>0</v>
      </c>
      <c r="S61" s="12">
        <v>0</v>
      </c>
      <c r="T61" s="12">
        <v>0</v>
      </c>
      <c r="U61" s="12">
        <v>0</v>
      </c>
      <c r="V61" s="12">
        <v>0</v>
      </c>
      <c r="W61" s="12">
        <v>0</v>
      </c>
      <c r="X61" s="12">
        <v>0</v>
      </c>
      <c r="Y61" s="12">
        <v>0</v>
      </c>
      <c r="Z61" s="12">
        <v>0</v>
      </c>
      <c r="AA61" s="12">
        <v>0</v>
      </c>
      <c r="AB61" s="12">
        <v>0</v>
      </c>
      <c r="AC61" s="12">
        <v>0</v>
      </c>
      <c r="AD61" s="12">
        <v>0</v>
      </c>
      <c r="AE61" s="12">
        <v>0</v>
      </c>
      <c r="AF61" s="12">
        <v>0</v>
      </c>
      <c r="AG61" s="12">
        <v>0</v>
      </c>
      <c r="AH61" s="12">
        <v>0</v>
      </c>
      <c r="AI61" s="12">
        <v>0</v>
      </c>
      <c r="AJ61" s="12">
        <v>0</v>
      </c>
      <c r="AK61" s="12">
        <v>0</v>
      </c>
      <c r="AL61" s="12">
        <v>0</v>
      </c>
      <c r="AM61" s="12">
        <v>0</v>
      </c>
      <c r="AN61" s="12">
        <v>0</v>
      </c>
      <c r="AO61" s="12">
        <v>0</v>
      </c>
      <c r="AP61" s="12">
        <v>0</v>
      </c>
      <c r="AQ61" s="12">
        <v>0</v>
      </c>
      <c r="AR61" s="12">
        <v>0</v>
      </c>
      <c r="AS61" s="12">
        <v>0</v>
      </c>
      <c r="AT61" s="12">
        <v>0</v>
      </c>
      <c r="AU61" s="12">
        <v>0</v>
      </c>
      <c r="AV61" s="12">
        <v>0</v>
      </c>
      <c r="AW61" s="12">
        <v>0</v>
      </c>
      <c r="AX61" s="12">
        <v>0</v>
      </c>
      <c r="AY61" s="12">
        <v>0</v>
      </c>
      <c r="AZ61" s="12">
        <v>0</v>
      </c>
      <c r="BA61" s="12">
        <v>0</v>
      </c>
      <c r="BB61" s="12">
        <v>0</v>
      </c>
      <c r="BC61" s="12">
        <v>0</v>
      </c>
      <c r="BD61" s="12">
        <v>0</v>
      </c>
      <c r="BE61" s="12">
        <v>0</v>
      </c>
      <c r="BF61" s="12">
        <v>0</v>
      </c>
      <c r="BG61" s="12">
        <v>0</v>
      </c>
      <c r="BH61" s="12">
        <v>0</v>
      </c>
      <c r="BI61" s="12">
        <v>0</v>
      </c>
      <c r="BJ61" s="12">
        <v>0</v>
      </c>
      <c r="BK61" s="12">
        <v>0</v>
      </c>
      <c r="BL61" s="12">
        <v>0</v>
      </c>
      <c r="BM61" s="12">
        <v>0</v>
      </c>
      <c r="BN61" s="12">
        <v>0</v>
      </c>
      <c r="BO61" s="12">
        <v>0</v>
      </c>
      <c r="BP61" s="12">
        <v>0</v>
      </c>
      <c r="BQ61" s="12">
        <v>0</v>
      </c>
      <c r="BR61" s="12">
        <v>0</v>
      </c>
      <c r="BS61" s="12">
        <v>0</v>
      </c>
      <c r="BT61" s="12">
        <v>0</v>
      </c>
      <c r="BU61" s="12">
        <v>0</v>
      </c>
      <c r="BV61" s="12">
        <v>0</v>
      </c>
      <c r="BW61" s="12">
        <v>0</v>
      </c>
      <c r="BX61" s="12">
        <v>0</v>
      </c>
      <c r="BY61" s="12">
        <v>0</v>
      </c>
    </row>
    <row r="62" spans="1:164" x14ac:dyDescent="0.25">
      <c r="A62" s="152" t="s">
        <v>1271</v>
      </c>
      <c r="B62" s="12" t="s">
        <v>751</v>
      </c>
      <c r="C62" s="12">
        <v>0</v>
      </c>
      <c r="D62" s="12">
        <v>0</v>
      </c>
      <c r="E62" s="12">
        <v>0</v>
      </c>
      <c r="F62" s="12">
        <v>0</v>
      </c>
      <c r="G62" s="12">
        <v>0</v>
      </c>
      <c r="H62" s="12">
        <v>0</v>
      </c>
      <c r="I62" s="12">
        <v>0</v>
      </c>
      <c r="J62" s="12">
        <v>0</v>
      </c>
      <c r="K62" s="12">
        <v>0</v>
      </c>
      <c r="L62" s="12">
        <v>0</v>
      </c>
      <c r="M62" s="12">
        <v>0</v>
      </c>
      <c r="N62" s="12">
        <v>0</v>
      </c>
      <c r="O62" s="12">
        <v>0</v>
      </c>
      <c r="P62" s="12">
        <v>0</v>
      </c>
      <c r="Q62" s="12">
        <v>0</v>
      </c>
      <c r="R62" s="12">
        <v>0</v>
      </c>
      <c r="S62" s="12">
        <v>0</v>
      </c>
      <c r="T62" s="12">
        <v>0</v>
      </c>
      <c r="U62" s="12">
        <v>0</v>
      </c>
      <c r="V62" s="12">
        <v>0</v>
      </c>
      <c r="W62" s="12">
        <v>0</v>
      </c>
      <c r="X62" s="12">
        <v>0</v>
      </c>
      <c r="Y62" s="12">
        <v>0</v>
      </c>
      <c r="Z62" s="12">
        <v>0</v>
      </c>
      <c r="AA62" s="12">
        <v>0</v>
      </c>
      <c r="AB62" s="12">
        <v>0</v>
      </c>
      <c r="AC62" s="12">
        <v>0</v>
      </c>
      <c r="AD62" s="12">
        <v>0</v>
      </c>
      <c r="AE62" s="12">
        <v>0</v>
      </c>
      <c r="AF62" s="12">
        <v>0</v>
      </c>
      <c r="AG62" s="12">
        <v>0</v>
      </c>
      <c r="AH62" s="12">
        <v>0</v>
      </c>
      <c r="AI62" s="12">
        <v>0</v>
      </c>
      <c r="AJ62" s="12">
        <v>0</v>
      </c>
      <c r="AK62" s="12">
        <v>0</v>
      </c>
      <c r="AL62" s="12">
        <v>0</v>
      </c>
      <c r="AM62" s="12">
        <v>0</v>
      </c>
      <c r="AN62" s="12">
        <v>0</v>
      </c>
      <c r="AO62" s="12">
        <v>0</v>
      </c>
      <c r="AP62" s="12">
        <v>0</v>
      </c>
      <c r="AQ62" s="12">
        <v>0</v>
      </c>
      <c r="AR62" s="12">
        <v>0</v>
      </c>
      <c r="AS62" s="12">
        <v>0</v>
      </c>
      <c r="AT62" s="12">
        <v>0</v>
      </c>
      <c r="AU62" s="12">
        <v>0</v>
      </c>
      <c r="AV62" s="12">
        <v>0</v>
      </c>
      <c r="AW62" s="12">
        <v>0</v>
      </c>
      <c r="AX62" s="12">
        <v>0</v>
      </c>
      <c r="AY62" s="12">
        <v>0</v>
      </c>
      <c r="AZ62" s="12">
        <v>0</v>
      </c>
      <c r="BA62" s="12">
        <v>0</v>
      </c>
      <c r="BB62" s="12">
        <v>0</v>
      </c>
      <c r="BC62" s="12">
        <v>0</v>
      </c>
      <c r="BD62" s="12">
        <v>0</v>
      </c>
      <c r="BE62" s="12">
        <v>0</v>
      </c>
      <c r="BF62" s="12">
        <v>0</v>
      </c>
      <c r="BG62" s="12">
        <v>0</v>
      </c>
      <c r="BH62" s="12">
        <v>0</v>
      </c>
      <c r="BI62" s="12">
        <v>0</v>
      </c>
      <c r="BJ62" s="12">
        <v>0</v>
      </c>
      <c r="BK62" s="12">
        <v>0</v>
      </c>
      <c r="BL62" s="12">
        <v>0</v>
      </c>
      <c r="BM62" s="12">
        <v>0</v>
      </c>
      <c r="BN62" s="12">
        <v>0</v>
      </c>
      <c r="BO62" s="12">
        <v>0</v>
      </c>
      <c r="BP62" s="12">
        <v>0</v>
      </c>
      <c r="BQ62" s="12">
        <v>0</v>
      </c>
      <c r="BR62" s="12">
        <v>0</v>
      </c>
      <c r="BS62" s="12">
        <v>0</v>
      </c>
      <c r="BT62" s="12">
        <v>0</v>
      </c>
      <c r="BU62" s="12">
        <v>0</v>
      </c>
      <c r="BV62" s="12">
        <v>0</v>
      </c>
      <c r="BW62" s="12">
        <v>0</v>
      </c>
      <c r="BX62" s="12">
        <v>0</v>
      </c>
      <c r="BY62" s="12">
        <v>0</v>
      </c>
    </row>
    <row r="63" spans="1:164" x14ac:dyDescent="0.25">
      <c r="A63" s="152" t="s">
        <v>1272</v>
      </c>
      <c r="B63" s="12" t="s">
        <v>752</v>
      </c>
      <c r="C63" s="12">
        <v>0</v>
      </c>
      <c r="D63" s="12">
        <v>0</v>
      </c>
      <c r="E63" s="12">
        <v>0</v>
      </c>
      <c r="F63" s="12">
        <v>0</v>
      </c>
      <c r="G63" s="12">
        <v>0</v>
      </c>
      <c r="H63" s="12">
        <v>0</v>
      </c>
      <c r="I63" s="12">
        <v>0</v>
      </c>
      <c r="J63" s="12">
        <v>0</v>
      </c>
      <c r="K63" s="12">
        <v>0</v>
      </c>
      <c r="L63" s="12">
        <v>0</v>
      </c>
      <c r="M63" s="12">
        <v>0</v>
      </c>
      <c r="N63" s="12">
        <v>0</v>
      </c>
      <c r="O63" s="12">
        <v>0</v>
      </c>
      <c r="P63" s="12">
        <v>0</v>
      </c>
      <c r="Q63" s="12">
        <v>0</v>
      </c>
      <c r="R63" s="12">
        <v>0</v>
      </c>
      <c r="S63" s="12">
        <v>0</v>
      </c>
      <c r="T63" s="12">
        <v>0</v>
      </c>
      <c r="U63" s="12">
        <v>0</v>
      </c>
      <c r="V63" s="12">
        <v>0</v>
      </c>
      <c r="W63" s="12">
        <v>0</v>
      </c>
      <c r="X63" s="12">
        <v>0</v>
      </c>
      <c r="Y63" s="12">
        <v>0</v>
      </c>
      <c r="Z63" s="12">
        <v>0</v>
      </c>
      <c r="AA63" s="12">
        <v>0</v>
      </c>
      <c r="AB63" s="12">
        <v>0</v>
      </c>
      <c r="AC63" s="12">
        <v>0</v>
      </c>
      <c r="AD63" s="12">
        <v>0</v>
      </c>
      <c r="AE63" s="12">
        <v>0</v>
      </c>
      <c r="AF63" s="12">
        <v>0</v>
      </c>
      <c r="AG63" s="12">
        <v>0</v>
      </c>
      <c r="AH63" s="12">
        <v>0</v>
      </c>
      <c r="AI63" s="12">
        <v>0</v>
      </c>
      <c r="AJ63" s="12">
        <v>0</v>
      </c>
      <c r="AK63" s="12">
        <v>0</v>
      </c>
      <c r="AL63" s="12">
        <v>0</v>
      </c>
      <c r="AM63" s="12">
        <v>0</v>
      </c>
      <c r="AN63" s="12">
        <v>0</v>
      </c>
      <c r="AO63" s="12">
        <v>0</v>
      </c>
      <c r="AP63" s="12">
        <v>0</v>
      </c>
      <c r="AQ63" s="12">
        <v>0</v>
      </c>
      <c r="AR63" s="12">
        <v>0</v>
      </c>
      <c r="AS63" s="12">
        <v>0</v>
      </c>
      <c r="AT63" s="12">
        <v>0</v>
      </c>
      <c r="AU63" s="12">
        <v>0</v>
      </c>
      <c r="AV63" s="12">
        <v>0</v>
      </c>
      <c r="AW63" s="12">
        <v>0</v>
      </c>
      <c r="AX63" s="12">
        <v>0</v>
      </c>
      <c r="AY63" s="12">
        <v>0</v>
      </c>
      <c r="AZ63" s="12">
        <v>0</v>
      </c>
      <c r="BA63" s="12">
        <v>0</v>
      </c>
      <c r="BB63" s="12">
        <v>0</v>
      </c>
      <c r="BC63" s="12">
        <v>0</v>
      </c>
      <c r="BD63" s="12">
        <v>0</v>
      </c>
      <c r="BE63" s="12">
        <v>0</v>
      </c>
      <c r="BF63" s="12">
        <v>0</v>
      </c>
      <c r="BG63" s="12">
        <v>0</v>
      </c>
      <c r="BH63" s="12">
        <v>0</v>
      </c>
      <c r="BI63" s="12">
        <v>0</v>
      </c>
      <c r="BJ63" s="12">
        <v>0</v>
      </c>
      <c r="BK63" s="12">
        <v>0</v>
      </c>
      <c r="BL63" s="12">
        <v>0</v>
      </c>
      <c r="BM63" s="12">
        <v>0</v>
      </c>
      <c r="BN63" s="12">
        <v>0</v>
      </c>
      <c r="BO63" s="12">
        <v>0</v>
      </c>
      <c r="BP63" s="12">
        <v>0</v>
      </c>
      <c r="BQ63" s="12">
        <v>0</v>
      </c>
      <c r="BR63" s="12">
        <v>0</v>
      </c>
      <c r="BS63" s="12">
        <v>0</v>
      </c>
      <c r="BT63" s="12">
        <v>0</v>
      </c>
      <c r="BU63" s="12">
        <v>0</v>
      </c>
      <c r="BV63" s="12">
        <v>0</v>
      </c>
      <c r="BW63" s="12">
        <v>0</v>
      </c>
      <c r="BX63" s="12">
        <v>0</v>
      </c>
      <c r="BY63" s="12">
        <v>0</v>
      </c>
    </row>
    <row r="64" spans="1:164" x14ac:dyDescent="0.25">
      <c r="A64" s="152" t="s">
        <v>1273</v>
      </c>
      <c r="B64" s="12" t="s">
        <v>753</v>
      </c>
      <c r="C64" s="12">
        <v>0</v>
      </c>
      <c r="D64" s="12">
        <v>0</v>
      </c>
      <c r="E64" s="12">
        <v>0</v>
      </c>
      <c r="F64" s="12">
        <v>0</v>
      </c>
      <c r="G64" s="12">
        <v>0</v>
      </c>
      <c r="H64" s="12">
        <v>0</v>
      </c>
      <c r="I64" s="12">
        <v>0</v>
      </c>
      <c r="J64" s="12">
        <v>0</v>
      </c>
      <c r="K64" s="12">
        <v>0</v>
      </c>
      <c r="L64" s="12">
        <v>0</v>
      </c>
      <c r="M64" s="12">
        <v>0</v>
      </c>
      <c r="N64" s="12">
        <v>0</v>
      </c>
      <c r="O64" s="12">
        <v>0</v>
      </c>
      <c r="P64" s="12">
        <v>0</v>
      </c>
      <c r="Q64" s="12">
        <v>0</v>
      </c>
      <c r="R64" s="12">
        <v>0</v>
      </c>
      <c r="S64" s="12">
        <v>0</v>
      </c>
      <c r="T64" s="12">
        <v>0</v>
      </c>
      <c r="U64" s="12">
        <v>0</v>
      </c>
      <c r="V64" s="12">
        <v>0</v>
      </c>
      <c r="W64" s="12">
        <v>0</v>
      </c>
      <c r="X64" s="12">
        <v>0</v>
      </c>
      <c r="Y64" s="12">
        <v>0</v>
      </c>
      <c r="Z64" s="12">
        <v>0</v>
      </c>
      <c r="AA64" s="12">
        <v>0</v>
      </c>
      <c r="AB64" s="12">
        <v>0</v>
      </c>
      <c r="AC64" s="12">
        <v>0</v>
      </c>
      <c r="AD64" s="12">
        <v>0</v>
      </c>
      <c r="AE64" s="12">
        <v>0</v>
      </c>
      <c r="AF64" s="12">
        <v>0</v>
      </c>
      <c r="AG64" s="12">
        <v>0</v>
      </c>
      <c r="AH64" s="12">
        <v>0</v>
      </c>
      <c r="AI64" s="12">
        <v>0</v>
      </c>
      <c r="AJ64" s="12">
        <v>0</v>
      </c>
      <c r="AK64" s="12">
        <v>0</v>
      </c>
      <c r="AL64" s="12">
        <v>0</v>
      </c>
      <c r="AM64" s="12">
        <v>0</v>
      </c>
      <c r="AN64" s="12">
        <v>0</v>
      </c>
      <c r="AO64" s="12">
        <v>0</v>
      </c>
      <c r="AP64" s="12">
        <v>0</v>
      </c>
      <c r="AQ64" s="12">
        <v>0</v>
      </c>
      <c r="AR64" s="12">
        <v>0</v>
      </c>
      <c r="AS64" s="12">
        <v>0</v>
      </c>
      <c r="AT64" s="12">
        <v>0</v>
      </c>
      <c r="AU64" s="12">
        <v>0</v>
      </c>
      <c r="AV64" s="12">
        <v>0</v>
      </c>
      <c r="AW64" s="12">
        <v>0</v>
      </c>
      <c r="AX64" s="12">
        <v>0</v>
      </c>
      <c r="AY64" s="12">
        <v>0</v>
      </c>
      <c r="AZ64" s="12">
        <v>0</v>
      </c>
      <c r="BA64" s="12">
        <v>0</v>
      </c>
      <c r="BB64" s="12">
        <v>0</v>
      </c>
      <c r="BC64" s="12">
        <v>0</v>
      </c>
      <c r="BD64" s="12">
        <v>0</v>
      </c>
      <c r="BE64" s="12">
        <v>0</v>
      </c>
      <c r="BF64" s="12">
        <v>0</v>
      </c>
      <c r="BG64" s="12">
        <v>0</v>
      </c>
      <c r="BH64" s="12">
        <v>0</v>
      </c>
      <c r="BI64" s="12">
        <v>0</v>
      </c>
      <c r="BJ64" s="12">
        <v>0</v>
      </c>
      <c r="BK64" s="12">
        <v>0</v>
      </c>
      <c r="BL64" s="12">
        <v>0</v>
      </c>
      <c r="BM64" s="12">
        <v>0</v>
      </c>
      <c r="BN64" s="12">
        <v>0</v>
      </c>
      <c r="BO64" s="12">
        <v>0</v>
      </c>
      <c r="BP64" s="12">
        <v>0</v>
      </c>
      <c r="BQ64" s="12">
        <v>0</v>
      </c>
      <c r="BR64" s="12">
        <v>0</v>
      </c>
      <c r="BS64" s="12">
        <v>0</v>
      </c>
      <c r="BT64" s="12">
        <v>0</v>
      </c>
      <c r="BU64" s="12">
        <v>0</v>
      </c>
      <c r="BV64" s="12">
        <v>0</v>
      </c>
      <c r="BW64" s="12">
        <v>0</v>
      </c>
      <c r="BX64" s="12">
        <v>0</v>
      </c>
      <c r="BY64" s="12">
        <v>0</v>
      </c>
    </row>
    <row r="65" spans="1:77" x14ac:dyDescent="0.25">
      <c r="A65" s="152" t="s">
        <v>1274</v>
      </c>
      <c r="B65" s="12" t="s">
        <v>754</v>
      </c>
      <c r="C65" s="12">
        <v>0</v>
      </c>
      <c r="D65" s="12">
        <v>0</v>
      </c>
      <c r="E65" s="12">
        <v>0</v>
      </c>
      <c r="F65" s="12">
        <v>0</v>
      </c>
      <c r="G65" s="12">
        <v>0</v>
      </c>
      <c r="H65" s="12">
        <v>0</v>
      </c>
      <c r="I65" s="12">
        <v>0</v>
      </c>
      <c r="J65" s="12">
        <v>0</v>
      </c>
      <c r="K65" s="12">
        <v>0</v>
      </c>
      <c r="L65" s="12">
        <v>0</v>
      </c>
      <c r="M65" s="12">
        <v>0</v>
      </c>
      <c r="N65" s="12">
        <v>0</v>
      </c>
      <c r="O65" s="12">
        <v>0</v>
      </c>
      <c r="P65" s="12">
        <v>0</v>
      </c>
      <c r="Q65" s="12">
        <v>0</v>
      </c>
      <c r="R65" s="12">
        <v>0</v>
      </c>
      <c r="S65" s="12">
        <v>0</v>
      </c>
      <c r="T65" s="12">
        <v>0</v>
      </c>
      <c r="U65" s="12">
        <v>0</v>
      </c>
      <c r="V65" s="12">
        <v>0</v>
      </c>
      <c r="W65" s="12">
        <v>0</v>
      </c>
      <c r="X65" s="12">
        <v>0</v>
      </c>
      <c r="Y65" s="12">
        <v>0</v>
      </c>
      <c r="Z65" s="12">
        <v>0</v>
      </c>
      <c r="AA65" s="12">
        <v>0</v>
      </c>
      <c r="AB65" s="12">
        <v>0</v>
      </c>
      <c r="AC65" s="12">
        <v>0</v>
      </c>
      <c r="AD65" s="12">
        <v>0</v>
      </c>
      <c r="AE65" s="12">
        <v>0</v>
      </c>
      <c r="AF65" s="12">
        <v>0</v>
      </c>
      <c r="AG65" s="12">
        <v>0</v>
      </c>
      <c r="AH65" s="12">
        <v>0</v>
      </c>
      <c r="AI65" s="12">
        <v>0</v>
      </c>
      <c r="AJ65" s="12">
        <v>0</v>
      </c>
      <c r="AK65" s="12">
        <v>0</v>
      </c>
      <c r="AL65" s="12">
        <v>0</v>
      </c>
      <c r="AM65" s="12">
        <v>0</v>
      </c>
      <c r="AN65" s="12">
        <v>0</v>
      </c>
      <c r="AO65" s="12">
        <v>0</v>
      </c>
      <c r="AP65" s="12">
        <v>0</v>
      </c>
      <c r="AQ65" s="12">
        <v>0</v>
      </c>
      <c r="AR65" s="12">
        <v>0</v>
      </c>
      <c r="AS65" s="12">
        <v>0</v>
      </c>
      <c r="AT65" s="12">
        <v>0</v>
      </c>
      <c r="AU65" s="12">
        <v>0</v>
      </c>
      <c r="AV65" s="12">
        <v>0</v>
      </c>
      <c r="AW65" s="12">
        <v>0</v>
      </c>
      <c r="AX65" s="12">
        <v>0</v>
      </c>
      <c r="AY65" s="12">
        <v>0</v>
      </c>
      <c r="AZ65" s="12">
        <v>0</v>
      </c>
      <c r="BA65" s="12">
        <v>0</v>
      </c>
      <c r="BB65" s="12">
        <v>0</v>
      </c>
      <c r="BC65" s="12">
        <v>0</v>
      </c>
      <c r="BD65" s="12">
        <v>0</v>
      </c>
      <c r="BE65" s="12">
        <v>0</v>
      </c>
      <c r="BF65" s="12">
        <v>0</v>
      </c>
      <c r="BG65" s="12">
        <v>0</v>
      </c>
      <c r="BH65" s="12">
        <v>0</v>
      </c>
      <c r="BI65" s="12">
        <v>0</v>
      </c>
      <c r="BJ65" s="12">
        <v>0</v>
      </c>
      <c r="BK65" s="12">
        <v>0</v>
      </c>
      <c r="BL65" s="12">
        <v>0</v>
      </c>
      <c r="BM65" s="12">
        <v>0</v>
      </c>
      <c r="BN65" s="12">
        <v>0</v>
      </c>
      <c r="BO65" s="12">
        <v>0</v>
      </c>
      <c r="BP65" s="12">
        <v>0</v>
      </c>
      <c r="BQ65" s="12">
        <v>0</v>
      </c>
      <c r="BR65" s="12">
        <v>0</v>
      </c>
      <c r="BS65" s="12">
        <v>0</v>
      </c>
      <c r="BT65" s="12">
        <v>0</v>
      </c>
      <c r="BU65" s="12">
        <v>0</v>
      </c>
      <c r="BV65" s="12">
        <v>0</v>
      </c>
      <c r="BW65" s="12">
        <v>0</v>
      </c>
      <c r="BX65" s="12">
        <v>0</v>
      </c>
      <c r="BY65" s="12">
        <v>0</v>
      </c>
    </row>
    <row r="66" spans="1:77" x14ac:dyDescent="0.25">
      <c r="A66" s="152" t="s">
        <v>1275</v>
      </c>
      <c r="B66" s="12" t="s">
        <v>755</v>
      </c>
      <c r="C66" s="12">
        <v>0</v>
      </c>
      <c r="D66" s="12">
        <v>0</v>
      </c>
      <c r="E66" s="12">
        <v>0</v>
      </c>
      <c r="F66" s="12">
        <v>0</v>
      </c>
      <c r="G66" s="12">
        <v>0</v>
      </c>
      <c r="H66" s="12">
        <v>0</v>
      </c>
      <c r="I66" s="12">
        <v>0</v>
      </c>
      <c r="J66" s="12">
        <v>0</v>
      </c>
      <c r="K66" s="12">
        <v>0</v>
      </c>
      <c r="L66" s="12">
        <v>0</v>
      </c>
      <c r="M66" s="12">
        <v>0</v>
      </c>
      <c r="N66" s="12">
        <v>0</v>
      </c>
      <c r="O66" s="12">
        <v>0</v>
      </c>
      <c r="P66" s="12">
        <v>0</v>
      </c>
      <c r="Q66" s="12">
        <v>0</v>
      </c>
      <c r="R66" s="12">
        <v>0</v>
      </c>
      <c r="S66" s="12">
        <v>0</v>
      </c>
      <c r="T66" s="12">
        <v>0</v>
      </c>
      <c r="U66" s="12">
        <v>0</v>
      </c>
      <c r="V66" s="12">
        <v>0</v>
      </c>
      <c r="W66" s="12">
        <v>0</v>
      </c>
      <c r="X66" s="12">
        <v>0</v>
      </c>
      <c r="Y66" s="12">
        <v>0</v>
      </c>
      <c r="Z66" s="12">
        <v>0</v>
      </c>
      <c r="AA66" s="12">
        <v>0</v>
      </c>
      <c r="AB66" s="12">
        <v>0</v>
      </c>
      <c r="AC66" s="12">
        <v>0</v>
      </c>
      <c r="AD66" s="12">
        <v>0</v>
      </c>
      <c r="AE66" s="12">
        <v>0</v>
      </c>
      <c r="AF66" s="12">
        <v>0</v>
      </c>
      <c r="AG66" s="12">
        <v>0</v>
      </c>
      <c r="AH66" s="12">
        <v>0</v>
      </c>
      <c r="AI66" s="12">
        <v>0</v>
      </c>
      <c r="AJ66" s="12">
        <v>0</v>
      </c>
      <c r="AK66" s="12">
        <v>0</v>
      </c>
      <c r="AL66" s="12">
        <v>0</v>
      </c>
      <c r="AM66" s="12">
        <v>0</v>
      </c>
      <c r="AN66" s="12">
        <v>0</v>
      </c>
      <c r="AO66" s="12">
        <v>0</v>
      </c>
      <c r="AP66" s="12">
        <v>0</v>
      </c>
      <c r="AQ66" s="12">
        <v>0</v>
      </c>
      <c r="AR66" s="12">
        <v>0</v>
      </c>
      <c r="AS66" s="12">
        <v>0</v>
      </c>
      <c r="AT66" s="12">
        <v>0</v>
      </c>
      <c r="AU66" s="12">
        <v>0</v>
      </c>
      <c r="AV66" s="12">
        <v>0</v>
      </c>
      <c r="AW66" s="12">
        <v>0</v>
      </c>
      <c r="AX66" s="12">
        <v>0</v>
      </c>
      <c r="AY66" s="12">
        <v>0</v>
      </c>
      <c r="AZ66" s="12">
        <v>0</v>
      </c>
      <c r="BA66" s="12">
        <v>0</v>
      </c>
      <c r="BB66" s="12">
        <v>0</v>
      </c>
      <c r="BC66" s="12">
        <v>0</v>
      </c>
      <c r="BD66" s="12">
        <v>0</v>
      </c>
      <c r="BE66" s="12">
        <v>0</v>
      </c>
      <c r="BF66" s="12">
        <v>0</v>
      </c>
      <c r="BG66" s="12">
        <v>0</v>
      </c>
      <c r="BH66" s="12">
        <v>0</v>
      </c>
      <c r="BI66" s="12">
        <v>0</v>
      </c>
      <c r="BJ66" s="12">
        <v>0</v>
      </c>
      <c r="BK66" s="12">
        <v>0</v>
      </c>
      <c r="BL66" s="12">
        <v>0</v>
      </c>
      <c r="BM66" s="12">
        <v>0</v>
      </c>
      <c r="BN66" s="12">
        <v>0</v>
      </c>
      <c r="BO66" s="12">
        <v>0</v>
      </c>
      <c r="BP66" s="12">
        <v>0</v>
      </c>
      <c r="BQ66" s="12">
        <v>0</v>
      </c>
      <c r="BR66" s="12">
        <v>0</v>
      </c>
      <c r="BS66" s="12">
        <v>0</v>
      </c>
      <c r="BT66" s="12">
        <v>0</v>
      </c>
      <c r="BU66" s="12">
        <v>0</v>
      </c>
      <c r="BV66" s="12">
        <v>0</v>
      </c>
      <c r="BW66" s="12">
        <v>0</v>
      </c>
      <c r="BX66" s="12">
        <v>0</v>
      </c>
      <c r="BY66" s="12">
        <v>0</v>
      </c>
    </row>
    <row r="67" spans="1:77" x14ac:dyDescent="0.25">
      <c r="A67" s="152" t="s">
        <v>1276</v>
      </c>
      <c r="B67" s="12" t="s">
        <v>756</v>
      </c>
      <c r="C67" s="12">
        <v>0</v>
      </c>
      <c r="D67" s="12">
        <v>0</v>
      </c>
      <c r="E67" s="12">
        <v>0</v>
      </c>
      <c r="F67" s="12">
        <v>0</v>
      </c>
      <c r="G67" s="12">
        <v>0</v>
      </c>
      <c r="H67" s="12">
        <v>0</v>
      </c>
      <c r="I67" s="12">
        <v>0</v>
      </c>
      <c r="J67" s="12">
        <v>0</v>
      </c>
      <c r="K67" s="12">
        <v>0</v>
      </c>
      <c r="L67" s="12">
        <v>0</v>
      </c>
      <c r="M67" s="12">
        <v>0</v>
      </c>
      <c r="N67" s="12">
        <v>0</v>
      </c>
      <c r="O67" s="12">
        <v>0</v>
      </c>
      <c r="P67" s="12">
        <v>0</v>
      </c>
      <c r="Q67" s="12">
        <v>0</v>
      </c>
      <c r="R67" s="12">
        <v>0</v>
      </c>
      <c r="S67" s="12">
        <v>0</v>
      </c>
      <c r="T67" s="12">
        <v>0</v>
      </c>
      <c r="U67" s="12">
        <v>0</v>
      </c>
      <c r="V67" s="12">
        <v>0</v>
      </c>
      <c r="W67" s="12">
        <v>0</v>
      </c>
      <c r="X67" s="12">
        <v>0</v>
      </c>
      <c r="Y67" s="12">
        <v>0</v>
      </c>
      <c r="Z67" s="12">
        <v>0</v>
      </c>
      <c r="AA67" s="12">
        <v>0</v>
      </c>
      <c r="AB67" s="12">
        <v>0</v>
      </c>
      <c r="AC67" s="12">
        <v>0</v>
      </c>
      <c r="AD67" s="12">
        <v>0</v>
      </c>
      <c r="AE67" s="12">
        <v>0</v>
      </c>
      <c r="AF67" s="12">
        <v>0</v>
      </c>
      <c r="AG67" s="12">
        <v>0</v>
      </c>
      <c r="AH67" s="12">
        <v>0</v>
      </c>
      <c r="AI67" s="12">
        <v>0</v>
      </c>
      <c r="AJ67" s="12">
        <v>0</v>
      </c>
      <c r="AK67" s="12">
        <v>0</v>
      </c>
      <c r="AL67" s="12">
        <v>0</v>
      </c>
      <c r="AM67" s="12">
        <v>0</v>
      </c>
      <c r="AN67" s="12">
        <v>0</v>
      </c>
      <c r="AO67" s="12">
        <v>0</v>
      </c>
      <c r="AP67" s="12">
        <v>0</v>
      </c>
      <c r="AQ67" s="12">
        <v>0</v>
      </c>
      <c r="AR67" s="12">
        <v>0</v>
      </c>
      <c r="AS67" s="12">
        <v>0</v>
      </c>
      <c r="AT67" s="12">
        <v>0</v>
      </c>
      <c r="AU67" s="12">
        <v>0</v>
      </c>
      <c r="AV67" s="12">
        <v>0</v>
      </c>
      <c r="AW67" s="12">
        <v>0</v>
      </c>
      <c r="AX67" s="12">
        <v>0</v>
      </c>
      <c r="AY67" s="12">
        <v>0</v>
      </c>
      <c r="AZ67" s="12">
        <v>0</v>
      </c>
      <c r="BA67" s="12">
        <v>0</v>
      </c>
      <c r="BB67" s="12">
        <v>0</v>
      </c>
      <c r="BC67" s="12">
        <v>0</v>
      </c>
      <c r="BD67" s="12">
        <v>0</v>
      </c>
      <c r="BE67" s="12">
        <v>0</v>
      </c>
      <c r="BF67" s="12">
        <v>0</v>
      </c>
      <c r="BG67" s="12">
        <v>0</v>
      </c>
      <c r="BH67" s="12">
        <v>0</v>
      </c>
      <c r="BI67" s="12">
        <v>0</v>
      </c>
      <c r="BJ67" s="12">
        <v>0</v>
      </c>
      <c r="BK67" s="12">
        <v>0</v>
      </c>
      <c r="BL67" s="12">
        <v>0</v>
      </c>
      <c r="BM67" s="12">
        <v>0</v>
      </c>
      <c r="BN67" s="12">
        <v>0</v>
      </c>
      <c r="BO67" s="12">
        <v>0</v>
      </c>
      <c r="BP67" s="12">
        <v>0</v>
      </c>
      <c r="BQ67" s="12">
        <v>0</v>
      </c>
      <c r="BR67" s="12">
        <v>0</v>
      </c>
      <c r="BS67" s="12">
        <v>0</v>
      </c>
      <c r="BT67" s="12">
        <v>0</v>
      </c>
      <c r="BU67" s="12">
        <v>0</v>
      </c>
      <c r="BV67" s="12">
        <v>0</v>
      </c>
      <c r="BW67" s="12">
        <v>0</v>
      </c>
      <c r="BX67" s="12">
        <v>0</v>
      </c>
      <c r="BY67" s="12">
        <v>0</v>
      </c>
    </row>
    <row r="68" spans="1:77" x14ac:dyDescent="0.25">
      <c r="A68" s="152" t="s">
        <v>1277</v>
      </c>
      <c r="B68" s="12" t="s">
        <v>757</v>
      </c>
      <c r="C68" s="12">
        <v>0</v>
      </c>
      <c r="D68" s="12">
        <v>0</v>
      </c>
      <c r="E68" s="12">
        <v>0</v>
      </c>
      <c r="F68" s="12">
        <v>0</v>
      </c>
      <c r="G68" s="12">
        <v>0</v>
      </c>
      <c r="H68" s="12">
        <v>0</v>
      </c>
      <c r="I68" s="12">
        <v>0</v>
      </c>
      <c r="J68" s="12">
        <v>0</v>
      </c>
      <c r="K68" s="12">
        <v>0</v>
      </c>
      <c r="L68" s="12">
        <v>0</v>
      </c>
      <c r="M68" s="12">
        <v>0</v>
      </c>
      <c r="N68" s="12">
        <v>0</v>
      </c>
      <c r="O68" s="12">
        <v>0</v>
      </c>
      <c r="P68" s="12">
        <v>0</v>
      </c>
      <c r="Q68" s="12">
        <v>0</v>
      </c>
      <c r="R68" s="12">
        <v>0</v>
      </c>
      <c r="S68" s="12">
        <v>0</v>
      </c>
      <c r="T68" s="12">
        <v>0</v>
      </c>
      <c r="U68" s="12">
        <v>0</v>
      </c>
      <c r="V68" s="12">
        <v>0</v>
      </c>
      <c r="W68" s="12">
        <v>0</v>
      </c>
      <c r="X68" s="12">
        <v>0</v>
      </c>
      <c r="Y68" s="12">
        <v>0</v>
      </c>
      <c r="Z68" s="12">
        <v>0</v>
      </c>
      <c r="AA68" s="12">
        <v>0</v>
      </c>
      <c r="AB68" s="12">
        <v>0</v>
      </c>
      <c r="AC68" s="12">
        <v>0</v>
      </c>
      <c r="AD68" s="12">
        <v>0</v>
      </c>
      <c r="AE68" s="12">
        <v>0</v>
      </c>
      <c r="AF68" s="12">
        <v>0</v>
      </c>
      <c r="AG68" s="12">
        <v>0</v>
      </c>
      <c r="AH68" s="12">
        <v>0</v>
      </c>
      <c r="AI68" s="12">
        <v>0</v>
      </c>
      <c r="AJ68" s="12">
        <v>0</v>
      </c>
      <c r="AK68" s="12">
        <v>0</v>
      </c>
      <c r="AL68" s="12">
        <v>0</v>
      </c>
      <c r="AM68" s="12">
        <v>0</v>
      </c>
      <c r="AN68" s="12">
        <v>0</v>
      </c>
      <c r="AO68" s="12">
        <v>0</v>
      </c>
      <c r="AP68" s="12">
        <v>0</v>
      </c>
      <c r="AQ68" s="12">
        <v>0</v>
      </c>
      <c r="AR68" s="12">
        <v>0</v>
      </c>
      <c r="AS68" s="12">
        <v>0</v>
      </c>
      <c r="AT68" s="12">
        <v>0</v>
      </c>
      <c r="AU68" s="12">
        <v>0</v>
      </c>
      <c r="AV68" s="12">
        <v>0</v>
      </c>
      <c r="AW68" s="12">
        <v>0</v>
      </c>
      <c r="AX68" s="12">
        <v>0</v>
      </c>
      <c r="AY68" s="12">
        <v>0</v>
      </c>
      <c r="AZ68" s="12">
        <v>0</v>
      </c>
      <c r="BA68" s="12">
        <v>0</v>
      </c>
      <c r="BB68" s="12">
        <v>0</v>
      </c>
      <c r="BC68" s="12">
        <v>0</v>
      </c>
      <c r="BD68" s="12">
        <v>0</v>
      </c>
      <c r="BE68" s="12">
        <v>0</v>
      </c>
      <c r="BF68" s="12">
        <v>0</v>
      </c>
      <c r="BG68" s="12">
        <v>0</v>
      </c>
      <c r="BH68" s="12">
        <v>0</v>
      </c>
      <c r="BI68" s="12">
        <v>0</v>
      </c>
      <c r="BJ68" s="12">
        <v>0</v>
      </c>
      <c r="BK68" s="12">
        <v>0</v>
      </c>
      <c r="BL68" s="12">
        <v>0</v>
      </c>
      <c r="BM68" s="12">
        <v>0</v>
      </c>
      <c r="BN68" s="12">
        <v>0</v>
      </c>
      <c r="BO68" s="12">
        <v>0</v>
      </c>
      <c r="BP68" s="12">
        <v>0</v>
      </c>
      <c r="BQ68" s="12">
        <v>0</v>
      </c>
      <c r="BR68" s="12">
        <v>0</v>
      </c>
      <c r="BS68" s="12">
        <v>0</v>
      </c>
      <c r="BT68" s="12">
        <v>0</v>
      </c>
      <c r="BU68" s="12">
        <v>0</v>
      </c>
      <c r="BV68" s="12">
        <v>0</v>
      </c>
      <c r="BW68" s="12">
        <v>0</v>
      </c>
      <c r="BX68" s="12">
        <v>0</v>
      </c>
      <c r="BY68" s="12">
        <v>0</v>
      </c>
    </row>
    <row r="69" spans="1:77" x14ac:dyDescent="0.25">
      <c r="A69" s="152" t="s">
        <v>1278</v>
      </c>
      <c r="B69" s="12" t="s">
        <v>758</v>
      </c>
      <c r="C69" s="12">
        <v>0</v>
      </c>
      <c r="D69" s="12">
        <v>0</v>
      </c>
      <c r="E69" s="12">
        <v>0</v>
      </c>
      <c r="F69" s="12">
        <v>0</v>
      </c>
      <c r="G69" s="12">
        <v>0</v>
      </c>
      <c r="H69" s="12">
        <v>0</v>
      </c>
      <c r="I69" s="12">
        <v>0</v>
      </c>
      <c r="J69" s="12">
        <v>0</v>
      </c>
      <c r="K69" s="12">
        <v>0</v>
      </c>
      <c r="L69" s="12">
        <v>0</v>
      </c>
      <c r="M69" s="12">
        <v>0</v>
      </c>
      <c r="N69" s="12">
        <v>0</v>
      </c>
      <c r="O69" s="12">
        <v>0</v>
      </c>
      <c r="P69" s="12">
        <v>0</v>
      </c>
      <c r="Q69" s="12">
        <v>0</v>
      </c>
      <c r="R69" s="12">
        <v>0</v>
      </c>
      <c r="S69" s="12">
        <v>0</v>
      </c>
      <c r="T69" s="12">
        <v>0</v>
      </c>
      <c r="U69" s="12">
        <v>0</v>
      </c>
      <c r="V69" s="12">
        <v>0</v>
      </c>
      <c r="W69" s="12">
        <v>0</v>
      </c>
      <c r="X69" s="12">
        <v>0</v>
      </c>
      <c r="Y69" s="12">
        <v>0</v>
      </c>
      <c r="Z69" s="12">
        <v>0</v>
      </c>
      <c r="AA69" s="12">
        <v>0</v>
      </c>
      <c r="AB69" s="12">
        <v>0</v>
      </c>
      <c r="AC69" s="12">
        <v>0</v>
      </c>
      <c r="AD69" s="12">
        <v>0</v>
      </c>
      <c r="AE69" s="12">
        <v>0</v>
      </c>
      <c r="AF69" s="12">
        <v>0</v>
      </c>
      <c r="AG69" s="12">
        <v>0</v>
      </c>
      <c r="AH69" s="12">
        <v>0</v>
      </c>
      <c r="AI69" s="12">
        <v>0</v>
      </c>
      <c r="AJ69" s="12">
        <v>0</v>
      </c>
      <c r="AK69" s="12">
        <v>0</v>
      </c>
      <c r="AL69" s="12">
        <v>0</v>
      </c>
      <c r="AM69" s="12">
        <v>0</v>
      </c>
      <c r="AN69" s="12">
        <v>0</v>
      </c>
      <c r="AO69" s="12">
        <v>0</v>
      </c>
      <c r="AP69" s="12">
        <v>0</v>
      </c>
      <c r="AQ69" s="12">
        <v>0</v>
      </c>
      <c r="AR69" s="12">
        <v>0</v>
      </c>
      <c r="AS69" s="12">
        <v>0</v>
      </c>
      <c r="AT69" s="12">
        <v>0</v>
      </c>
      <c r="AU69" s="12">
        <v>0</v>
      </c>
      <c r="AV69" s="12">
        <v>0</v>
      </c>
      <c r="AW69" s="12">
        <v>0</v>
      </c>
      <c r="AX69" s="12">
        <v>0</v>
      </c>
      <c r="AY69" s="12">
        <v>0</v>
      </c>
      <c r="AZ69" s="12">
        <v>0</v>
      </c>
      <c r="BA69" s="12">
        <v>0</v>
      </c>
      <c r="BB69" s="12">
        <v>0</v>
      </c>
      <c r="BC69" s="12">
        <v>0</v>
      </c>
      <c r="BD69" s="12">
        <v>0</v>
      </c>
      <c r="BE69" s="12">
        <v>0</v>
      </c>
      <c r="BF69" s="12">
        <v>0</v>
      </c>
      <c r="BG69" s="12">
        <v>0</v>
      </c>
      <c r="BH69" s="12">
        <v>0</v>
      </c>
      <c r="BI69" s="12">
        <v>0</v>
      </c>
      <c r="BJ69" s="12">
        <v>0</v>
      </c>
      <c r="BK69" s="12">
        <v>0</v>
      </c>
      <c r="BL69" s="12">
        <v>0</v>
      </c>
      <c r="BM69" s="12">
        <v>0</v>
      </c>
      <c r="BN69" s="12">
        <v>0</v>
      </c>
      <c r="BO69" s="12">
        <v>0</v>
      </c>
      <c r="BP69" s="12">
        <v>0</v>
      </c>
      <c r="BQ69" s="12">
        <v>0</v>
      </c>
      <c r="BR69" s="12">
        <v>0</v>
      </c>
      <c r="BS69" s="12">
        <v>0</v>
      </c>
      <c r="BT69" s="12">
        <v>0</v>
      </c>
      <c r="BU69" s="12">
        <v>0</v>
      </c>
      <c r="BV69" s="12">
        <v>0</v>
      </c>
      <c r="BW69" s="12">
        <v>0</v>
      </c>
      <c r="BX69" s="12">
        <v>0</v>
      </c>
      <c r="BY69" s="12">
        <v>0</v>
      </c>
    </row>
    <row r="70" spans="1:77" x14ac:dyDescent="0.25">
      <c r="A70" s="152" t="s">
        <v>1279</v>
      </c>
      <c r="B70" s="12" t="s">
        <v>759</v>
      </c>
      <c r="C70" s="12">
        <v>0</v>
      </c>
      <c r="D70" s="12">
        <v>0</v>
      </c>
      <c r="E70" s="12">
        <v>0</v>
      </c>
      <c r="F70" s="12">
        <v>0</v>
      </c>
      <c r="G70" s="12">
        <v>0</v>
      </c>
      <c r="H70" s="12">
        <v>0</v>
      </c>
      <c r="I70" s="12">
        <v>0</v>
      </c>
      <c r="J70" s="12">
        <v>0</v>
      </c>
      <c r="K70" s="12">
        <v>0</v>
      </c>
      <c r="L70" s="12">
        <v>0</v>
      </c>
      <c r="M70" s="12">
        <v>0</v>
      </c>
      <c r="N70" s="12">
        <v>0</v>
      </c>
      <c r="O70" s="12">
        <v>0</v>
      </c>
      <c r="P70" s="12">
        <v>0</v>
      </c>
      <c r="Q70" s="12">
        <v>0</v>
      </c>
      <c r="R70" s="12">
        <v>0</v>
      </c>
      <c r="S70" s="12">
        <v>0</v>
      </c>
      <c r="T70" s="12">
        <v>0</v>
      </c>
      <c r="U70" s="12">
        <v>0</v>
      </c>
      <c r="V70" s="12">
        <v>0</v>
      </c>
      <c r="W70" s="12">
        <v>0</v>
      </c>
      <c r="X70" s="12">
        <v>0</v>
      </c>
      <c r="Y70" s="12">
        <v>0</v>
      </c>
      <c r="Z70" s="12">
        <v>0</v>
      </c>
      <c r="AA70" s="12">
        <v>0</v>
      </c>
      <c r="AB70" s="12">
        <v>0</v>
      </c>
      <c r="AC70" s="12">
        <v>0</v>
      </c>
      <c r="AD70" s="12">
        <v>0</v>
      </c>
      <c r="AE70" s="12">
        <v>0</v>
      </c>
      <c r="AF70" s="12">
        <v>0</v>
      </c>
      <c r="AG70" s="12">
        <v>0</v>
      </c>
      <c r="AH70" s="12">
        <v>0</v>
      </c>
      <c r="AI70" s="12">
        <v>0</v>
      </c>
      <c r="AJ70" s="12">
        <v>0</v>
      </c>
      <c r="AK70" s="12">
        <v>0</v>
      </c>
      <c r="AL70" s="12">
        <v>0</v>
      </c>
      <c r="AM70" s="12">
        <v>0</v>
      </c>
      <c r="AN70" s="12">
        <v>0</v>
      </c>
      <c r="AO70" s="12">
        <v>0</v>
      </c>
      <c r="AP70" s="12">
        <v>0</v>
      </c>
      <c r="AQ70" s="12">
        <v>0</v>
      </c>
      <c r="AR70" s="12">
        <v>0</v>
      </c>
      <c r="AS70" s="12">
        <v>0</v>
      </c>
      <c r="AT70" s="12">
        <v>0</v>
      </c>
      <c r="AU70" s="12">
        <v>0</v>
      </c>
      <c r="AV70" s="12">
        <v>0</v>
      </c>
      <c r="AW70" s="12">
        <v>0</v>
      </c>
      <c r="AX70" s="12">
        <v>0</v>
      </c>
      <c r="AY70" s="12">
        <v>0</v>
      </c>
      <c r="AZ70" s="12">
        <v>0</v>
      </c>
      <c r="BA70" s="12">
        <v>0</v>
      </c>
      <c r="BB70" s="12">
        <v>0</v>
      </c>
      <c r="BC70" s="12">
        <v>0</v>
      </c>
      <c r="BD70" s="12">
        <v>0</v>
      </c>
      <c r="BE70" s="12">
        <v>0</v>
      </c>
      <c r="BF70" s="12">
        <v>0</v>
      </c>
      <c r="BG70" s="12">
        <v>0</v>
      </c>
      <c r="BH70" s="12">
        <v>0</v>
      </c>
      <c r="BI70" s="12">
        <v>0</v>
      </c>
      <c r="BJ70" s="12">
        <v>0</v>
      </c>
      <c r="BK70" s="12">
        <v>0</v>
      </c>
      <c r="BL70" s="12">
        <v>0</v>
      </c>
      <c r="BM70" s="12">
        <v>0</v>
      </c>
      <c r="BN70" s="12">
        <v>0</v>
      </c>
      <c r="BO70" s="12">
        <v>0</v>
      </c>
      <c r="BP70" s="12">
        <v>0</v>
      </c>
      <c r="BQ70" s="12">
        <v>0</v>
      </c>
      <c r="BR70" s="12">
        <v>0</v>
      </c>
      <c r="BS70" s="12">
        <v>0</v>
      </c>
      <c r="BT70" s="12">
        <v>0</v>
      </c>
      <c r="BU70" s="12">
        <v>0</v>
      </c>
      <c r="BV70" s="12">
        <v>0</v>
      </c>
      <c r="BW70" s="12">
        <v>0</v>
      </c>
      <c r="BX70" s="12">
        <v>0</v>
      </c>
      <c r="BY70" s="12">
        <v>0</v>
      </c>
    </row>
    <row r="71" spans="1:77" x14ac:dyDescent="0.25">
      <c r="A71" s="152" t="s">
        <v>1280</v>
      </c>
      <c r="B71" s="12" t="s">
        <v>760</v>
      </c>
      <c r="C71" s="12">
        <v>0</v>
      </c>
      <c r="D71" s="12">
        <v>0</v>
      </c>
      <c r="E71" s="12">
        <v>0</v>
      </c>
      <c r="F71" s="12">
        <v>0</v>
      </c>
      <c r="G71" s="12">
        <v>0</v>
      </c>
      <c r="H71" s="12">
        <v>0</v>
      </c>
      <c r="I71" s="12">
        <v>0</v>
      </c>
      <c r="J71" s="12">
        <v>0</v>
      </c>
      <c r="K71" s="12">
        <v>0</v>
      </c>
      <c r="L71" s="12">
        <v>0</v>
      </c>
      <c r="M71" s="12">
        <v>0</v>
      </c>
      <c r="N71" s="12">
        <v>0</v>
      </c>
      <c r="O71" s="12">
        <v>0</v>
      </c>
      <c r="P71" s="12">
        <v>0</v>
      </c>
      <c r="Q71" s="12">
        <v>0</v>
      </c>
      <c r="R71" s="12">
        <v>0</v>
      </c>
      <c r="S71" s="12">
        <v>0</v>
      </c>
      <c r="T71" s="12">
        <v>0</v>
      </c>
      <c r="U71" s="12">
        <v>0</v>
      </c>
      <c r="V71" s="12">
        <v>0</v>
      </c>
      <c r="W71" s="12">
        <v>0</v>
      </c>
      <c r="X71" s="12">
        <v>0</v>
      </c>
      <c r="Y71" s="12">
        <v>0</v>
      </c>
      <c r="Z71" s="12">
        <v>0</v>
      </c>
      <c r="AA71" s="12">
        <v>0</v>
      </c>
      <c r="AB71" s="12">
        <v>0</v>
      </c>
      <c r="AC71" s="12">
        <v>0</v>
      </c>
      <c r="AD71" s="12">
        <v>0</v>
      </c>
      <c r="AE71" s="12">
        <v>0</v>
      </c>
      <c r="AF71" s="12">
        <v>0</v>
      </c>
      <c r="AG71" s="12">
        <v>0</v>
      </c>
      <c r="AH71" s="12">
        <v>0</v>
      </c>
      <c r="AI71" s="12">
        <v>0</v>
      </c>
      <c r="AJ71" s="12">
        <v>0</v>
      </c>
      <c r="AK71" s="12">
        <v>0</v>
      </c>
      <c r="AL71" s="12">
        <v>0</v>
      </c>
      <c r="AM71" s="12">
        <v>0</v>
      </c>
      <c r="AN71" s="12">
        <v>0</v>
      </c>
      <c r="AO71" s="12">
        <v>0</v>
      </c>
      <c r="AP71" s="12">
        <v>0</v>
      </c>
      <c r="AQ71" s="12">
        <v>0</v>
      </c>
      <c r="AR71" s="12">
        <v>0</v>
      </c>
      <c r="AS71" s="12">
        <v>0</v>
      </c>
      <c r="AT71" s="12">
        <v>0</v>
      </c>
      <c r="AU71" s="12">
        <v>0</v>
      </c>
      <c r="AV71" s="12">
        <v>0</v>
      </c>
      <c r="AW71" s="12">
        <v>0</v>
      </c>
      <c r="AX71" s="12">
        <v>0</v>
      </c>
      <c r="AY71" s="12">
        <v>0</v>
      </c>
      <c r="AZ71" s="12">
        <v>0</v>
      </c>
      <c r="BA71" s="12">
        <v>0</v>
      </c>
      <c r="BB71" s="12">
        <v>0</v>
      </c>
      <c r="BC71" s="12">
        <v>0</v>
      </c>
      <c r="BD71" s="12">
        <v>0</v>
      </c>
      <c r="BE71" s="12">
        <v>0</v>
      </c>
      <c r="BF71" s="12">
        <v>0</v>
      </c>
      <c r="BG71" s="12">
        <v>0</v>
      </c>
      <c r="BH71" s="12">
        <v>0</v>
      </c>
      <c r="BI71" s="12">
        <v>0</v>
      </c>
      <c r="BJ71" s="12">
        <v>0</v>
      </c>
      <c r="BK71" s="12">
        <v>0</v>
      </c>
      <c r="BL71" s="12">
        <v>0</v>
      </c>
      <c r="BM71" s="12">
        <v>0</v>
      </c>
      <c r="BN71" s="12">
        <v>0</v>
      </c>
      <c r="BO71" s="12">
        <v>0</v>
      </c>
      <c r="BP71" s="12">
        <v>0</v>
      </c>
      <c r="BQ71" s="12">
        <v>0</v>
      </c>
      <c r="BR71" s="12">
        <v>0</v>
      </c>
      <c r="BS71" s="12">
        <v>0</v>
      </c>
      <c r="BT71" s="12">
        <v>0</v>
      </c>
      <c r="BU71" s="12">
        <v>0</v>
      </c>
      <c r="BV71" s="12">
        <v>0</v>
      </c>
      <c r="BW71" s="12">
        <v>0</v>
      </c>
      <c r="BX71" s="12">
        <v>0</v>
      </c>
      <c r="BY71" s="12">
        <v>0</v>
      </c>
    </row>
    <row r="72" spans="1:77" x14ac:dyDescent="0.25">
      <c r="A72" s="152" t="s">
        <v>1281</v>
      </c>
      <c r="B72" s="12" t="s">
        <v>761</v>
      </c>
      <c r="C72" s="12">
        <v>0</v>
      </c>
      <c r="D72" s="12">
        <v>0</v>
      </c>
      <c r="E72" s="12">
        <v>0</v>
      </c>
      <c r="F72" s="12">
        <v>0</v>
      </c>
      <c r="G72" s="12">
        <v>0</v>
      </c>
      <c r="H72" s="12">
        <v>0</v>
      </c>
      <c r="I72" s="12">
        <v>0</v>
      </c>
      <c r="J72" s="12">
        <v>0</v>
      </c>
      <c r="K72" s="12">
        <v>0</v>
      </c>
      <c r="L72" s="12">
        <v>0</v>
      </c>
      <c r="M72" s="12">
        <v>0</v>
      </c>
      <c r="N72" s="12">
        <v>0</v>
      </c>
      <c r="O72" s="12">
        <v>0</v>
      </c>
      <c r="P72" s="12">
        <v>0</v>
      </c>
      <c r="Q72" s="12">
        <v>0</v>
      </c>
      <c r="R72" s="12">
        <v>0</v>
      </c>
      <c r="S72" s="12">
        <v>0</v>
      </c>
      <c r="T72" s="12">
        <v>0</v>
      </c>
      <c r="U72" s="12">
        <v>0</v>
      </c>
      <c r="V72" s="12">
        <v>0</v>
      </c>
      <c r="W72" s="12">
        <v>0</v>
      </c>
      <c r="X72" s="12">
        <v>0</v>
      </c>
      <c r="Y72" s="12">
        <v>0</v>
      </c>
      <c r="Z72" s="12">
        <v>0</v>
      </c>
      <c r="AA72" s="12">
        <v>0</v>
      </c>
      <c r="AB72" s="12">
        <v>0</v>
      </c>
      <c r="AC72" s="12">
        <v>0</v>
      </c>
      <c r="AD72" s="12">
        <v>0</v>
      </c>
      <c r="AE72" s="12">
        <v>0</v>
      </c>
      <c r="AF72" s="12">
        <v>0</v>
      </c>
      <c r="AG72" s="12">
        <v>0</v>
      </c>
      <c r="AH72" s="12">
        <v>0</v>
      </c>
      <c r="AI72" s="12">
        <v>0</v>
      </c>
      <c r="AJ72" s="12">
        <v>0</v>
      </c>
      <c r="AK72" s="12">
        <v>0</v>
      </c>
      <c r="AL72" s="12">
        <v>0</v>
      </c>
      <c r="AM72" s="12">
        <v>0</v>
      </c>
      <c r="AN72" s="12">
        <v>0</v>
      </c>
      <c r="AO72" s="12">
        <v>0</v>
      </c>
      <c r="AP72" s="12">
        <v>0</v>
      </c>
      <c r="AQ72" s="12">
        <v>0</v>
      </c>
      <c r="AR72" s="12">
        <v>0</v>
      </c>
      <c r="AS72" s="12">
        <v>0</v>
      </c>
      <c r="AT72" s="12">
        <v>0</v>
      </c>
      <c r="AU72" s="12">
        <v>0</v>
      </c>
      <c r="AV72" s="12">
        <v>0</v>
      </c>
      <c r="AW72" s="12">
        <v>0</v>
      </c>
      <c r="AX72" s="12">
        <v>0</v>
      </c>
      <c r="AY72" s="12">
        <v>0</v>
      </c>
      <c r="AZ72" s="12">
        <v>0</v>
      </c>
      <c r="BA72" s="12">
        <v>0</v>
      </c>
      <c r="BB72" s="12">
        <v>0</v>
      </c>
      <c r="BC72" s="12">
        <v>0</v>
      </c>
      <c r="BD72" s="12">
        <v>0</v>
      </c>
      <c r="BE72" s="12">
        <v>0</v>
      </c>
      <c r="BF72" s="12">
        <v>0</v>
      </c>
      <c r="BG72" s="12">
        <v>0</v>
      </c>
      <c r="BH72" s="12">
        <v>0</v>
      </c>
      <c r="BI72" s="12">
        <v>0</v>
      </c>
      <c r="BJ72" s="12">
        <v>0</v>
      </c>
      <c r="BK72" s="12">
        <v>0</v>
      </c>
      <c r="BL72" s="12">
        <v>0</v>
      </c>
      <c r="BM72" s="12">
        <v>0</v>
      </c>
      <c r="BN72" s="12">
        <v>0</v>
      </c>
      <c r="BO72" s="12">
        <v>0</v>
      </c>
      <c r="BP72" s="12">
        <v>0</v>
      </c>
      <c r="BQ72" s="12">
        <v>0</v>
      </c>
      <c r="BR72" s="12">
        <v>0</v>
      </c>
      <c r="BS72" s="12">
        <v>0</v>
      </c>
      <c r="BT72" s="12">
        <v>0</v>
      </c>
      <c r="BU72" s="12">
        <v>0</v>
      </c>
      <c r="BV72" s="12">
        <v>0</v>
      </c>
      <c r="BW72" s="12">
        <v>0</v>
      </c>
      <c r="BX72" s="12">
        <v>0</v>
      </c>
      <c r="BY72" s="12">
        <v>0</v>
      </c>
    </row>
    <row r="73" spans="1:77" x14ac:dyDescent="0.25">
      <c r="A73" s="152" t="s">
        <v>1282</v>
      </c>
      <c r="B73" s="12" t="s">
        <v>762</v>
      </c>
      <c r="C73" s="12">
        <v>0</v>
      </c>
      <c r="D73" s="12">
        <v>0</v>
      </c>
      <c r="E73" s="12">
        <v>0</v>
      </c>
      <c r="F73" s="12">
        <v>0</v>
      </c>
      <c r="G73" s="12">
        <v>0</v>
      </c>
      <c r="H73" s="12">
        <v>0</v>
      </c>
      <c r="I73" s="12">
        <v>0</v>
      </c>
      <c r="J73" s="12">
        <v>0</v>
      </c>
      <c r="K73" s="12">
        <v>0</v>
      </c>
      <c r="L73" s="12">
        <v>0</v>
      </c>
      <c r="M73" s="12">
        <v>0</v>
      </c>
      <c r="N73" s="12">
        <v>0</v>
      </c>
      <c r="O73" s="12">
        <v>0</v>
      </c>
      <c r="P73" s="12">
        <v>0</v>
      </c>
      <c r="Q73" s="12">
        <v>0</v>
      </c>
      <c r="R73" s="12">
        <v>0</v>
      </c>
      <c r="S73" s="12">
        <v>0</v>
      </c>
      <c r="T73" s="12">
        <v>0</v>
      </c>
      <c r="U73" s="12">
        <v>0</v>
      </c>
      <c r="V73" s="12">
        <v>0</v>
      </c>
      <c r="W73" s="12">
        <v>0</v>
      </c>
      <c r="X73" s="12">
        <v>0</v>
      </c>
      <c r="Y73" s="12">
        <v>0</v>
      </c>
      <c r="Z73" s="12">
        <v>0</v>
      </c>
      <c r="AA73" s="12">
        <v>0</v>
      </c>
      <c r="AB73" s="12">
        <v>0</v>
      </c>
      <c r="AC73" s="12">
        <v>0</v>
      </c>
      <c r="AD73" s="12">
        <v>0</v>
      </c>
      <c r="AE73" s="12">
        <v>0</v>
      </c>
      <c r="AF73" s="12">
        <v>0</v>
      </c>
      <c r="AG73" s="12">
        <v>0</v>
      </c>
      <c r="AH73" s="12">
        <v>0</v>
      </c>
      <c r="AI73" s="12">
        <v>0</v>
      </c>
      <c r="AJ73" s="12">
        <v>0</v>
      </c>
      <c r="AK73" s="12">
        <v>0</v>
      </c>
      <c r="AL73" s="12">
        <v>0</v>
      </c>
      <c r="AM73" s="12">
        <v>0</v>
      </c>
      <c r="AN73" s="12">
        <v>0</v>
      </c>
      <c r="AO73" s="12">
        <v>0</v>
      </c>
      <c r="AP73" s="12">
        <v>0</v>
      </c>
      <c r="AQ73" s="12">
        <v>0</v>
      </c>
      <c r="AR73" s="12">
        <v>0</v>
      </c>
      <c r="AS73" s="12">
        <v>0</v>
      </c>
      <c r="AT73" s="12">
        <v>0</v>
      </c>
      <c r="AU73" s="12">
        <v>0</v>
      </c>
      <c r="AV73" s="12">
        <v>0</v>
      </c>
      <c r="AW73" s="12">
        <v>0</v>
      </c>
      <c r="AX73" s="12">
        <v>0</v>
      </c>
      <c r="AY73" s="12">
        <v>0</v>
      </c>
      <c r="AZ73" s="12">
        <v>0</v>
      </c>
      <c r="BA73" s="12">
        <v>0</v>
      </c>
      <c r="BB73" s="12">
        <v>0</v>
      </c>
      <c r="BC73" s="12">
        <v>0</v>
      </c>
      <c r="BD73" s="12">
        <v>0</v>
      </c>
      <c r="BE73" s="12">
        <v>0</v>
      </c>
      <c r="BF73" s="12">
        <v>0</v>
      </c>
      <c r="BG73" s="12">
        <v>0</v>
      </c>
      <c r="BH73" s="12">
        <v>0</v>
      </c>
      <c r="BI73" s="12">
        <v>0</v>
      </c>
      <c r="BJ73" s="12">
        <v>0</v>
      </c>
      <c r="BK73" s="12">
        <v>0</v>
      </c>
      <c r="BL73" s="12">
        <v>0</v>
      </c>
      <c r="BM73" s="12">
        <v>0</v>
      </c>
      <c r="BN73" s="12">
        <v>0</v>
      </c>
      <c r="BO73" s="12">
        <v>0</v>
      </c>
      <c r="BP73" s="12">
        <v>0</v>
      </c>
      <c r="BQ73" s="12">
        <v>0</v>
      </c>
      <c r="BR73" s="12">
        <v>0</v>
      </c>
      <c r="BS73" s="12">
        <v>0</v>
      </c>
      <c r="BT73" s="12">
        <v>0</v>
      </c>
      <c r="BU73" s="12">
        <v>0</v>
      </c>
      <c r="BV73" s="12">
        <v>0</v>
      </c>
      <c r="BW73" s="12">
        <v>0</v>
      </c>
      <c r="BX73" s="12">
        <v>0</v>
      </c>
      <c r="BY73" s="12">
        <v>0</v>
      </c>
    </row>
    <row r="74" spans="1:77" x14ac:dyDescent="0.25">
      <c r="A74" s="152" t="s">
        <v>1283</v>
      </c>
      <c r="B74" s="12" t="s">
        <v>763</v>
      </c>
      <c r="C74" s="12">
        <v>0</v>
      </c>
      <c r="D74" s="12">
        <v>0</v>
      </c>
      <c r="E74" s="12">
        <v>0</v>
      </c>
      <c r="F74" s="12">
        <v>0</v>
      </c>
      <c r="G74" s="12">
        <v>0</v>
      </c>
      <c r="H74" s="12">
        <v>0</v>
      </c>
      <c r="I74" s="12">
        <v>0</v>
      </c>
      <c r="J74" s="12">
        <v>0</v>
      </c>
      <c r="K74" s="12">
        <v>0</v>
      </c>
      <c r="L74" s="12">
        <v>0</v>
      </c>
      <c r="M74" s="12">
        <v>0</v>
      </c>
      <c r="N74" s="12">
        <v>0</v>
      </c>
      <c r="O74" s="12">
        <v>0</v>
      </c>
      <c r="P74" s="12">
        <v>0</v>
      </c>
      <c r="Q74" s="12">
        <v>0</v>
      </c>
      <c r="R74" s="12">
        <v>0</v>
      </c>
      <c r="S74" s="12">
        <v>0</v>
      </c>
      <c r="T74" s="12">
        <v>0</v>
      </c>
      <c r="U74" s="12">
        <v>0</v>
      </c>
      <c r="V74" s="12">
        <v>0</v>
      </c>
      <c r="W74" s="12">
        <v>0</v>
      </c>
      <c r="X74" s="12">
        <v>0</v>
      </c>
      <c r="Y74" s="12">
        <v>0</v>
      </c>
      <c r="Z74" s="12">
        <v>0</v>
      </c>
      <c r="AA74" s="12">
        <v>0</v>
      </c>
      <c r="AB74" s="12">
        <v>0</v>
      </c>
      <c r="AC74" s="12">
        <v>0</v>
      </c>
      <c r="AD74" s="12">
        <v>0</v>
      </c>
      <c r="AE74" s="12">
        <v>0</v>
      </c>
      <c r="AF74" s="12">
        <v>0</v>
      </c>
      <c r="AG74" s="12">
        <v>0</v>
      </c>
      <c r="AH74" s="12">
        <v>0</v>
      </c>
      <c r="AI74" s="12">
        <v>0</v>
      </c>
      <c r="AJ74" s="12">
        <v>0</v>
      </c>
      <c r="AK74" s="12">
        <v>0</v>
      </c>
      <c r="AL74" s="12">
        <v>0</v>
      </c>
      <c r="AM74" s="12">
        <v>0</v>
      </c>
      <c r="AN74" s="12">
        <v>0</v>
      </c>
      <c r="AO74" s="12">
        <v>0</v>
      </c>
      <c r="AP74" s="12">
        <v>0</v>
      </c>
      <c r="AQ74" s="12">
        <v>0</v>
      </c>
      <c r="AR74" s="12">
        <v>0</v>
      </c>
      <c r="AS74" s="12">
        <v>0</v>
      </c>
      <c r="AT74" s="12">
        <v>0</v>
      </c>
      <c r="AU74" s="12">
        <v>0</v>
      </c>
      <c r="AV74" s="12">
        <v>0</v>
      </c>
      <c r="AW74" s="12">
        <v>0</v>
      </c>
      <c r="AX74" s="12">
        <v>0</v>
      </c>
      <c r="AY74" s="12">
        <v>0</v>
      </c>
      <c r="AZ74" s="12">
        <v>0</v>
      </c>
      <c r="BA74" s="12">
        <v>0</v>
      </c>
      <c r="BB74" s="12">
        <v>0</v>
      </c>
      <c r="BC74" s="12">
        <v>0</v>
      </c>
      <c r="BD74" s="12">
        <v>0</v>
      </c>
      <c r="BE74" s="12">
        <v>0</v>
      </c>
      <c r="BF74" s="12">
        <v>0</v>
      </c>
      <c r="BG74" s="12">
        <v>0</v>
      </c>
      <c r="BH74" s="12">
        <v>0</v>
      </c>
      <c r="BI74" s="12">
        <v>0</v>
      </c>
      <c r="BJ74" s="12">
        <v>0</v>
      </c>
      <c r="BK74" s="12">
        <v>0</v>
      </c>
      <c r="BL74" s="12">
        <v>0</v>
      </c>
      <c r="BM74" s="12">
        <v>0</v>
      </c>
      <c r="BN74" s="12">
        <v>0</v>
      </c>
      <c r="BO74" s="12">
        <v>0</v>
      </c>
      <c r="BP74" s="12">
        <v>0</v>
      </c>
      <c r="BQ74" s="12">
        <v>0</v>
      </c>
      <c r="BR74" s="12">
        <v>0</v>
      </c>
      <c r="BS74" s="12">
        <v>0</v>
      </c>
      <c r="BT74" s="12">
        <v>0</v>
      </c>
      <c r="BU74" s="12">
        <v>0</v>
      </c>
      <c r="BV74" s="12">
        <v>0</v>
      </c>
      <c r="BW74" s="12">
        <v>0</v>
      </c>
      <c r="BX74" s="12">
        <v>0</v>
      </c>
      <c r="BY74" s="12">
        <v>0</v>
      </c>
    </row>
    <row r="75" spans="1:77" x14ac:dyDescent="0.25">
      <c r="A75" s="152" t="s">
        <v>1536</v>
      </c>
      <c r="B75" s="12" t="s">
        <v>1529</v>
      </c>
      <c r="C75" s="12">
        <v>0</v>
      </c>
      <c r="D75" s="12">
        <v>0</v>
      </c>
      <c r="E75" s="12">
        <v>0</v>
      </c>
      <c r="F75" s="12">
        <v>0</v>
      </c>
      <c r="G75" s="12">
        <v>0</v>
      </c>
      <c r="H75" s="12">
        <v>0</v>
      </c>
      <c r="I75" s="12">
        <v>0</v>
      </c>
      <c r="J75" s="12">
        <v>0</v>
      </c>
      <c r="K75" s="12">
        <v>0</v>
      </c>
      <c r="L75" s="12">
        <v>0</v>
      </c>
      <c r="M75" s="12">
        <v>0</v>
      </c>
      <c r="N75" s="12">
        <v>0</v>
      </c>
      <c r="O75" s="12">
        <v>0</v>
      </c>
      <c r="P75" s="12">
        <v>0</v>
      </c>
      <c r="Q75" s="12">
        <v>0</v>
      </c>
      <c r="R75" s="12">
        <v>0</v>
      </c>
      <c r="S75" s="12">
        <v>0</v>
      </c>
      <c r="T75" s="12">
        <v>0</v>
      </c>
      <c r="U75" s="12">
        <v>0</v>
      </c>
      <c r="V75" s="12">
        <v>0</v>
      </c>
      <c r="W75" s="12">
        <v>0</v>
      </c>
      <c r="X75" s="12">
        <v>0</v>
      </c>
      <c r="Y75" s="12">
        <v>0</v>
      </c>
      <c r="Z75" s="12">
        <v>0</v>
      </c>
      <c r="AA75" s="12">
        <v>0</v>
      </c>
      <c r="AB75" s="12">
        <v>0</v>
      </c>
      <c r="AC75" s="12">
        <v>0</v>
      </c>
      <c r="AD75" s="12">
        <v>0</v>
      </c>
      <c r="AE75" s="12">
        <v>0</v>
      </c>
      <c r="AF75" s="12">
        <v>0</v>
      </c>
      <c r="AG75" s="12">
        <v>0</v>
      </c>
      <c r="AH75" s="12">
        <v>0</v>
      </c>
      <c r="AI75" s="12">
        <v>0</v>
      </c>
      <c r="AJ75" s="12">
        <v>0</v>
      </c>
      <c r="AK75" s="12">
        <v>0</v>
      </c>
      <c r="AL75" s="12">
        <v>0</v>
      </c>
      <c r="AM75" s="12">
        <v>0</v>
      </c>
      <c r="AN75" s="12">
        <v>0</v>
      </c>
      <c r="AO75" s="12">
        <v>0</v>
      </c>
      <c r="AP75" s="12">
        <v>0</v>
      </c>
      <c r="AQ75" s="12">
        <v>0</v>
      </c>
      <c r="AR75" s="12">
        <v>0</v>
      </c>
      <c r="AS75" s="12">
        <v>0</v>
      </c>
      <c r="AT75" s="12">
        <v>0</v>
      </c>
      <c r="AU75" s="12">
        <v>0</v>
      </c>
      <c r="AV75" s="12">
        <v>0</v>
      </c>
      <c r="AW75" s="12">
        <v>0</v>
      </c>
      <c r="AX75" s="12">
        <v>0</v>
      </c>
      <c r="AY75" s="12">
        <v>0</v>
      </c>
      <c r="AZ75" s="12">
        <v>0</v>
      </c>
      <c r="BA75" s="12">
        <v>0</v>
      </c>
      <c r="BB75" s="12">
        <v>0</v>
      </c>
      <c r="BC75" s="12">
        <v>0</v>
      </c>
      <c r="BD75" s="12">
        <v>0</v>
      </c>
      <c r="BE75" s="12">
        <v>0</v>
      </c>
      <c r="BF75" s="12">
        <v>0</v>
      </c>
      <c r="BG75" s="12">
        <v>0</v>
      </c>
      <c r="BH75" s="12">
        <v>0</v>
      </c>
      <c r="BI75" s="12">
        <v>0</v>
      </c>
      <c r="BJ75" s="12">
        <v>0</v>
      </c>
      <c r="BK75" s="12">
        <v>0</v>
      </c>
      <c r="BL75" s="12">
        <v>0</v>
      </c>
      <c r="BM75" s="12">
        <v>0</v>
      </c>
      <c r="BN75" s="12">
        <v>0</v>
      </c>
      <c r="BO75" s="12">
        <v>0</v>
      </c>
      <c r="BP75" s="12">
        <v>0</v>
      </c>
      <c r="BQ75" s="12">
        <v>0</v>
      </c>
      <c r="BR75" s="12">
        <v>0</v>
      </c>
      <c r="BS75" s="12">
        <v>0</v>
      </c>
      <c r="BT75" s="12">
        <v>0</v>
      </c>
      <c r="BU75" s="12">
        <v>0</v>
      </c>
      <c r="BV75" s="12">
        <v>0</v>
      </c>
      <c r="BW75" s="12">
        <v>0</v>
      </c>
      <c r="BX75" s="12">
        <v>0</v>
      </c>
      <c r="BY75" s="12">
        <v>0</v>
      </c>
    </row>
    <row r="76" spans="1:77" x14ac:dyDescent="0.25">
      <c r="A76" s="152" t="s">
        <v>1537</v>
      </c>
      <c r="B76" s="12" t="s">
        <v>1530</v>
      </c>
      <c r="C76" s="12">
        <v>0</v>
      </c>
      <c r="D76" s="12">
        <v>0</v>
      </c>
      <c r="E76" s="12">
        <v>0</v>
      </c>
      <c r="F76" s="12">
        <v>0</v>
      </c>
      <c r="G76" s="12">
        <v>0</v>
      </c>
      <c r="H76" s="12">
        <v>0</v>
      </c>
      <c r="I76" s="12">
        <v>0</v>
      </c>
      <c r="J76" s="12">
        <v>0</v>
      </c>
      <c r="K76" s="12">
        <v>0</v>
      </c>
      <c r="L76" s="12">
        <v>0</v>
      </c>
      <c r="M76" s="12">
        <v>0</v>
      </c>
      <c r="N76" s="12">
        <v>0</v>
      </c>
      <c r="O76" s="12">
        <v>0</v>
      </c>
      <c r="P76" s="12">
        <v>0</v>
      </c>
      <c r="Q76" s="12">
        <v>0</v>
      </c>
      <c r="R76" s="12">
        <v>0</v>
      </c>
      <c r="S76" s="12">
        <v>0</v>
      </c>
      <c r="T76" s="12">
        <v>0</v>
      </c>
      <c r="U76" s="12">
        <v>0</v>
      </c>
      <c r="V76" s="12">
        <v>0</v>
      </c>
      <c r="W76" s="12">
        <v>0</v>
      </c>
      <c r="X76" s="12">
        <v>0</v>
      </c>
      <c r="Y76" s="12">
        <v>0</v>
      </c>
      <c r="Z76" s="12">
        <v>0</v>
      </c>
      <c r="AA76" s="12">
        <v>0</v>
      </c>
      <c r="AB76" s="12">
        <v>0</v>
      </c>
      <c r="AC76" s="12">
        <v>0</v>
      </c>
      <c r="AD76" s="12">
        <v>0</v>
      </c>
      <c r="AE76" s="12">
        <v>0</v>
      </c>
      <c r="AF76" s="12">
        <v>0</v>
      </c>
      <c r="AG76" s="12">
        <v>0</v>
      </c>
      <c r="AH76" s="12">
        <v>0</v>
      </c>
      <c r="AI76" s="12">
        <v>0</v>
      </c>
      <c r="AJ76" s="12">
        <v>0</v>
      </c>
      <c r="AK76" s="12">
        <v>0</v>
      </c>
      <c r="AL76" s="12">
        <v>0</v>
      </c>
      <c r="AM76" s="12">
        <v>0</v>
      </c>
      <c r="AN76" s="12">
        <v>0</v>
      </c>
      <c r="AO76" s="12">
        <v>0</v>
      </c>
      <c r="AP76" s="12">
        <v>0</v>
      </c>
      <c r="AQ76" s="12">
        <v>0</v>
      </c>
      <c r="AR76" s="12">
        <v>0</v>
      </c>
      <c r="AS76" s="12">
        <v>0</v>
      </c>
      <c r="AT76" s="12">
        <v>0</v>
      </c>
      <c r="AU76" s="12">
        <v>0</v>
      </c>
      <c r="AV76" s="12">
        <v>0</v>
      </c>
      <c r="AW76" s="12">
        <v>0</v>
      </c>
      <c r="AX76" s="12">
        <v>0</v>
      </c>
      <c r="AY76" s="12">
        <v>0</v>
      </c>
      <c r="AZ76" s="12">
        <v>0</v>
      </c>
      <c r="BA76" s="12">
        <v>0</v>
      </c>
      <c r="BB76" s="12">
        <v>0</v>
      </c>
      <c r="BC76" s="12">
        <v>0</v>
      </c>
      <c r="BD76" s="12">
        <v>0</v>
      </c>
      <c r="BE76" s="12">
        <v>0</v>
      </c>
      <c r="BF76" s="12">
        <v>0</v>
      </c>
      <c r="BG76" s="12">
        <v>0</v>
      </c>
      <c r="BH76" s="12">
        <v>0</v>
      </c>
      <c r="BI76" s="12">
        <v>0</v>
      </c>
      <c r="BJ76" s="12">
        <v>0</v>
      </c>
      <c r="BK76" s="12">
        <v>0</v>
      </c>
      <c r="BL76" s="12">
        <v>0</v>
      </c>
      <c r="BM76" s="12">
        <v>0</v>
      </c>
      <c r="BN76" s="12">
        <v>0</v>
      </c>
      <c r="BO76" s="12">
        <v>0</v>
      </c>
      <c r="BP76" s="12">
        <v>0</v>
      </c>
      <c r="BQ76" s="12">
        <v>0</v>
      </c>
      <c r="BR76" s="12">
        <v>0</v>
      </c>
      <c r="BS76" s="12">
        <v>0</v>
      </c>
      <c r="BT76" s="12">
        <v>0</v>
      </c>
      <c r="BU76" s="12">
        <v>0</v>
      </c>
      <c r="BV76" s="12">
        <v>0</v>
      </c>
      <c r="BW76" s="12">
        <v>0</v>
      </c>
      <c r="BX76" s="12">
        <v>0</v>
      </c>
      <c r="BY76" s="12">
        <v>0</v>
      </c>
    </row>
    <row r="77" spans="1:77" x14ac:dyDescent="0.25">
      <c r="A77" s="152" t="s">
        <v>1538</v>
      </c>
      <c r="B77" s="12" t="s">
        <v>1531</v>
      </c>
      <c r="C77" s="12">
        <v>0</v>
      </c>
      <c r="D77" s="12">
        <v>0</v>
      </c>
      <c r="E77" s="12">
        <v>0</v>
      </c>
      <c r="F77" s="12">
        <v>0</v>
      </c>
      <c r="G77" s="12">
        <v>0</v>
      </c>
      <c r="H77" s="12">
        <v>0</v>
      </c>
      <c r="I77" s="12">
        <v>0</v>
      </c>
      <c r="J77" s="12">
        <v>0</v>
      </c>
      <c r="K77" s="12">
        <v>0</v>
      </c>
      <c r="L77" s="12">
        <v>0</v>
      </c>
      <c r="M77" s="12">
        <v>0</v>
      </c>
      <c r="N77" s="12">
        <v>0</v>
      </c>
      <c r="O77" s="12">
        <v>0</v>
      </c>
      <c r="P77" s="12">
        <v>0</v>
      </c>
      <c r="Q77" s="12">
        <v>0</v>
      </c>
      <c r="R77" s="12">
        <v>0</v>
      </c>
      <c r="S77" s="12">
        <v>0</v>
      </c>
      <c r="T77" s="12">
        <v>0</v>
      </c>
      <c r="U77" s="12">
        <v>0</v>
      </c>
      <c r="V77" s="12">
        <v>0</v>
      </c>
      <c r="W77" s="12">
        <v>0</v>
      </c>
      <c r="X77" s="12">
        <v>0</v>
      </c>
      <c r="Y77" s="12">
        <v>0</v>
      </c>
      <c r="Z77" s="12">
        <v>0</v>
      </c>
      <c r="AA77" s="12">
        <v>0</v>
      </c>
      <c r="AB77" s="12">
        <v>0</v>
      </c>
      <c r="AC77" s="12">
        <v>0</v>
      </c>
      <c r="AD77" s="12">
        <v>0</v>
      </c>
      <c r="AE77" s="12">
        <v>0</v>
      </c>
      <c r="AF77" s="12">
        <v>0</v>
      </c>
      <c r="AG77" s="12">
        <v>0</v>
      </c>
      <c r="AH77" s="12">
        <v>0</v>
      </c>
      <c r="AI77" s="12">
        <v>0</v>
      </c>
      <c r="AJ77" s="12">
        <v>0</v>
      </c>
      <c r="AK77" s="12">
        <v>0</v>
      </c>
      <c r="AL77" s="12">
        <v>0</v>
      </c>
      <c r="AM77" s="12">
        <v>0</v>
      </c>
      <c r="AN77" s="12">
        <v>0</v>
      </c>
      <c r="AO77" s="12">
        <v>0</v>
      </c>
      <c r="AP77" s="12">
        <v>0</v>
      </c>
      <c r="AQ77" s="12">
        <v>0</v>
      </c>
      <c r="AR77" s="12">
        <v>0</v>
      </c>
      <c r="AS77" s="12">
        <v>0</v>
      </c>
      <c r="AT77" s="12">
        <v>0</v>
      </c>
      <c r="AU77" s="12">
        <v>0</v>
      </c>
      <c r="AV77" s="12">
        <v>0</v>
      </c>
      <c r="AW77" s="12">
        <v>0</v>
      </c>
      <c r="AX77" s="12">
        <v>0</v>
      </c>
      <c r="AY77" s="12">
        <v>0</v>
      </c>
      <c r="AZ77" s="12">
        <v>0</v>
      </c>
      <c r="BA77" s="12">
        <v>0</v>
      </c>
      <c r="BB77" s="12">
        <v>0</v>
      </c>
      <c r="BC77" s="12">
        <v>0</v>
      </c>
      <c r="BD77" s="12">
        <v>0</v>
      </c>
      <c r="BE77" s="12">
        <v>0</v>
      </c>
      <c r="BF77" s="12">
        <v>0</v>
      </c>
      <c r="BG77" s="12">
        <v>0</v>
      </c>
      <c r="BH77" s="12">
        <v>0</v>
      </c>
      <c r="BI77" s="12">
        <v>0</v>
      </c>
      <c r="BJ77" s="12">
        <v>0</v>
      </c>
      <c r="BK77" s="12">
        <v>0</v>
      </c>
      <c r="BL77" s="12">
        <v>0</v>
      </c>
      <c r="BM77" s="12">
        <v>0</v>
      </c>
      <c r="BN77" s="12">
        <v>0</v>
      </c>
      <c r="BO77" s="12">
        <v>0</v>
      </c>
      <c r="BP77" s="12">
        <v>0</v>
      </c>
      <c r="BQ77" s="12">
        <v>0</v>
      </c>
      <c r="BR77" s="12">
        <v>0</v>
      </c>
      <c r="BS77" s="12">
        <v>0</v>
      </c>
      <c r="BT77" s="12">
        <v>0</v>
      </c>
      <c r="BU77" s="12">
        <v>0</v>
      </c>
      <c r="BV77" s="12">
        <v>0</v>
      </c>
      <c r="BW77" s="12">
        <v>0</v>
      </c>
      <c r="BX77" s="12">
        <v>0</v>
      </c>
      <c r="BY77" s="12">
        <v>0</v>
      </c>
    </row>
    <row r="78" spans="1:77" x14ac:dyDescent="0.25">
      <c r="A78" s="152" t="s">
        <v>1539</v>
      </c>
      <c r="B78" s="12" t="s">
        <v>1532</v>
      </c>
      <c r="C78" s="12">
        <v>50</v>
      </c>
      <c r="D78" s="12">
        <v>50</v>
      </c>
      <c r="E78" s="12">
        <v>50</v>
      </c>
      <c r="F78" s="12">
        <v>50</v>
      </c>
      <c r="G78" s="12">
        <v>50</v>
      </c>
      <c r="H78" s="12">
        <v>50</v>
      </c>
      <c r="I78" s="12">
        <v>50</v>
      </c>
      <c r="J78" s="12">
        <v>50</v>
      </c>
      <c r="K78" s="12">
        <v>50</v>
      </c>
      <c r="L78" s="12">
        <v>50</v>
      </c>
      <c r="M78" s="12">
        <v>50</v>
      </c>
      <c r="N78" s="12">
        <v>50</v>
      </c>
      <c r="O78" s="12">
        <v>50</v>
      </c>
      <c r="P78" s="12">
        <v>50</v>
      </c>
      <c r="Q78" s="12">
        <v>50</v>
      </c>
      <c r="R78" s="12">
        <v>50</v>
      </c>
      <c r="S78" s="12">
        <v>50</v>
      </c>
      <c r="T78" s="12">
        <v>50</v>
      </c>
      <c r="U78" s="12">
        <v>50</v>
      </c>
      <c r="V78" s="12">
        <v>50</v>
      </c>
      <c r="W78" s="12">
        <v>50</v>
      </c>
      <c r="X78" s="12">
        <v>50</v>
      </c>
      <c r="Y78" s="12">
        <v>50</v>
      </c>
      <c r="Z78" s="12">
        <v>50</v>
      </c>
      <c r="AA78" s="12">
        <v>50</v>
      </c>
      <c r="AB78" s="12">
        <v>50</v>
      </c>
      <c r="AC78" s="12">
        <v>50</v>
      </c>
      <c r="AD78" s="12">
        <v>50</v>
      </c>
      <c r="AE78" s="12">
        <v>50</v>
      </c>
      <c r="AF78" s="12">
        <v>50</v>
      </c>
      <c r="AG78" s="12">
        <v>50</v>
      </c>
      <c r="AH78" s="12">
        <v>50</v>
      </c>
      <c r="AI78" s="12">
        <v>50</v>
      </c>
      <c r="AJ78" s="12">
        <v>50</v>
      </c>
      <c r="AK78" s="12">
        <v>50</v>
      </c>
      <c r="AL78" s="12">
        <v>50</v>
      </c>
      <c r="AM78" s="12">
        <v>50</v>
      </c>
      <c r="AN78" s="12">
        <v>50</v>
      </c>
      <c r="AO78" s="12">
        <v>50</v>
      </c>
      <c r="AP78" s="12">
        <v>50</v>
      </c>
      <c r="AQ78" s="12">
        <v>50</v>
      </c>
      <c r="AR78" s="12">
        <v>50</v>
      </c>
      <c r="AS78" s="12">
        <v>50</v>
      </c>
      <c r="AT78" s="12">
        <v>50</v>
      </c>
      <c r="AU78" s="12">
        <v>50</v>
      </c>
      <c r="AV78" s="12">
        <v>50</v>
      </c>
      <c r="AW78" s="12">
        <v>50</v>
      </c>
      <c r="AX78" s="12">
        <v>50</v>
      </c>
      <c r="AY78" s="12">
        <v>50</v>
      </c>
      <c r="AZ78" s="12">
        <v>50</v>
      </c>
      <c r="BA78" s="12">
        <v>50</v>
      </c>
      <c r="BB78" s="12">
        <v>50</v>
      </c>
      <c r="BC78" s="12">
        <v>50</v>
      </c>
      <c r="BD78" s="12">
        <v>50</v>
      </c>
      <c r="BE78" s="12">
        <v>50</v>
      </c>
      <c r="BF78" s="12">
        <v>50</v>
      </c>
      <c r="BG78" s="12">
        <v>50</v>
      </c>
      <c r="BH78" s="12">
        <v>50</v>
      </c>
      <c r="BI78" s="12">
        <v>50</v>
      </c>
      <c r="BJ78" s="12">
        <v>50</v>
      </c>
      <c r="BK78" s="12">
        <v>50</v>
      </c>
      <c r="BL78" s="12">
        <v>50</v>
      </c>
      <c r="BM78" s="12">
        <v>50</v>
      </c>
      <c r="BN78" s="12">
        <v>50</v>
      </c>
      <c r="BO78" s="12">
        <v>50</v>
      </c>
      <c r="BP78" s="12">
        <v>50</v>
      </c>
      <c r="BQ78" s="12">
        <v>50</v>
      </c>
      <c r="BR78" s="12">
        <v>50</v>
      </c>
      <c r="BS78" s="12">
        <v>50</v>
      </c>
      <c r="BT78" s="12">
        <v>50</v>
      </c>
      <c r="BU78" s="12">
        <v>50</v>
      </c>
      <c r="BV78" s="12">
        <v>50</v>
      </c>
      <c r="BW78" s="12">
        <v>50</v>
      </c>
      <c r="BX78" s="12">
        <v>50</v>
      </c>
      <c r="BY78" s="12">
        <v>50</v>
      </c>
    </row>
    <row r="79" spans="1:77" x14ac:dyDescent="0.25">
      <c r="A79" s="152" t="s">
        <v>1540</v>
      </c>
      <c r="B79" s="12" t="s">
        <v>1533</v>
      </c>
      <c r="C79" s="12">
        <v>0</v>
      </c>
      <c r="D79" s="12">
        <v>0</v>
      </c>
      <c r="E79" s="12">
        <v>0</v>
      </c>
      <c r="F79" s="12">
        <v>0</v>
      </c>
      <c r="G79" s="12">
        <v>0</v>
      </c>
      <c r="H79" s="12">
        <v>0</v>
      </c>
      <c r="I79" s="12">
        <v>0</v>
      </c>
      <c r="J79" s="12">
        <v>0</v>
      </c>
      <c r="K79" s="12">
        <v>0</v>
      </c>
      <c r="L79" s="12">
        <v>0</v>
      </c>
      <c r="M79" s="12">
        <v>0</v>
      </c>
      <c r="N79" s="12">
        <v>0</v>
      </c>
      <c r="O79" s="12">
        <v>0</v>
      </c>
      <c r="P79" s="12">
        <v>0</v>
      </c>
      <c r="Q79" s="12">
        <v>0</v>
      </c>
      <c r="R79" s="12">
        <v>0</v>
      </c>
      <c r="S79" s="12">
        <v>0</v>
      </c>
      <c r="T79" s="12">
        <v>0</v>
      </c>
      <c r="U79" s="12">
        <v>0</v>
      </c>
      <c r="V79" s="12">
        <v>0</v>
      </c>
      <c r="W79" s="12">
        <v>0</v>
      </c>
      <c r="X79" s="12">
        <v>0</v>
      </c>
      <c r="Y79" s="12">
        <v>0</v>
      </c>
      <c r="Z79" s="12">
        <v>0</v>
      </c>
      <c r="AA79" s="12">
        <v>0</v>
      </c>
      <c r="AB79" s="12">
        <v>0</v>
      </c>
      <c r="AC79" s="12">
        <v>0</v>
      </c>
      <c r="AD79" s="12">
        <v>0</v>
      </c>
      <c r="AE79" s="12">
        <v>0</v>
      </c>
      <c r="AF79" s="12">
        <v>0</v>
      </c>
      <c r="AG79" s="12">
        <v>0</v>
      </c>
      <c r="AH79" s="12">
        <v>0</v>
      </c>
      <c r="AI79" s="12">
        <v>0</v>
      </c>
      <c r="AJ79" s="12">
        <v>0</v>
      </c>
      <c r="AK79" s="12">
        <v>0</v>
      </c>
      <c r="AL79" s="12">
        <v>0</v>
      </c>
      <c r="AM79" s="12">
        <v>0</v>
      </c>
      <c r="AN79" s="12">
        <v>0</v>
      </c>
      <c r="AO79" s="12">
        <v>0</v>
      </c>
      <c r="AP79" s="12">
        <v>0</v>
      </c>
      <c r="AQ79" s="12">
        <v>0</v>
      </c>
      <c r="AR79" s="12">
        <v>0</v>
      </c>
      <c r="AS79" s="12">
        <v>0</v>
      </c>
      <c r="AT79" s="12">
        <v>0</v>
      </c>
      <c r="AU79" s="12">
        <v>0</v>
      </c>
      <c r="AV79" s="12">
        <v>0</v>
      </c>
      <c r="AW79" s="12">
        <v>0</v>
      </c>
      <c r="AX79" s="12">
        <v>0</v>
      </c>
      <c r="AY79" s="12">
        <v>0</v>
      </c>
      <c r="AZ79" s="12">
        <v>0</v>
      </c>
      <c r="BA79" s="12">
        <v>0</v>
      </c>
      <c r="BB79" s="12">
        <v>0</v>
      </c>
      <c r="BC79" s="12">
        <v>0</v>
      </c>
      <c r="BD79" s="12">
        <v>0</v>
      </c>
      <c r="BE79" s="12">
        <v>0</v>
      </c>
      <c r="BF79" s="12">
        <v>0</v>
      </c>
      <c r="BG79" s="12">
        <v>0</v>
      </c>
      <c r="BH79" s="12">
        <v>0</v>
      </c>
      <c r="BI79" s="12">
        <v>0</v>
      </c>
      <c r="BJ79" s="12">
        <v>0</v>
      </c>
      <c r="BK79" s="12">
        <v>0</v>
      </c>
      <c r="BL79" s="12">
        <v>0</v>
      </c>
      <c r="BM79" s="12">
        <v>0</v>
      </c>
      <c r="BN79" s="12">
        <v>0</v>
      </c>
      <c r="BO79" s="12">
        <v>0</v>
      </c>
      <c r="BP79" s="12">
        <v>0</v>
      </c>
      <c r="BQ79" s="12">
        <v>0</v>
      </c>
      <c r="BR79" s="12">
        <v>0</v>
      </c>
      <c r="BS79" s="12">
        <v>0</v>
      </c>
      <c r="BT79" s="12">
        <v>0</v>
      </c>
      <c r="BU79" s="12">
        <v>0</v>
      </c>
      <c r="BV79" s="12">
        <v>0</v>
      </c>
      <c r="BW79" s="12">
        <v>0</v>
      </c>
      <c r="BX79" s="12">
        <v>0</v>
      </c>
      <c r="BY79" s="12">
        <v>0</v>
      </c>
    </row>
    <row r="80" spans="1:77" x14ac:dyDescent="0.25">
      <c r="A80" s="152" t="s">
        <v>1541</v>
      </c>
      <c r="B80" s="12" t="s">
        <v>1534</v>
      </c>
      <c r="C80" s="12">
        <v>0</v>
      </c>
      <c r="D80" s="12">
        <v>0</v>
      </c>
      <c r="E80" s="12">
        <v>0</v>
      </c>
      <c r="F80" s="12">
        <v>0</v>
      </c>
      <c r="G80" s="12">
        <v>0</v>
      </c>
      <c r="H80" s="12">
        <v>0</v>
      </c>
      <c r="I80" s="12">
        <v>0</v>
      </c>
      <c r="J80" s="12">
        <v>0</v>
      </c>
      <c r="K80" s="12">
        <v>0</v>
      </c>
      <c r="L80" s="12">
        <v>0</v>
      </c>
      <c r="M80" s="12">
        <v>0</v>
      </c>
      <c r="N80" s="12">
        <v>0</v>
      </c>
      <c r="O80" s="12">
        <v>0</v>
      </c>
      <c r="P80" s="12">
        <v>0</v>
      </c>
      <c r="Q80" s="12">
        <v>0</v>
      </c>
      <c r="R80" s="12">
        <v>0</v>
      </c>
      <c r="S80" s="12">
        <v>0</v>
      </c>
      <c r="T80" s="12">
        <v>0</v>
      </c>
      <c r="U80" s="12">
        <v>0</v>
      </c>
      <c r="V80" s="12">
        <v>0</v>
      </c>
      <c r="W80" s="12">
        <v>0</v>
      </c>
      <c r="X80" s="12">
        <v>0</v>
      </c>
      <c r="Y80" s="12">
        <v>0</v>
      </c>
      <c r="Z80" s="12">
        <v>0</v>
      </c>
      <c r="AA80" s="12">
        <v>0</v>
      </c>
      <c r="AB80" s="12">
        <v>0</v>
      </c>
      <c r="AC80" s="12">
        <v>0</v>
      </c>
      <c r="AD80" s="12">
        <v>0</v>
      </c>
      <c r="AE80" s="12">
        <v>0</v>
      </c>
      <c r="AF80" s="12">
        <v>0</v>
      </c>
      <c r="AG80" s="12">
        <v>0</v>
      </c>
      <c r="AH80" s="12">
        <v>0</v>
      </c>
      <c r="AI80" s="12">
        <v>0</v>
      </c>
      <c r="AJ80" s="12">
        <v>0</v>
      </c>
      <c r="AK80" s="12">
        <v>0</v>
      </c>
      <c r="AL80" s="12">
        <v>0</v>
      </c>
      <c r="AM80" s="12">
        <v>0</v>
      </c>
      <c r="AN80" s="12">
        <v>0</v>
      </c>
      <c r="AO80" s="12">
        <v>0</v>
      </c>
      <c r="AP80" s="12">
        <v>0</v>
      </c>
      <c r="AQ80" s="12">
        <v>0</v>
      </c>
      <c r="AR80" s="12">
        <v>0</v>
      </c>
      <c r="AS80" s="12">
        <v>0</v>
      </c>
      <c r="AT80" s="12">
        <v>0</v>
      </c>
      <c r="AU80" s="12">
        <v>0</v>
      </c>
      <c r="AV80" s="12">
        <v>0</v>
      </c>
      <c r="AW80" s="12">
        <v>0</v>
      </c>
      <c r="AX80" s="12">
        <v>0</v>
      </c>
      <c r="AY80" s="12">
        <v>0</v>
      </c>
      <c r="AZ80" s="12">
        <v>0</v>
      </c>
      <c r="BA80" s="12">
        <v>0</v>
      </c>
      <c r="BB80" s="12">
        <v>0</v>
      </c>
      <c r="BC80" s="12">
        <v>0</v>
      </c>
      <c r="BD80" s="12">
        <v>0</v>
      </c>
      <c r="BE80" s="12">
        <v>0</v>
      </c>
      <c r="BF80" s="12">
        <v>0</v>
      </c>
      <c r="BG80" s="12">
        <v>0</v>
      </c>
      <c r="BH80" s="12">
        <v>0</v>
      </c>
      <c r="BI80" s="12">
        <v>0</v>
      </c>
      <c r="BJ80" s="12">
        <v>0</v>
      </c>
      <c r="BK80" s="12">
        <v>0</v>
      </c>
      <c r="BL80" s="12">
        <v>0</v>
      </c>
      <c r="BM80" s="12">
        <v>0</v>
      </c>
      <c r="BN80" s="12">
        <v>0</v>
      </c>
      <c r="BO80" s="12">
        <v>0</v>
      </c>
      <c r="BP80" s="12">
        <v>0</v>
      </c>
      <c r="BQ80" s="12">
        <v>0</v>
      </c>
      <c r="BR80" s="12">
        <v>0</v>
      </c>
      <c r="BS80" s="12">
        <v>0</v>
      </c>
      <c r="BT80" s="12">
        <v>0</v>
      </c>
      <c r="BU80" s="12">
        <v>0</v>
      </c>
      <c r="BV80" s="12">
        <v>0</v>
      </c>
      <c r="BW80" s="12">
        <v>0</v>
      </c>
      <c r="BX80" s="12">
        <v>0</v>
      </c>
      <c r="BY80" s="12">
        <v>0</v>
      </c>
    </row>
    <row r="81" spans="1:77" x14ac:dyDescent="0.25">
      <c r="A81" s="152" t="s">
        <v>1542</v>
      </c>
      <c r="B81" s="12" t="s">
        <v>1535</v>
      </c>
      <c r="C81" s="12">
        <v>0</v>
      </c>
      <c r="D81" s="12">
        <v>0</v>
      </c>
      <c r="E81" s="12">
        <v>0</v>
      </c>
      <c r="F81" s="12">
        <v>0</v>
      </c>
      <c r="G81" s="12">
        <v>0</v>
      </c>
      <c r="H81" s="12">
        <v>0</v>
      </c>
      <c r="I81" s="12">
        <v>0</v>
      </c>
      <c r="J81" s="12">
        <v>0</v>
      </c>
      <c r="K81" s="12">
        <v>0</v>
      </c>
      <c r="L81" s="12">
        <v>0</v>
      </c>
      <c r="M81" s="12">
        <v>0</v>
      </c>
      <c r="N81" s="12">
        <v>0</v>
      </c>
      <c r="O81" s="12">
        <v>0</v>
      </c>
      <c r="P81" s="12">
        <v>0</v>
      </c>
      <c r="Q81" s="12">
        <v>0</v>
      </c>
      <c r="R81" s="12">
        <v>0</v>
      </c>
      <c r="S81" s="12">
        <v>0</v>
      </c>
      <c r="T81" s="12">
        <v>0</v>
      </c>
      <c r="U81" s="12">
        <v>0</v>
      </c>
      <c r="V81" s="12">
        <v>0</v>
      </c>
      <c r="W81" s="12">
        <v>0</v>
      </c>
      <c r="X81" s="12">
        <v>0</v>
      </c>
      <c r="Y81" s="12">
        <v>0</v>
      </c>
      <c r="Z81" s="12">
        <v>0</v>
      </c>
      <c r="AA81" s="12">
        <v>0</v>
      </c>
      <c r="AB81" s="12">
        <v>0</v>
      </c>
      <c r="AC81" s="12">
        <v>0</v>
      </c>
      <c r="AD81" s="12">
        <v>0</v>
      </c>
      <c r="AE81" s="12">
        <v>0</v>
      </c>
      <c r="AF81" s="12">
        <v>0</v>
      </c>
      <c r="AG81" s="12">
        <v>0</v>
      </c>
      <c r="AH81" s="12">
        <v>0</v>
      </c>
      <c r="AI81" s="12">
        <v>0</v>
      </c>
      <c r="AJ81" s="12">
        <v>0</v>
      </c>
      <c r="AK81" s="12">
        <v>0</v>
      </c>
      <c r="AL81" s="12">
        <v>0</v>
      </c>
      <c r="AM81" s="12">
        <v>0</v>
      </c>
      <c r="AN81" s="12">
        <v>0</v>
      </c>
      <c r="AO81" s="12">
        <v>0</v>
      </c>
      <c r="AP81" s="12">
        <v>0</v>
      </c>
      <c r="AQ81" s="12">
        <v>0</v>
      </c>
      <c r="AR81" s="12">
        <v>0</v>
      </c>
      <c r="AS81" s="12">
        <v>0</v>
      </c>
      <c r="AT81" s="12">
        <v>0</v>
      </c>
      <c r="AU81" s="12">
        <v>0</v>
      </c>
      <c r="AV81" s="12">
        <v>0</v>
      </c>
      <c r="AW81" s="12">
        <v>0</v>
      </c>
      <c r="AX81" s="12">
        <v>0</v>
      </c>
      <c r="AY81" s="12">
        <v>0</v>
      </c>
      <c r="AZ81" s="12">
        <v>0</v>
      </c>
      <c r="BA81" s="12">
        <v>0</v>
      </c>
      <c r="BB81" s="12">
        <v>0</v>
      </c>
      <c r="BC81" s="12">
        <v>0</v>
      </c>
      <c r="BD81" s="12">
        <v>0</v>
      </c>
      <c r="BE81" s="12">
        <v>0</v>
      </c>
      <c r="BF81" s="12">
        <v>0</v>
      </c>
      <c r="BG81" s="12">
        <v>0</v>
      </c>
      <c r="BH81" s="12">
        <v>0</v>
      </c>
      <c r="BI81" s="12">
        <v>0</v>
      </c>
      <c r="BJ81" s="12">
        <v>0</v>
      </c>
      <c r="BK81" s="12">
        <v>0</v>
      </c>
      <c r="BL81" s="12">
        <v>0</v>
      </c>
      <c r="BM81" s="12">
        <v>0</v>
      </c>
      <c r="BN81" s="12">
        <v>0</v>
      </c>
      <c r="BO81" s="12">
        <v>0</v>
      </c>
      <c r="BP81" s="12">
        <v>0</v>
      </c>
      <c r="BQ81" s="12">
        <v>0</v>
      </c>
      <c r="BR81" s="12">
        <v>0</v>
      </c>
      <c r="BS81" s="12">
        <v>0</v>
      </c>
      <c r="BT81" s="12">
        <v>0</v>
      </c>
      <c r="BU81" s="12">
        <v>0</v>
      </c>
      <c r="BV81" s="12">
        <v>0</v>
      </c>
      <c r="BW81" s="12">
        <v>0</v>
      </c>
      <c r="BX81" s="12">
        <v>0</v>
      </c>
      <c r="BY81" s="12">
        <v>0</v>
      </c>
    </row>
    <row r="82" spans="1:77" x14ac:dyDescent="0.25">
      <c r="A82" s="152"/>
      <c r="B82" s="12"/>
    </row>
    <row r="83" spans="1:77" x14ac:dyDescent="0.25">
      <c r="A83" s="191" t="s">
        <v>1585</v>
      </c>
      <c r="B83" s="12"/>
    </row>
    <row r="84" spans="1:77" x14ac:dyDescent="0.25">
      <c r="A84" s="152" t="s">
        <v>1284</v>
      </c>
      <c r="B84" s="12" t="s">
        <v>764</v>
      </c>
      <c r="C84" s="12">
        <v>0</v>
      </c>
      <c r="D84" s="152">
        <v>0</v>
      </c>
      <c r="E84" s="12">
        <v>0</v>
      </c>
      <c r="F84" s="12">
        <v>0</v>
      </c>
      <c r="G84" s="12">
        <v>0</v>
      </c>
      <c r="H84" s="12">
        <v>0</v>
      </c>
      <c r="I84" s="12">
        <v>0</v>
      </c>
      <c r="J84" s="12">
        <v>0</v>
      </c>
      <c r="K84" s="12">
        <v>0</v>
      </c>
      <c r="L84" s="12">
        <v>0</v>
      </c>
      <c r="M84" s="12">
        <v>0</v>
      </c>
      <c r="N84" s="12">
        <v>0</v>
      </c>
      <c r="O84" s="12">
        <v>0</v>
      </c>
      <c r="P84" s="12">
        <v>0</v>
      </c>
      <c r="Q84" s="12">
        <v>0</v>
      </c>
      <c r="R84" s="12">
        <v>0</v>
      </c>
      <c r="S84" s="12">
        <v>0</v>
      </c>
      <c r="T84" s="12">
        <v>0</v>
      </c>
      <c r="U84" s="12">
        <v>0</v>
      </c>
      <c r="V84" s="12">
        <v>0</v>
      </c>
      <c r="W84" s="12">
        <v>0</v>
      </c>
      <c r="X84" s="12">
        <v>0</v>
      </c>
      <c r="Y84" s="12">
        <v>0</v>
      </c>
      <c r="Z84" s="12">
        <v>0</v>
      </c>
      <c r="AA84" s="12">
        <v>0</v>
      </c>
      <c r="AB84" s="12">
        <v>0</v>
      </c>
      <c r="AC84" s="12">
        <v>0</v>
      </c>
      <c r="AD84" s="12">
        <v>0</v>
      </c>
      <c r="AE84" s="12">
        <v>0</v>
      </c>
      <c r="AF84" s="12">
        <v>0</v>
      </c>
      <c r="AG84" s="12">
        <v>0</v>
      </c>
      <c r="AH84" s="12">
        <v>0</v>
      </c>
      <c r="AI84" s="12">
        <v>0</v>
      </c>
      <c r="AJ84" s="12">
        <v>0</v>
      </c>
      <c r="AK84" s="12">
        <v>0</v>
      </c>
      <c r="AL84" s="12">
        <v>0</v>
      </c>
      <c r="AM84" s="12">
        <v>0</v>
      </c>
      <c r="AN84" s="12">
        <v>0</v>
      </c>
      <c r="AO84" s="12">
        <v>0</v>
      </c>
      <c r="AP84" s="12">
        <v>0</v>
      </c>
      <c r="AQ84" s="12">
        <v>0</v>
      </c>
      <c r="AR84" s="12">
        <v>0</v>
      </c>
      <c r="AS84" s="12">
        <v>0</v>
      </c>
      <c r="AT84" s="12">
        <v>0</v>
      </c>
      <c r="AU84" s="12">
        <v>0</v>
      </c>
      <c r="AV84" s="12">
        <v>0</v>
      </c>
      <c r="AW84" s="12">
        <v>0</v>
      </c>
      <c r="AX84" s="12">
        <v>0</v>
      </c>
      <c r="AY84" s="12">
        <v>0</v>
      </c>
      <c r="AZ84" s="12">
        <v>0</v>
      </c>
      <c r="BA84" s="12">
        <v>0</v>
      </c>
      <c r="BB84" s="12">
        <v>0</v>
      </c>
      <c r="BC84" s="12">
        <v>0</v>
      </c>
      <c r="BD84" s="12">
        <v>0</v>
      </c>
      <c r="BE84" s="12">
        <v>0</v>
      </c>
      <c r="BF84" s="12">
        <v>0</v>
      </c>
      <c r="BG84" s="12">
        <v>0</v>
      </c>
      <c r="BH84" s="12">
        <v>0</v>
      </c>
      <c r="BI84" s="12">
        <v>0</v>
      </c>
      <c r="BJ84" s="12">
        <v>0</v>
      </c>
      <c r="BK84" s="12">
        <v>0</v>
      </c>
      <c r="BL84" s="12">
        <v>0</v>
      </c>
      <c r="BM84" s="12">
        <v>0</v>
      </c>
      <c r="BN84" s="12">
        <v>0</v>
      </c>
      <c r="BO84" s="12">
        <v>0</v>
      </c>
      <c r="BP84" s="12">
        <v>0</v>
      </c>
      <c r="BQ84" s="12">
        <v>0</v>
      </c>
      <c r="BR84" s="12">
        <v>0</v>
      </c>
      <c r="BS84" s="12">
        <v>0</v>
      </c>
      <c r="BT84" s="12">
        <v>0</v>
      </c>
      <c r="BU84" s="12">
        <v>0</v>
      </c>
      <c r="BV84" s="12">
        <v>0</v>
      </c>
      <c r="BW84" s="12">
        <v>0</v>
      </c>
      <c r="BX84" s="12">
        <v>0</v>
      </c>
      <c r="BY84" s="12">
        <v>0</v>
      </c>
    </row>
    <row r="85" spans="1:77" x14ac:dyDescent="0.25">
      <c r="A85" s="152" t="s">
        <v>1285</v>
      </c>
      <c r="B85" s="12" t="s">
        <v>791</v>
      </c>
      <c r="C85" s="12">
        <v>0</v>
      </c>
      <c r="D85" s="152">
        <v>0</v>
      </c>
      <c r="E85" s="12">
        <v>0</v>
      </c>
      <c r="F85" s="12">
        <v>0</v>
      </c>
      <c r="G85" s="12">
        <v>0</v>
      </c>
      <c r="H85" s="12">
        <v>0</v>
      </c>
      <c r="I85" s="12">
        <v>0</v>
      </c>
      <c r="J85" s="12">
        <v>0</v>
      </c>
      <c r="K85" s="12">
        <v>0</v>
      </c>
      <c r="L85" s="12">
        <v>0</v>
      </c>
      <c r="M85" s="12">
        <v>0</v>
      </c>
      <c r="N85" s="12">
        <v>0</v>
      </c>
      <c r="O85" s="12">
        <v>0</v>
      </c>
      <c r="P85" s="12">
        <v>0</v>
      </c>
      <c r="Q85" s="12">
        <v>0</v>
      </c>
      <c r="R85" s="12">
        <v>0</v>
      </c>
      <c r="S85" s="12">
        <v>0</v>
      </c>
      <c r="T85" s="12">
        <v>0</v>
      </c>
      <c r="U85" s="12">
        <v>0</v>
      </c>
      <c r="V85" s="12">
        <v>0</v>
      </c>
      <c r="W85" s="12">
        <v>0</v>
      </c>
      <c r="X85" s="12">
        <v>0</v>
      </c>
      <c r="Y85" s="12">
        <v>0</v>
      </c>
      <c r="Z85" s="12">
        <v>0</v>
      </c>
      <c r="AA85" s="12">
        <v>0</v>
      </c>
      <c r="AB85" s="12">
        <v>0</v>
      </c>
      <c r="AC85" s="12">
        <v>0</v>
      </c>
      <c r="AD85" s="12">
        <v>0</v>
      </c>
      <c r="AE85" s="12">
        <v>0</v>
      </c>
      <c r="AF85" s="12">
        <v>0</v>
      </c>
      <c r="AG85" s="12">
        <v>0</v>
      </c>
      <c r="AH85" s="12">
        <v>0</v>
      </c>
      <c r="AI85" s="12">
        <v>0</v>
      </c>
      <c r="AJ85" s="12">
        <v>0</v>
      </c>
      <c r="AK85" s="12">
        <v>0</v>
      </c>
      <c r="AL85" s="12">
        <v>0</v>
      </c>
      <c r="AM85" s="12">
        <v>0</v>
      </c>
      <c r="AN85" s="12">
        <v>0</v>
      </c>
      <c r="AO85" s="12">
        <v>0</v>
      </c>
      <c r="AP85" s="12">
        <v>0</v>
      </c>
      <c r="AQ85" s="12">
        <v>0</v>
      </c>
      <c r="AR85" s="12">
        <v>0</v>
      </c>
      <c r="AS85" s="12">
        <v>0</v>
      </c>
      <c r="AT85" s="12">
        <v>0</v>
      </c>
      <c r="AU85" s="12">
        <v>0</v>
      </c>
      <c r="AV85" s="12">
        <v>0</v>
      </c>
      <c r="AW85" s="12">
        <v>0</v>
      </c>
      <c r="AX85" s="12">
        <v>0</v>
      </c>
      <c r="AY85" s="12">
        <v>0</v>
      </c>
      <c r="AZ85" s="12">
        <v>0</v>
      </c>
      <c r="BA85" s="12">
        <v>0</v>
      </c>
      <c r="BB85" s="12">
        <v>0</v>
      </c>
      <c r="BC85" s="12">
        <v>0</v>
      </c>
      <c r="BD85" s="12">
        <v>0</v>
      </c>
      <c r="BE85" s="12">
        <v>0</v>
      </c>
      <c r="BF85" s="12">
        <v>0</v>
      </c>
      <c r="BG85" s="12">
        <v>0</v>
      </c>
      <c r="BH85" s="12">
        <v>0</v>
      </c>
      <c r="BI85" s="12">
        <v>0</v>
      </c>
      <c r="BJ85" s="12">
        <v>0</v>
      </c>
      <c r="BK85" s="12">
        <v>0</v>
      </c>
      <c r="BL85" s="12">
        <v>0</v>
      </c>
      <c r="BM85" s="12">
        <v>0</v>
      </c>
      <c r="BN85" s="12">
        <v>0</v>
      </c>
      <c r="BO85" s="12">
        <v>0</v>
      </c>
      <c r="BP85" s="12">
        <v>0</v>
      </c>
      <c r="BQ85" s="12">
        <v>0</v>
      </c>
      <c r="BR85" s="12">
        <v>0</v>
      </c>
      <c r="BS85" s="12">
        <v>0</v>
      </c>
      <c r="BT85" s="12">
        <v>0</v>
      </c>
      <c r="BU85" s="12">
        <v>0</v>
      </c>
      <c r="BV85" s="12">
        <v>0</v>
      </c>
      <c r="BW85" s="12">
        <v>0</v>
      </c>
      <c r="BX85" s="12">
        <v>0</v>
      </c>
      <c r="BY85" s="12">
        <v>0</v>
      </c>
    </row>
    <row r="86" spans="1:77" x14ac:dyDescent="0.25">
      <c r="A86" s="152" t="s">
        <v>1286</v>
      </c>
      <c r="B86" s="12" t="s">
        <v>765</v>
      </c>
      <c r="C86" s="12">
        <v>0</v>
      </c>
      <c r="D86" s="152">
        <v>0</v>
      </c>
      <c r="E86" s="12">
        <v>0</v>
      </c>
      <c r="F86" s="12">
        <v>0</v>
      </c>
      <c r="G86" s="12">
        <v>0</v>
      </c>
      <c r="H86" s="12">
        <v>0</v>
      </c>
      <c r="I86" s="12">
        <v>0</v>
      </c>
      <c r="J86" s="12">
        <v>0</v>
      </c>
      <c r="K86" s="12">
        <v>0</v>
      </c>
      <c r="L86" s="12">
        <v>0</v>
      </c>
      <c r="M86" s="12">
        <v>0</v>
      </c>
      <c r="N86" s="12">
        <v>0</v>
      </c>
      <c r="O86" s="12">
        <v>0</v>
      </c>
      <c r="P86" s="12">
        <v>0</v>
      </c>
      <c r="Q86" s="12">
        <v>0</v>
      </c>
      <c r="R86" s="12">
        <v>0</v>
      </c>
      <c r="S86" s="12">
        <v>0</v>
      </c>
      <c r="T86" s="12">
        <v>0</v>
      </c>
      <c r="U86" s="12">
        <v>0</v>
      </c>
      <c r="V86" s="12">
        <v>0</v>
      </c>
      <c r="W86" s="12">
        <v>0</v>
      </c>
      <c r="X86" s="12">
        <v>0</v>
      </c>
      <c r="Y86" s="12">
        <v>0</v>
      </c>
      <c r="Z86" s="12">
        <v>0</v>
      </c>
      <c r="AA86" s="12">
        <v>0</v>
      </c>
      <c r="AB86" s="12">
        <v>0</v>
      </c>
      <c r="AC86" s="12">
        <v>0</v>
      </c>
      <c r="AD86" s="12">
        <v>0</v>
      </c>
      <c r="AE86" s="12">
        <v>0</v>
      </c>
      <c r="AF86" s="12">
        <v>0</v>
      </c>
      <c r="AG86" s="12">
        <v>0</v>
      </c>
      <c r="AH86" s="12">
        <v>0</v>
      </c>
      <c r="AI86" s="12">
        <v>0</v>
      </c>
      <c r="AJ86" s="12">
        <v>0</v>
      </c>
      <c r="AK86" s="12">
        <v>0</v>
      </c>
      <c r="AL86" s="12">
        <v>0</v>
      </c>
      <c r="AM86" s="12">
        <v>0</v>
      </c>
      <c r="AN86" s="12">
        <v>0</v>
      </c>
      <c r="AO86" s="12">
        <v>0</v>
      </c>
      <c r="AP86" s="12">
        <v>0</v>
      </c>
      <c r="AQ86" s="12">
        <v>0</v>
      </c>
      <c r="AR86" s="12">
        <v>0</v>
      </c>
      <c r="AS86" s="12">
        <v>0</v>
      </c>
      <c r="AT86" s="12">
        <v>0</v>
      </c>
      <c r="AU86" s="12">
        <v>0</v>
      </c>
      <c r="AV86" s="12">
        <v>0</v>
      </c>
      <c r="AW86" s="12">
        <v>0</v>
      </c>
      <c r="AX86" s="12">
        <v>0</v>
      </c>
      <c r="AY86" s="12">
        <v>0</v>
      </c>
      <c r="AZ86" s="12">
        <v>0</v>
      </c>
      <c r="BA86" s="12">
        <v>0</v>
      </c>
      <c r="BB86" s="12">
        <v>0</v>
      </c>
      <c r="BC86" s="12">
        <v>0</v>
      </c>
      <c r="BD86" s="12">
        <v>0</v>
      </c>
      <c r="BE86" s="12">
        <v>0</v>
      </c>
      <c r="BF86" s="12">
        <v>0</v>
      </c>
      <c r="BG86" s="12">
        <v>0</v>
      </c>
      <c r="BH86" s="12">
        <v>0</v>
      </c>
      <c r="BI86" s="12">
        <v>0</v>
      </c>
      <c r="BJ86" s="12">
        <v>0</v>
      </c>
      <c r="BK86" s="12">
        <v>0</v>
      </c>
      <c r="BL86" s="12">
        <v>0</v>
      </c>
      <c r="BM86" s="12">
        <v>0</v>
      </c>
      <c r="BN86" s="12">
        <v>0</v>
      </c>
      <c r="BO86" s="12">
        <v>0</v>
      </c>
      <c r="BP86" s="12">
        <v>0</v>
      </c>
      <c r="BQ86" s="12">
        <v>0</v>
      </c>
      <c r="BR86" s="12">
        <v>0</v>
      </c>
      <c r="BS86" s="12">
        <v>0</v>
      </c>
      <c r="BT86" s="12">
        <v>0</v>
      </c>
      <c r="BU86" s="12">
        <v>0</v>
      </c>
      <c r="BV86" s="12">
        <v>0</v>
      </c>
      <c r="BW86" s="12">
        <v>0</v>
      </c>
      <c r="BX86" s="12">
        <v>0</v>
      </c>
      <c r="BY86" s="12">
        <v>0</v>
      </c>
    </row>
    <row r="87" spans="1:77" x14ac:dyDescent="0.25">
      <c r="A87" s="152" t="s">
        <v>1287</v>
      </c>
      <c r="B87" s="12" t="s">
        <v>766</v>
      </c>
      <c r="C87" s="12">
        <v>0</v>
      </c>
      <c r="D87" s="152">
        <v>0</v>
      </c>
      <c r="E87" s="12">
        <v>0</v>
      </c>
      <c r="F87" s="12">
        <v>0</v>
      </c>
      <c r="G87" s="12">
        <v>0</v>
      </c>
      <c r="H87" s="12">
        <v>0</v>
      </c>
      <c r="I87" s="12">
        <v>0</v>
      </c>
      <c r="J87" s="12">
        <v>0</v>
      </c>
      <c r="K87" s="12">
        <v>0</v>
      </c>
      <c r="L87" s="12">
        <v>0</v>
      </c>
      <c r="M87" s="12">
        <v>0</v>
      </c>
      <c r="N87" s="12">
        <v>0</v>
      </c>
      <c r="O87" s="12">
        <v>0</v>
      </c>
      <c r="P87" s="12">
        <v>0</v>
      </c>
      <c r="Q87" s="12">
        <v>0</v>
      </c>
      <c r="R87" s="12">
        <v>0</v>
      </c>
      <c r="S87" s="12">
        <v>0</v>
      </c>
      <c r="T87" s="12">
        <v>0</v>
      </c>
      <c r="U87" s="12">
        <v>0</v>
      </c>
      <c r="V87" s="12">
        <v>0</v>
      </c>
      <c r="W87" s="12">
        <v>0</v>
      </c>
      <c r="X87" s="12">
        <v>0</v>
      </c>
      <c r="Y87" s="12">
        <v>0</v>
      </c>
      <c r="Z87" s="12">
        <v>0</v>
      </c>
      <c r="AA87" s="12">
        <v>0</v>
      </c>
      <c r="AB87" s="12">
        <v>0</v>
      </c>
      <c r="AC87" s="12">
        <v>0</v>
      </c>
      <c r="AD87" s="12">
        <v>0</v>
      </c>
      <c r="AE87" s="12">
        <v>0</v>
      </c>
      <c r="AF87" s="12">
        <v>0</v>
      </c>
      <c r="AG87" s="12">
        <v>0</v>
      </c>
      <c r="AH87" s="12">
        <v>0</v>
      </c>
      <c r="AI87" s="12">
        <v>0</v>
      </c>
      <c r="AJ87" s="12">
        <v>0</v>
      </c>
      <c r="AK87" s="12">
        <v>0</v>
      </c>
      <c r="AL87" s="12">
        <v>0</v>
      </c>
      <c r="AM87" s="12">
        <v>0</v>
      </c>
      <c r="AN87" s="12">
        <v>0</v>
      </c>
      <c r="AO87" s="12">
        <v>0</v>
      </c>
      <c r="AP87" s="12">
        <v>0</v>
      </c>
      <c r="AQ87" s="12">
        <v>0</v>
      </c>
      <c r="AR87" s="12">
        <v>0</v>
      </c>
      <c r="AS87" s="12">
        <v>0</v>
      </c>
      <c r="AT87" s="12">
        <v>0</v>
      </c>
      <c r="AU87" s="12">
        <v>0</v>
      </c>
      <c r="AV87" s="12">
        <v>0</v>
      </c>
      <c r="AW87" s="12">
        <v>0</v>
      </c>
      <c r="AX87" s="12">
        <v>0</v>
      </c>
      <c r="AY87" s="12">
        <v>0</v>
      </c>
      <c r="AZ87" s="12">
        <v>0</v>
      </c>
      <c r="BA87" s="12">
        <v>0</v>
      </c>
      <c r="BB87" s="12">
        <v>0</v>
      </c>
      <c r="BC87" s="12">
        <v>0</v>
      </c>
      <c r="BD87" s="12">
        <v>0</v>
      </c>
      <c r="BE87" s="12">
        <v>0</v>
      </c>
      <c r="BF87" s="12">
        <v>0</v>
      </c>
      <c r="BG87" s="12">
        <v>0</v>
      </c>
      <c r="BH87" s="12">
        <v>0</v>
      </c>
      <c r="BI87" s="12">
        <v>0</v>
      </c>
      <c r="BJ87" s="12">
        <v>0</v>
      </c>
      <c r="BK87" s="12">
        <v>0</v>
      </c>
      <c r="BL87" s="12">
        <v>0</v>
      </c>
      <c r="BM87" s="12">
        <v>0</v>
      </c>
      <c r="BN87" s="12">
        <v>0</v>
      </c>
      <c r="BO87" s="12">
        <v>0</v>
      </c>
      <c r="BP87" s="12">
        <v>0</v>
      </c>
      <c r="BQ87" s="12">
        <v>0</v>
      </c>
      <c r="BR87" s="12">
        <v>0</v>
      </c>
      <c r="BS87" s="12">
        <v>0</v>
      </c>
      <c r="BT87" s="12">
        <v>0</v>
      </c>
      <c r="BU87" s="12">
        <v>0</v>
      </c>
      <c r="BV87" s="12">
        <v>0</v>
      </c>
      <c r="BW87" s="12">
        <v>0</v>
      </c>
      <c r="BX87" s="12">
        <v>0</v>
      </c>
      <c r="BY87" s="12">
        <v>0</v>
      </c>
    </row>
    <row r="88" spans="1:77" x14ac:dyDescent="0.25">
      <c r="A88" s="152" t="s">
        <v>1288</v>
      </c>
      <c r="B88" s="12" t="s">
        <v>767</v>
      </c>
      <c r="C88" s="12">
        <v>0</v>
      </c>
      <c r="D88" s="152">
        <v>0</v>
      </c>
      <c r="E88" s="12">
        <v>0</v>
      </c>
      <c r="F88" s="12">
        <v>0</v>
      </c>
      <c r="G88" s="12">
        <v>0</v>
      </c>
      <c r="H88" s="12">
        <v>0</v>
      </c>
      <c r="I88" s="12">
        <v>0</v>
      </c>
      <c r="J88" s="12">
        <v>0</v>
      </c>
      <c r="K88" s="12">
        <v>0</v>
      </c>
      <c r="L88" s="12">
        <v>0</v>
      </c>
      <c r="M88" s="12">
        <v>0</v>
      </c>
      <c r="N88" s="12">
        <v>0</v>
      </c>
      <c r="O88" s="12">
        <v>0</v>
      </c>
      <c r="P88" s="12">
        <v>0</v>
      </c>
      <c r="Q88" s="12">
        <v>0</v>
      </c>
      <c r="R88" s="12">
        <v>0</v>
      </c>
      <c r="S88" s="12">
        <v>0</v>
      </c>
      <c r="T88" s="12">
        <v>0</v>
      </c>
      <c r="U88" s="12">
        <v>0</v>
      </c>
      <c r="V88" s="12">
        <v>0</v>
      </c>
      <c r="W88" s="12">
        <v>0</v>
      </c>
      <c r="X88" s="12">
        <v>0</v>
      </c>
      <c r="Y88" s="12">
        <v>0</v>
      </c>
      <c r="Z88" s="12">
        <v>0</v>
      </c>
      <c r="AA88" s="12">
        <v>0</v>
      </c>
      <c r="AB88" s="12">
        <v>0</v>
      </c>
      <c r="AC88" s="12">
        <v>0</v>
      </c>
      <c r="AD88" s="12">
        <v>0</v>
      </c>
      <c r="AE88" s="12">
        <v>0</v>
      </c>
      <c r="AF88" s="12">
        <v>0</v>
      </c>
      <c r="AG88" s="12">
        <v>0</v>
      </c>
      <c r="AH88" s="12">
        <v>0</v>
      </c>
      <c r="AI88" s="12">
        <v>0</v>
      </c>
      <c r="AJ88" s="12">
        <v>0</v>
      </c>
      <c r="AK88" s="12">
        <v>0</v>
      </c>
      <c r="AL88" s="12">
        <v>0</v>
      </c>
      <c r="AM88" s="12">
        <v>0</v>
      </c>
      <c r="AN88" s="12">
        <v>0</v>
      </c>
      <c r="AO88" s="12">
        <v>0</v>
      </c>
      <c r="AP88" s="12">
        <v>0</v>
      </c>
      <c r="AQ88" s="12">
        <v>0</v>
      </c>
      <c r="AR88" s="12">
        <v>0</v>
      </c>
      <c r="AS88" s="12">
        <v>0</v>
      </c>
      <c r="AT88" s="12">
        <v>0</v>
      </c>
      <c r="AU88" s="12">
        <v>0</v>
      </c>
      <c r="AV88" s="12">
        <v>0</v>
      </c>
      <c r="AW88" s="12">
        <v>0</v>
      </c>
      <c r="AX88" s="12">
        <v>0</v>
      </c>
      <c r="AY88" s="12">
        <v>0</v>
      </c>
      <c r="AZ88" s="12">
        <v>0</v>
      </c>
      <c r="BA88" s="12">
        <v>0</v>
      </c>
      <c r="BB88" s="12">
        <v>0</v>
      </c>
      <c r="BC88" s="12">
        <v>0</v>
      </c>
      <c r="BD88" s="12">
        <v>0</v>
      </c>
      <c r="BE88" s="12">
        <v>0</v>
      </c>
      <c r="BF88" s="12">
        <v>0</v>
      </c>
      <c r="BG88" s="12">
        <v>0</v>
      </c>
      <c r="BH88" s="12">
        <v>0</v>
      </c>
      <c r="BI88" s="12">
        <v>0</v>
      </c>
      <c r="BJ88" s="12">
        <v>0</v>
      </c>
      <c r="BK88" s="12">
        <v>0</v>
      </c>
      <c r="BL88" s="12">
        <v>0</v>
      </c>
      <c r="BM88" s="12">
        <v>0</v>
      </c>
      <c r="BN88" s="12">
        <v>0</v>
      </c>
      <c r="BO88" s="12">
        <v>0</v>
      </c>
      <c r="BP88" s="12">
        <v>0</v>
      </c>
      <c r="BQ88" s="12">
        <v>0</v>
      </c>
      <c r="BR88" s="12">
        <v>0</v>
      </c>
      <c r="BS88" s="12">
        <v>0</v>
      </c>
      <c r="BT88" s="12">
        <v>0</v>
      </c>
      <c r="BU88" s="12">
        <v>0</v>
      </c>
      <c r="BV88" s="12">
        <v>0</v>
      </c>
      <c r="BW88" s="12">
        <v>0</v>
      </c>
      <c r="BX88" s="12">
        <v>0</v>
      </c>
      <c r="BY88" s="12">
        <v>0</v>
      </c>
    </row>
    <row r="89" spans="1:77" x14ac:dyDescent="0.25">
      <c r="A89" s="152" t="s">
        <v>1289</v>
      </c>
      <c r="B89" s="12" t="s">
        <v>768</v>
      </c>
      <c r="C89" s="12">
        <v>0</v>
      </c>
      <c r="D89" s="152">
        <v>0</v>
      </c>
      <c r="E89" s="12">
        <v>0</v>
      </c>
      <c r="F89" s="12">
        <v>0</v>
      </c>
      <c r="G89" s="12">
        <v>0</v>
      </c>
      <c r="H89" s="12">
        <v>0</v>
      </c>
      <c r="I89" s="12">
        <v>0</v>
      </c>
      <c r="J89" s="12">
        <v>0</v>
      </c>
      <c r="K89" s="12">
        <v>0</v>
      </c>
      <c r="L89" s="12">
        <v>0</v>
      </c>
      <c r="M89" s="12">
        <v>0</v>
      </c>
      <c r="N89" s="12">
        <v>0</v>
      </c>
      <c r="O89" s="12">
        <v>0</v>
      </c>
      <c r="P89" s="12">
        <v>0</v>
      </c>
      <c r="Q89" s="12">
        <v>0</v>
      </c>
      <c r="R89" s="12">
        <v>0</v>
      </c>
      <c r="S89" s="12">
        <v>0</v>
      </c>
      <c r="T89" s="12">
        <v>0</v>
      </c>
      <c r="U89" s="12">
        <v>0</v>
      </c>
      <c r="V89" s="12">
        <v>0</v>
      </c>
      <c r="W89" s="12">
        <v>0</v>
      </c>
      <c r="X89" s="12">
        <v>0</v>
      </c>
      <c r="Y89" s="12">
        <v>0</v>
      </c>
      <c r="Z89" s="12">
        <v>0</v>
      </c>
      <c r="AA89" s="12">
        <v>0</v>
      </c>
      <c r="AB89" s="12">
        <v>0</v>
      </c>
      <c r="AC89" s="12">
        <v>0</v>
      </c>
      <c r="AD89" s="12">
        <v>0</v>
      </c>
      <c r="AE89" s="12">
        <v>0</v>
      </c>
      <c r="AF89" s="12">
        <v>0</v>
      </c>
      <c r="AG89" s="12">
        <v>0</v>
      </c>
      <c r="AH89" s="12">
        <v>0</v>
      </c>
      <c r="AI89" s="12">
        <v>0</v>
      </c>
      <c r="AJ89" s="12">
        <v>0</v>
      </c>
      <c r="AK89" s="12">
        <v>0</v>
      </c>
      <c r="AL89" s="12">
        <v>0</v>
      </c>
      <c r="AM89" s="12">
        <v>0</v>
      </c>
      <c r="AN89" s="12">
        <v>0</v>
      </c>
      <c r="AO89" s="12">
        <v>0</v>
      </c>
      <c r="AP89" s="12">
        <v>0</v>
      </c>
      <c r="AQ89" s="12">
        <v>0</v>
      </c>
      <c r="AR89" s="12">
        <v>0</v>
      </c>
      <c r="AS89" s="12">
        <v>0</v>
      </c>
      <c r="AT89" s="12">
        <v>0</v>
      </c>
      <c r="AU89" s="12">
        <v>0</v>
      </c>
      <c r="AV89" s="12">
        <v>0</v>
      </c>
      <c r="AW89" s="12">
        <v>0</v>
      </c>
      <c r="AX89" s="12">
        <v>0</v>
      </c>
      <c r="AY89" s="12">
        <v>0</v>
      </c>
      <c r="AZ89" s="12">
        <v>0</v>
      </c>
      <c r="BA89" s="12">
        <v>0</v>
      </c>
      <c r="BB89" s="12">
        <v>0</v>
      </c>
      <c r="BC89" s="12">
        <v>0</v>
      </c>
      <c r="BD89" s="12">
        <v>0</v>
      </c>
      <c r="BE89" s="12">
        <v>0</v>
      </c>
      <c r="BF89" s="12">
        <v>0</v>
      </c>
      <c r="BG89" s="12">
        <v>0</v>
      </c>
      <c r="BH89" s="12">
        <v>0</v>
      </c>
      <c r="BI89" s="12">
        <v>0</v>
      </c>
      <c r="BJ89" s="12">
        <v>0</v>
      </c>
      <c r="BK89" s="12">
        <v>0</v>
      </c>
      <c r="BL89" s="12">
        <v>0</v>
      </c>
      <c r="BM89" s="12">
        <v>0</v>
      </c>
      <c r="BN89" s="12">
        <v>0</v>
      </c>
      <c r="BO89" s="12">
        <v>0</v>
      </c>
      <c r="BP89" s="12">
        <v>0</v>
      </c>
      <c r="BQ89" s="12">
        <v>0</v>
      </c>
      <c r="BR89" s="12">
        <v>0</v>
      </c>
      <c r="BS89" s="12">
        <v>0</v>
      </c>
      <c r="BT89" s="12">
        <v>0</v>
      </c>
      <c r="BU89" s="12">
        <v>0</v>
      </c>
      <c r="BV89" s="12">
        <v>0</v>
      </c>
      <c r="BW89" s="12">
        <v>0</v>
      </c>
      <c r="BX89" s="12">
        <v>0</v>
      </c>
      <c r="BY89" s="12">
        <v>0</v>
      </c>
    </row>
    <row r="90" spans="1:77" x14ac:dyDescent="0.25">
      <c r="A90" s="152" t="s">
        <v>1290</v>
      </c>
      <c r="B90" s="12" t="s">
        <v>1496</v>
      </c>
      <c r="C90" s="12">
        <v>0</v>
      </c>
      <c r="D90" s="152">
        <v>0</v>
      </c>
      <c r="E90" s="12">
        <v>0</v>
      </c>
      <c r="F90" s="12">
        <v>0</v>
      </c>
      <c r="G90" s="12">
        <v>0</v>
      </c>
      <c r="H90" s="12">
        <v>0</v>
      </c>
      <c r="I90" s="12">
        <v>0</v>
      </c>
      <c r="J90" s="12">
        <v>0</v>
      </c>
      <c r="K90" s="12">
        <v>0</v>
      </c>
      <c r="L90" s="12">
        <v>0</v>
      </c>
      <c r="M90" s="12">
        <v>0</v>
      </c>
      <c r="N90" s="12">
        <v>0</v>
      </c>
      <c r="O90" s="12">
        <v>0</v>
      </c>
      <c r="P90" s="12">
        <v>0</v>
      </c>
      <c r="Q90" s="12">
        <v>0</v>
      </c>
      <c r="R90" s="12">
        <v>0</v>
      </c>
      <c r="S90" s="12">
        <v>0</v>
      </c>
      <c r="T90" s="12">
        <v>0</v>
      </c>
      <c r="U90" s="12">
        <v>0</v>
      </c>
      <c r="V90" s="12">
        <v>0</v>
      </c>
      <c r="W90" s="12">
        <v>0</v>
      </c>
      <c r="X90" s="12">
        <v>0</v>
      </c>
      <c r="Y90" s="12">
        <v>0</v>
      </c>
      <c r="Z90" s="12">
        <v>0</v>
      </c>
      <c r="AA90" s="12">
        <v>0</v>
      </c>
      <c r="AB90" s="12">
        <v>0</v>
      </c>
      <c r="AC90" s="12">
        <v>0</v>
      </c>
      <c r="AD90" s="12">
        <v>0</v>
      </c>
      <c r="AE90" s="12">
        <v>0</v>
      </c>
      <c r="AF90" s="12">
        <v>0</v>
      </c>
      <c r="AG90" s="12">
        <v>0</v>
      </c>
      <c r="AH90" s="12">
        <v>0</v>
      </c>
      <c r="AI90" s="12">
        <v>0</v>
      </c>
      <c r="AJ90" s="12">
        <v>0</v>
      </c>
      <c r="AK90" s="12">
        <v>0</v>
      </c>
      <c r="AL90" s="12">
        <v>0</v>
      </c>
      <c r="AM90" s="12">
        <v>0</v>
      </c>
      <c r="AN90" s="12">
        <v>0</v>
      </c>
      <c r="AO90" s="12">
        <v>0</v>
      </c>
      <c r="AP90" s="12">
        <v>0</v>
      </c>
      <c r="AQ90" s="12">
        <v>0</v>
      </c>
      <c r="AR90" s="12">
        <v>0</v>
      </c>
      <c r="AS90" s="12">
        <v>0</v>
      </c>
      <c r="AT90" s="12">
        <v>0</v>
      </c>
      <c r="AU90" s="12">
        <v>0</v>
      </c>
      <c r="AV90" s="12">
        <v>0</v>
      </c>
      <c r="AW90" s="12">
        <v>0</v>
      </c>
      <c r="AX90" s="12">
        <v>0</v>
      </c>
      <c r="AY90" s="12">
        <v>0</v>
      </c>
      <c r="AZ90" s="12">
        <v>0</v>
      </c>
      <c r="BA90" s="12">
        <v>0</v>
      </c>
      <c r="BB90" s="12">
        <v>0</v>
      </c>
      <c r="BC90" s="12">
        <v>0</v>
      </c>
      <c r="BD90" s="12">
        <v>0</v>
      </c>
      <c r="BE90" s="12">
        <v>0</v>
      </c>
      <c r="BF90" s="12">
        <v>0</v>
      </c>
      <c r="BG90" s="12">
        <v>0</v>
      </c>
      <c r="BH90" s="12">
        <v>0</v>
      </c>
      <c r="BI90" s="12">
        <v>0</v>
      </c>
      <c r="BJ90" s="12">
        <v>0</v>
      </c>
      <c r="BK90" s="12">
        <v>0</v>
      </c>
      <c r="BL90" s="12">
        <v>0</v>
      </c>
      <c r="BM90" s="12">
        <v>0</v>
      </c>
      <c r="BN90" s="12">
        <v>0</v>
      </c>
      <c r="BO90" s="12">
        <v>0</v>
      </c>
      <c r="BP90" s="12">
        <v>0</v>
      </c>
      <c r="BQ90" s="12">
        <v>0</v>
      </c>
      <c r="BR90" s="12">
        <v>0</v>
      </c>
      <c r="BS90" s="12">
        <v>0</v>
      </c>
      <c r="BT90" s="12">
        <v>0</v>
      </c>
      <c r="BU90" s="12">
        <v>0</v>
      </c>
      <c r="BV90" s="12">
        <v>0</v>
      </c>
      <c r="BW90" s="12">
        <v>0</v>
      </c>
      <c r="BX90" s="12">
        <v>0</v>
      </c>
      <c r="BY90" s="12">
        <v>0</v>
      </c>
    </row>
    <row r="91" spans="1:77" x14ac:dyDescent="0.25">
      <c r="A91" s="152" t="s">
        <v>1291</v>
      </c>
      <c r="B91" s="12" t="s">
        <v>769</v>
      </c>
      <c r="C91" s="12">
        <v>0</v>
      </c>
      <c r="D91" s="152">
        <v>0</v>
      </c>
      <c r="E91" s="12">
        <v>0</v>
      </c>
      <c r="F91" s="12">
        <v>0</v>
      </c>
      <c r="G91" s="12">
        <v>0</v>
      </c>
      <c r="H91" s="12">
        <v>0</v>
      </c>
      <c r="I91" s="12">
        <v>0</v>
      </c>
      <c r="J91" s="12">
        <v>0</v>
      </c>
      <c r="K91" s="12">
        <v>0</v>
      </c>
      <c r="L91" s="12">
        <v>0</v>
      </c>
      <c r="M91" s="12">
        <v>0</v>
      </c>
      <c r="N91" s="12">
        <v>0</v>
      </c>
      <c r="O91" s="12">
        <v>0</v>
      </c>
      <c r="P91" s="12">
        <v>0</v>
      </c>
      <c r="Q91" s="12">
        <v>0</v>
      </c>
      <c r="R91" s="12">
        <v>0</v>
      </c>
      <c r="S91" s="12">
        <v>0</v>
      </c>
      <c r="T91" s="12">
        <v>0</v>
      </c>
      <c r="U91" s="12">
        <v>0</v>
      </c>
      <c r="V91" s="12">
        <v>0</v>
      </c>
      <c r="W91" s="12">
        <v>0</v>
      </c>
      <c r="X91" s="12">
        <v>0</v>
      </c>
      <c r="Y91" s="12">
        <v>0</v>
      </c>
      <c r="Z91" s="12">
        <v>0</v>
      </c>
      <c r="AA91" s="12">
        <v>0</v>
      </c>
      <c r="AB91" s="12">
        <v>0</v>
      </c>
      <c r="AC91" s="12">
        <v>0</v>
      </c>
      <c r="AD91" s="12">
        <v>0</v>
      </c>
      <c r="AE91" s="12">
        <v>0</v>
      </c>
      <c r="AF91" s="12">
        <v>0</v>
      </c>
      <c r="AG91" s="12">
        <v>0</v>
      </c>
      <c r="AH91" s="12">
        <v>0</v>
      </c>
      <c r="AI91" s="12">
        <v>0</v>
      </c>
      <c r="AJ91" s="12">
        <v>0</v>
      </c>
      <c r="AK91" s="12">
        <v>0</v>
      </c>
      <c r="AL91" s="12">
        <v>0</v>
      </c>
      <c r="AM91" s="12">
        <v>0</v>
      </c>
      <c r="AN91" s="12">
        <v>0</v>
      </c>
      <c r="AO91" s="12">
        <v>0</v>
      </c>
      <c r="AP91" s="12">
        <v>0</v>
      </c>
      <c r="AQ91" s="12">
        <v>0</v>
      </c>
      <c r="AR91" s="12">
        <v>0</v>
      </c>
      <c r="AS91" s="12">
        <v>0</v>
      </c>
      <c r="AT91" s="12">
        <v>0</v>
      </c>
      <c r="AU91" s="12">
        <v>0</v>
      </c>
      <c r="AV91" s="12">
        <v>0</v>
      </c>
      <c r="AW91" s="12">
        <v>0</v>
      </c>
      <c r="AX91" s="12">
        <v>0</v>
      </c>
      <c r="AY91" s="12">
        <v>0</v>
      </c>
      <c r="AZ91" s="12">
        <v>0</v>
      </c>
      <c r="BA91" s="12">
        <v>0</v>
      </c>
      <c r="BB91" s="12">
        <v>0</v>
      </c>
      <c r="BC91" s="12">
        <v>0</v>
      </c>
      <c r="BD91" s="12">
        <v>0</v>
      </c>
      <c r="BE91" s="12">
        <v>0</v>
      </c>
      <c r="BF91" s="12">
        <v>0</v>
      </c>
      <c r="BG91" s="12">
        <v>0</v>
      </c>
      <c r="BH91" s="12">
        <v>0</v>
      </c>
      <c r="BI91" s="12">
        <v>0</v>
      </c>
      <c r="BJ91" s="12">
        <v>0</v>
      </c>
      <c r="BK91" s="12">
        <v>0</v>
      </c>
      <c r="BL91" s="12">
        <v>0</v>
      </c>
      <c r="BM91" s="12">
        <v>0</v>
      </c>
      <c r="BN91" s="12">
        <v>0</v>
      </c>
      <c r="BO91" s="12">
        <v>0</v>
      </c>
      <c r="BP91" s="12">
        <v>0</v>
      </c>
      <c r="BQ91" s="12">
        <v>0</v>
      </c>
      <c r="BR91" s="12">
        <v>0</v>
      </c>
      <c r="BS91" s="12">
        <v>0</v>
      </c>
      <c r="BT91" s="12">
        <v>0</v>
      </c>
      <c r="BU91" s="12">
        <v>0</v>
      </c>
      <c r="BV91" s="12">
        <v>0</v>
      </c>
      <c r="BW91" s="12">
        <v>0</v>
      </c>
      <c r="BX91" s="12">
        <v>0</v>
      </c>
      <c r="BY91" s="12">
        <v>0</v>
      </c>
    </row>
    <row r="92" spans="1:77" x14ac:dyDescent="0.25">
      <c r="A92" s="152" t="s">
        <v>1292</v>
      </c>
      <c r="B92" s="12" t="s">
        <v>770</v>
      </c>
      <c r="C92" s="12">
        <v>0</v>
      </c>
      <c r="D92" s="152">
        <v>0</v>
      </c>
      <c r="E92" s="12">
        <v>0</v>
      </c>
      <c r="F92" s="12">
        <v>0</v>
      </c>
      <c r="G92" s="12">
        <v>0</v>
      </c>
      <c r="H92" s="12">
        <v>0</v>
      </c>
      <c r="I92" s="12">
        <v>0</v>
      </c>
      <c r="J92" s="12">
        <v>0</v>
      </c>
      <c r="K92" s="12">
        <v>0</v>
      </c>
      <c r="L92" s="12">
        <v>0</v>
      </c>
      <c r="M92" s="12">
        <v>0</v>
      </c>
      <c r="N92" s="12">
        <v>0</v>
      </c>
      <c r="O92" s="12">
        <v>0</v>
      </c>
      <c r="P92" s="12">
        <v>0</v>
      </c>
      <c r="Q92" s="12">
        <v>0</v>
      </c>
      <c r="R92" s="12">
        <v>0</v>
      </c>
      <c r="S92" s="12">
        <v>0</v>
      </c>
      <c r="T92" s="12">
        <v>0</v>
      </c>
      <c r="U92" s="12">
        <v>0</v>
      </c>
      <c r="V92" s="12">
        <v>0</v>
      </c>
      <c r="W92" s="12">
        <v>0</v>
      </c>
      <c r="X92" s="12">
        <v>0</v>
      </c>
      <c r="Y92" s="12">
        <v>0</v>
      </c>
      <c r="Z92" s="12">
        <v>0</v>
      </c>
      <c r="AA92" s="12">
        <v>0</v>
      </c>
      <c r="AB92" s="12">
        <v>0</v>
      </c>
      <c r="AC92" s="12">
        <v>0</v>
      </c>
      <c r="AD92" s="12">
        <v>0</v>
      </c>
      <c r="AE92" s="12">
        <v>0</v>
      </c>
      <c r="AF92" s="12">
        <v>0</v>
      </c>
      <c r="AG92" s="12">
        <v>0</v>
      </c>
      <c r="AH92" s="12">
        <v>0</v>
      </c>
      <c r="AI92" s="12">
        <v>0</v>
      </c>
      <c r="AJ92" s="12">
        <v>0</v>
      </c>
      <c r="AK92" s="12">
        <v>0</v>
      </c>
      <c r="AL92" s="12">
        <v>0</v>
      </c>
      <c r="AM92" s="12">
        <v>0</v>
      </c>
      <c r="AN92" s="12">
        <v>0</v>
      </c>
      <c r="AO92" s="12">
        <v>0</v>
      </c>
      <c r="AP92" s="12">
        <v>0</v>
      </c>
      <c r="AQ92" s="12">
        <v>0</v>
      </c>
      <c r="AR92" s="12">
        <v>0</v>
      </c>
      <c r="AS92" s="12">
        <v>0</v>
      </c>
      <c r="AT92" s="12">
        <v>0</v>
      </c>
      <c r="AU92" s="12">
        <v>0</v>
      </c>
      <c r="AV92" s="12">
        <v>0</v>
      </c>
      <c r="AW92" s="12">
        <v>0</v>
      </c>
      <c r="AX92" s="12">
        <v>0</v>
      </c>
      <c r="AY92" s="12">
        <v>0</v>
      </c>
      <c r="AZ92" s="12">
        <v>0</v>
      </c>
      <c r="BA92" s="12">
        <v>0</v>
      </c>
      <c r="BB92" s="12">
        <v>0</v>
      </c>
      <c r="BC92" s="12">
        <v>0</v>
      </c>
      <c r="BD92" s="12">
        <v>0</v>
      </c>
      <c r="BE92" s="12">
        <v>0</v>
      </c>
      <c r="BF92" s="12">
        <v>0</v>
      </c>
      <c r="BG92" s="12">
        <v>0</v>
      </c>
      <c r="BH92" s="12">
        <v>0</v>
      </c>
      <c r="BI92" s="12">
        <v>0</v>
      </c>
      <c r="BJ92" s="12">
        <v>0</v>
      </c>
      <c r="BK92" s="12">
        <v>0</v>
      </c>
      <c r="BL92" s="12">
        <v>0</v>
      </c>
      <c r="BM92" s="12">
        <v>0</v>
      </c>
      <c r="BN92" s="12">
        <v>0</v>
      </c>
      <c r="BO92" s="12">
        <v>0</v>
      </c>
      <c r="BP92" s="12">
        <v>0</v>
      </c>
      <c r="BQ92" s="12">
        <v>0</v>
      </c>
      <c r="BR92" s="12">
        <v>0</v>
      </c>
      <c r="BS92" s="12">
        <v>0</v>
      </c>
      <c r="BT92" s="12">
        <v>0</v>
      </c>
      <c r="BU92" s="12">
        <v>0</v>
      </c>
      <c r="BV92" s="12">
        <v>0</v>
      </c>
      <c r="BW92" s="12">
        <v>0</v>
      </c>
      <c r="BX92" s="12">
        <v>0</v>
      </c>
      <c r="BY92" s="12">
        <v>0</v>
      </c>
    </row>
    <row r="93" spans="1:77" x14ac:dyDescent="0.25">
      <c r="A93" s="152" t="s">
        <v>1293</v>
      </c>
      <c r="B93" s="12" t="s">
        <v>1082</v>
      </c>
      <c r="C93" s="12">
        <v>0</v>
      </c>
      <c r="D93" s="152">
        <v>0</v>
      </c>
      <c r="E93" s="12">
        <v>0</v>
      </c>
      <c r="F93" s="12">
        <v>0</v>
      </c>
      <c r="G93" s="12">
        <v>0</v>
      </c>
      <c r="H93" s="12">
        <v>0</v>
      </c>
      <c r="I93" s="12">
        <v>0</v>
      </c>
      <c r="J93" s="12">
        <v>0</v>
      </c>
      <c r="K93" s="12">
        <v>0</v>
      </c>
      <c r="L93" s="12">
        <v>0</v>
      </c>
      <c r="M93" s="12">
        <v>0</v>
      </c>
      <c r="N93" s="12">
        <v>0</v>
      </c>
      <c r="O93" s="12">
        <v>0</v>
      </c>
      <c r="P93" s="12">
        <v>0</v>
      </c>
      <c r="Q93" s="12">
        <v>0</v>
      </c>
      <c r="R93" s="12">
        <v>0</v>
      </c>
      <c r="S93" s="12">
        <v>0</v>
      </c>
      <c r="T93" s="12">
        <v>0</v>
      </c>
      <c r="U93" s="12">
        <v>0</v>
      </c>
      <c r="V93" s="12">
        <v>0</v>
      </c>
      <c r="W93" s="12">
        <v>0</v>
      </c>
      <c r="X93" s="12">
        <v>0</v>
      </c>
      <c r="Y93" s="12">
        <v>0</v>
      </c>
      <c r="Z93" s="12">
        <v>0</v>
      </c>
      <c r="AA93" s="12">
        <v>0</v>
      </c>
      <c r="AB93" s="12">
        <v>0</v>
      </c>
      <c r="AC93" s="12">
        <v>0</v>
      </c>
      <c r="AD93" s="12">
        <v>0</v>
      </c>
      <c r="AE93" s="12">
        <v>0</v>
      </c>
      <c r="AF93" s="12">
        <v>0</v>
      </c>
      <c r="AG93" s="12">
        <v>0</v>
      </c>
      <c r="AH93" s="12">
        <v>0</v>
      </c>
      <c r="AI93" s="12">
        <v>0</v>
      </c>
      <c r="AJ93" s="12">
        <v>0</v>
      </c>
      <c r="AK93" s="12">
        <v>0</v>
      </c>
      <c r="AL93" s="12">
        <v>0</v>
      </c>
      <c r="AM93" s="12">
        <v>0</v>
      </c>
      <c r="AN93" s="12">
        <v>0</v>
      </c>
      <c r="AO93" s="12">
        <v>0</v>
      </c>
      <c r="AP93" s="12">
        <v>0</v>
      </c>
      <c r="AQ93" s="12">
        <v>0</v>
      </c>
      <c r="AR93" s="12">
        <v>0</v>
      </c>
      <c r="AS93" s="12">
        <v>0</v>
      </c>
      <c r="AT93" s="12">
        <v>0</v>
      </c>
      <c r="AU93" s="12">
        <v>0</v>
      </c>
      <c r="AV93" s="12">
        <v>0</v>
      </c>
      <c r="AW93" s="12">
        <v>0</v>
      </c>
      <c r="AX93" s="12">
        <v>0</v>
      </c>
      <c r="AY93" s="12">
        <v>0</v>
      </c>
      <c r="AZ93" s="12">
        <v>0</v>
      </c>
      <c r="BA93" s="12">
        <v>0</v>
      </c>
      <c r="BB93" s="12">
        <v>0</v>
      </c>
      <c r="BC93" s="12">
        <v>0</v>
      </c>
      <c r="BD93" s="12">
        <v>0</v>
      </c>
      <c r="BE93" s="12">
        <v>0</v>
      </c>
      <c r="BF93" s="12">
        <v>0</v>
      </c>
      <c r="BG93" s="12">
        <v>0</v>
      </c>
      <c r="BH93" s="12">
        <v>0</v>
      </c>
      <c r="BI93" s="12">
        <v>0</v>
      </c>
      <c r="BJ93" s="12">
        <v>0</v>
      </c>
      <c r="BK93" s="12">
        <v>0</v>
      </c>
      <c r="BL93" s="12">
        <v>0</v>
      </c>
      <c r="BM93" s="12">
        <v>0</v>
      </c>
      <c r="BN93" s="12">
        <v>0</v>
      </c>
      <c r="BO93" s="12">
        <v>0</v>
      </c>
      <c r="BP93" s="12">
        <v>0</v>
      </c>
      <c r="BQ93" s="12">
        <v>0</v>
      </c>
      <c r="BR93" s="12">
        <v>0</v>
      </c>
      <c r="BS93" s="12">
        <v>0</v>
      </c>
      <c r="BT93" s="12">
        <v>0</v>
      </c>
      <c r="BU93" s="12">
        <v>0</v>
      </c>
      <c r="BV93" s="12">
        <v>0</v>
      </c>
      <c r="BW93" s="12">
        <v>0</v>
      </c>
      <c r="BX93" s="12">
        <v>0</v>
      </c>
      <c r="BY93" s="12">
        <v>0</v>
      </c>
    </row>
    <row r="94" spans="1:77" x14ac:dyDescent="0.25">
      <c r="A94" s="152" t="s">
        <v>1294</v>
      </c>
      <c r="B94" s="12" t="s">
        <v>1083</v>
      </c>
      <c r="C94" s="12">
        <v>0</v>
      </c>
      <c r="D94" s="152">
        <v>0</v>
      </c>
      <c r="E94" s="12">
        <v>0</v>
      </c>
      <c r="F94" s="12">
        <v>0</v>
      </c>
      <c r="G94" s="12">
        <v>0</v>
      </c>
      <c r="H94" s="12">
        <v>0</v>
      </c>
      <c r="I94" s="12">
        <v>0</v>
      </c>
      <c r="J94" s="12">
        <v>0</v>
      </c>
      <c r="K94" s="12">
        <v>0</v>
      </c>
      <c r="L94" s="12">
        <v>0</v>
      </c>
      <c r="M94" s="12">
        <v>0</v>
      </c>
      <c r="N94" s="12">
        <v>0</v>
      </c>
      <c r="O94" s="12">
        <v>0</v>
      </c>
      <c r="P94" s="12">
        <v>0</v>
      </c>
      <c r="Q94" s="12">
        <v>0</v>
      </c>
      <c r="R94" s="12">
        <v>0</v>
      </c>
      <c r="S94" s="12">
        <v>0</v>
      </c>
      <c r="T94" s="12">
        <v>0</v>
      </c>
      <c r="U94" s="12">
        <v>0</v>
      </c>
      <c r="V94" s="12">
        <v>0</v>
      </c>
      <c r="W94" s="12">
        <v>0</v>
      </c>
      <c r="X94" s="12">
        <v>0</v>
      </c>
      <c r="Y94" s="12">
        <v>0</v>
      </c>
      <c r="Z94" s="12">
        <v>0</v>
      </c>
      <c r="AA94" s="12">
        <v>0</v>
      </c>
      <c r="AB94" s="12">
        <v>0</v>
      </c>
      <c r="AC94" s="12">
        <v>0</v>
      </c>
      <c r="AD94" s="12">
        <v>0</v>
      </c>
      <c r="AE94" s="12">
        <v>0</v>
      </c>
      <c r="AF94" s="12">
        <v>0</v>
      </c>
      <c r="AG94" s="12">
        <v>0</v>
      </c>
      <c r="AH94" s="12">
        <v>0</v>
      </c>
      <c r="AI94" s="12">
        <v>0</v>
      </c>
      <c r="AJ94" s="12">
        <v>0</v>
      </c>
      <c r="AK94" s="12">
        <v>0</v>
      </c>
      <c r="AL94" s="12">
        <v>0</v>
      </c>
      <c r="AM94" s="12">
        <v>0</v>
      </c>
      <c r="AN94" s="12">
        <v>0</v>
      </c>
      <c r="AO94" s="12">
        <v>0</v>
      </c>
      <c r="AP94" s="12">
        <v>0</v>
      </c>
      <c r="AQ94" s="12">
        <v>0</v>
      </c>
      <c r="AR94" s="12">
        <v>0</v>
      </c>
      <c r="AS94" s="12">
        <v>0</v>
      </c>
      <c r="AT94" s="12">
        <v>0</v>
      </c>
      <c r="AU94" s="12">
        <v>0</v>
      </c>
      <c r="AV94" s="12">
        <v>0</v>
      </c>
      <c r="AW94" s="12">
        <v>0</v>
      </c>
      <c r="AX94" s="12">
        <v>0</v>
      </c>
      <c r="AY94" s="12">
        <v>0</v>
      </c>
      <c r="AZ94" s="12">
        <v>0</v>
      </c>
      <c r="BA94" s="12">
        <v>0</v>
      </c>
      <c r="BB94" s="12">
        <v>0</v>
      </c>
      <c r="BC94" s="12">
        <v>0</v>
      </c>
      <c r="BD94" s="12">
        <v>0</v>
      </c>
      <c r="BE94" s="12">
        <v>0</v>
      </c>
      <c r="BF94" s="12">
        <v>0</v>
      </c>
      <c r="BG94" s="12">
        <v>0</v>
      </c>
      <c r="BH94" s="12">
        <v>0</v>
      </c>
      <c r="BI94" s="12">
        <v>0</v>
      </c>
      <c r="BJ94" s="12">
        <v>0</v>
      </c>
      <c r="BK94" s="12">
        <v>0</v>
      </c>
      <c r="BL94" s="12">
        <v>0</v>
      </c>
      <c r="BM94" s="12">
        <v>0</v>
      </c>
      <c r="BN94" s="12">
        <v>0</v>
      </c>
      <c r="BO94" s="12">
        <v>0</v>
      </c>
      <c r="BP94" s="12">
        <v>0</v>
      </c>
      <c r="BQ94" s="12">
        <v>0</v>
      </c>
      <c r="BR94" s="12">
        <v>0</v>
      </c>
      <c r="BS94" s="12">
        <v>0</v>
      </c>
      <c r="BT94" s="12">
        <v>0</v>
      </c>
      <c r="BU94" s="12">
        <v>0</v>
      </c>
      <c r="BV94" s="12">
        <v>0</v>
      </c>
      <c r="BW94" s="12">
        <v>0</v>
      </c>
      <c r="BX94" s="12">
        <v>0</v>
      </c>
      <c r="BY94" s="12">
        <v>0</v>
      </c>
    </row>
    <row r="95" spans="1:77" x14ac:dyDescent="0.25">
      <c r="A95" s="152" t="s">
        <v>1295</v>
      </c>
      <c r="B95" s="12" t="s">
        <v>771</v>
      </c>
      <c r="C95" s="12">
        <v>0</v>
      </c>
      <c r="D95" s="152">
        <v>0</v>
      </c>
      <c r="E95" s="12">
        <v>0</v>
      </c>
      <c r="F95" s="12">
        <v>0</v>
      </c>
      <c r="G95" s="12">
        <v>0</v>
      </c>
      <c r="H95" s="12">
        <v>0</v>
      </c>
      <c r="I95" s="12">
        <v>0</v>
      </c>
      <c r="J95" s="12">
        <v>0</v>
      </c>
      <c r="K95" s="12">
        <v>0</v>
      </c>
      <c r="L95" s="12">
        <v>0</v>
      </c>
      <c r="M95" s="12">
        <v>0</v>
      </c>
      <c r="N95" s="12">
        <v>0</v>
      </c>
      <c r="O95" s="12">
        <v>0</v>
      </c>
      <c r="P95" s="12">
        <v>0</v>
      </c>
      <c r="Q95" s="12">
        <v>0</v>
      </c>
      <c r="R95" s="12">
        <v>0</v>
      </c>
      <c r="S95" s="12">
        <v>0</v>
      </c>
      <c r="T95" s="12">
        <v>0</v>
      </c>
      <c r="U95" s="12">
        <v>0</v>
      </c>
      <c r="V95" s="12">
        <v>0</v>
      </c>
      <c r="W95" s="12">
        <v>0</v>
      </c>
      <c r="X95" s="12">
        <v>0</v>
      </c>
      <c r="Y95" s="12">
        <v>0</v>
      </c>
      <c r="Z95" s="12">
        <v>0</v>
      </c>
      <c r="AA95" s="12">
        <v>0</v>
      </c>
      <c r="AB95" s="12">
        <v>0</v>
      </c>
      <c r="AC95" s="12">
        <v>0</v>
      </c>
      <c r="AD95" s="12">
        <v>0</v>
      </c>
      <c r="AE95" s="12">
        <v>0</v>
      </c>
      <c r="AF95" s="12">
        <v>0</v>
      </c>
      <c r="AG95" s="12">
        <v>0</v>
      </c>
      <c r="AH95" s="12">
        <v>0</v>
      </c>
      <c r="AI95" s="12">
        <v>0</v>
      </c>
      <c r="AJ95" s="12">
        <v>0</v>
      </c>
      <c r="AK95" s="12">
        <v>0</v>
      </c>
      <c r="AL95" s="12">
        <v>0</v>
      </c>
      <c r="AM95" s="12">
        <v>0</v>
      </c>
      <c r="AN95" s="12">
        <v>0</v>
      </c>
      <c r="AO95" s="12">
        <v>0</v>
      </c>
      <c r="AP95" s="12">
        <v>0</v>
      </c>
      <c r="AQ95" s="12">
        <v>0</v>
      </c>
      <c r="AR95" s="12">
        <v>0</v>
      </c>
      <c r="AS95" s="12">
        <v>0</v>
      </c>
      <c r="AT95" s="12">
        <v>0</v>
      </c>
      <c r="AU95" s="12">
        <v>0</v>
      </c>
      <c r="AV95" s="12">
        <v>0</v>
      </c>
      <c r="AW95" s="12">
        <v>0</v>
      </c>
      <c r="AX95" s="12">
        <v>0</v>
      </c>
      <c r="AY95" s="12">
        <v>0</v>
      </c>
      <c r="AZ95" s="12">
        <v>0</v>
      </c>
      <c r="BA95" s="12">
        <v>0</v>
      </c>
      <c r="BB95" s="12">
        <v>0</v>
      </c>
      <c r="BC95" s="12">
        <v>0</v>
      </c>
      <c r="BD95" s="12">
        <v>0</v>
      </c>
      <c r="BE95" s="12">
        <v>0</v>
      </c>
      <c r="BF95" s="12">
        <v>0</v>
      </c>
      <c r="BG95" s="12">
        <v>0</v>
      </c>
      <c r="BH95" s="12">
        <v>0</v>
      </c>
      <c r="BI95" s="12">
        <v>0</v>
      </c>
      <c r="BJ95" s="12">
        <v>0</v>
      </c>
      <c r="BK95" s="12">
        <v>0</v>
      </c>
      <c r="BL95" s="12">
        <v>0</v>
      </c>
      <c r="BM95" s="12">
        <v>0</v>
      </c>
      <c r="BN95" s="12">
        <v>0</v>
      </c>
      <c r="BO95" s="12">
        <v>0</v>
      </c>
      <c r="BP95" s="12">
        <v>0</v>
      </c>
      <c r="BQ95" s="12">
        <v>0</v>
      </c>
      <c r="BR95" s="12">
        <v>0</v>
      </c>
      <c r="BS95" s="12">
        <v>0</v>
      </c>
      <c r="BT95" s="12">
        <v>0</v>
      </c>
      <c r="BU95" s="12">
        <v>0</v>
      </c>
      <c r="BV95" s="12">
        <v>0</v>
      </c>
      <c r="BW95" s="12">
        <v>0</v>
      </c>
      <c r="BX95" s="12">
        <v>0</v>
      </c>
      <c r="BY95" s="12">
        <v>0</v>
      </c>
    </row>
    <row r="96" spans="1:77" x14ac:dyDescent="0.25">
      <c r="A96" s="152" t="s">
        <v>1296</v>
      </c>
      <c r="B96" s="12" t="s">
        <v>1081</v>
      </c>
      <c r="C96" s="12">
        <v>0</v>
      </c>
      <c r="D96" s="152">
        <v>0</v>
      </c>
      <c r="E96" s="12">
        <v>0</v>
      </c>
      <c r="F96" s="12">
        <v>0</v>
      </c>
      <c r="G96" s="12">
        <v>0</v>
      </c>
      <c r="H96" s="12">
        <v>0</v>
      </c>
      <c r="I96" s="12">
        <v>0</v>
      </c>
      <c r="J96" s="12">
        <v>0</v>
      </c>
      <c r="K96" s="12">
        <v>0</v>
      </c>
      <c r="L96" s="12">
        <v>0</v>
      </c>
      <c r="M96" s="12">
        <v>0</v>
      </c>
      <c r="N96" s="12">
        <v>0</v>
      </c>
      <c r="O96" s="12">
        <v>0</v>
      </c>
      <c r="P96" s="12">
        <v>0</v>
      </c>
      <c r="Q96" s="12">
        <v>0</v>
      </c>
      <c r="R96" s="12">
        <v>0</v>
      </c>
      <c r="S96" s="12">
        <v>0</v>
      </c>
      <c r="T96" s="12">
        <v>0</v>
      </c>
      <c r="U96" s="12">
        <v>0</v>
      </c>
      <c r="V96" s="12">
        <v>0</v>
      </c>
      <c r="W96" s="12">
        <v>0</v>
      </c>
      <c r="X96" s="12">
        <v>0</v>
      </c>
      <c r="Y96" s="12">
        <v>0</v>
      </c>
      <c r="Z96" s="12">
        <v>0</v>
      </c>
      <c r="AA96" s="12">
        <v>0</v>
      </c>
      <c r="AB96" s="12">
        <v>0</v>
      </c>
      <c r="AC96" s="12">
        <v>0</v>
      </c>
      <c r="AD96" s="12">
        <v>0</v>
      </c>
      <c r="AE96" s="12">
        <v>0</v>
      </c>
      <c r="AF96" s="12">
        <v>0</v>
      </c>
      <c r="AG96" s="12">
        <v>0</v>
      </c>
      <c r="AH96" s="12">
        <v>0</v>
      </c>
      <c r="AI96" s="12">
        <v>0</v>
      </c>
      <c r="AJ96" s="12">
        <v>0</v>
      </c>
      <c r="AK96" s="12">
        <v>0</v>
      </c>
      <c r="AL96" s="12">
        <v>0</v>
      </c>
      <c r="AM96" s="12">
        <v>0</v>
      </c>
      <c r="AN96" s="12">
        <v>0</v>
      </c>
      <c r="AO96" s="12">
        <v>0</v>
      </c>
      <c r="AP96" s="12">
        <v>0</v>
      </c>
      <c r="AQ96" s="12">
        <v>0</v>
      </c>
      <c r="AR96" s="12">
        <v>0</v>
      </c>
      <c r="AS96" s="12">
        <v>0</v>
      </c>
      <c r="AT96" s="12">
        <v>0</v>
      </c>
      <c r="AU96" s="12">
        <v>0</v>
      </c>
      <c r="AV96" s="12">
        <v>0</v>
      </c>
      <c r="AW96" s="12">
        <v>0</v>
      </c>
      <c r="AX96" s="12">
        <v>0</v>
      </c>
      <c r="AY96" s="12">
        <v>0</v>
      </c>
      <c r="AZ96" s="12">
        <v>0</v>
      </c>
      <c r="BA96" s="12">
        <v>0</v>
      </c>
      <c r="BB96" s="12">
        <v>0</v>
      </c>
      <c r="BC96" s="12">
        <v>0</v>
      </c>
      <c r="BD96" s="12">
        <v>0</v>
      </c>
      <c r="BE96" s="12">
        <v>0</v>
      </c>
      <c r="BF96" s="12">
        <v>0</v>
      </c>
      <c r="BG96" s="12">
        <v>0</v>
      </c>
      <c r="BH96" s="12">
        <v>0</v>
      </c>
      <c r="BI96" s="12">
        <v>0</v>
      </c>
      <c r="BJ96" s="12">
        <v>0</v>
      </c>
      <c r="BK96" s="12">
        <v>0</v>
      </c>
      <c r="BL96" s="12">
        <v>0</v>
      </c>
      <c r="BM96" s="12">
        <v>0</v>
      </c>
      <c r="BN96" s="12">
        <v>0</v>
      </c>
      <c r="BO96" s="12">
        <v>0</v>
      </c>
      <c r="BP96" s="12">
        <v>0</v>
      </c>
      <c r="BQ96" s="12">
        <v>0</v>
      </c>
      <c r="BR96" s="12">
        <v>0</v>
      </c>
      <c r="BS96" s="12">
        <v>0</v>
      </c>
      <c r="BT96" s="12">
        <v>0</v>
      </c>
      <c r="BU96" s="12">
        <v>0</v>
      </c>
      <c r="BV96" s="12">
        <v>0</v>
      </c>
      <c r="BW96" s="12">
        <v>0</v>
      </c>
      <c r="BX96" s="12">
        <v>0</v>
      </c>
      <c r="BY96" s="12">
        <v>0</v>
      </c>
    </row>
    <row r="97" spans="1:77" x14ac:dyDescent="0.25">
      <c r="A97" s="152" t="s">
        <v>1297</v>
      </c>
      <c r="B97" s="103" t="s">
        <v>1080</v>
      </c>
      <c r="C97" s="12">
        <v>0</v>
      </c>
      <c r="D97" s="152">
        <v>0</v>
      </c>
      <c r="E97" s="12">
        <v>0</v>
      </c>
      <c r="F97" s="12">
        <v>0</v>
      </c>
      <c r="G97" s="12">
        <v>0</v>
      </c>
      <c r="H97" s="12">
        <v>0</v>
      </c>
      <c r="I97" s="12">
        <v>0</v>
      </c>
      <c r="J97" s="12">
        <v>0</v>
      </c>
      <c r="K97" s="12">
        <v>0</v>
      </c>
      <c r="L97" s="12">
        <v>0</v>
      </c>
      <c r="M97" s="12">
        <v>0</v>
      </c>
      <c r="N97" s="12">
        <v>0</v>
      </c>
      <c r="O97" s="12">
        <v>0</v>
      </c>
      <c r="P97" s="12">
        <v>0</v>
      </c>
      <c r="Q97" s="12">
        <v>0</v>
      </c>
      <c r="R97" s="12">
        <v>0</v>
      </c>
      <c r="S97" s="12">
        <v>0</v>
      </c>
      <c r="T97" s="12">
        <v>0</v>
      </c>
      <c r="U97" s="12">
        <v>0</v>
      </c>
      <c r="V97" s="12">
        <v>0</v>
      </c>
      <c r="W97" s="12">
        <v>0</v>
      </c>
      <c r="X97" s="12">
        <v>0</v>
      </c>
      <c r="Y97" s="12">
        <v>0</v>
      </c>
      <c r="Z97" s="12">
        <v>0</v>
      </c>
      <c r="AA97" s="12">
        <v>0</v>
      </c>
      <c r="AB97" s="12">
        <v>0</v>
      </c>
      <c r="AC97" s="12">
        <v>0</v>
      </c>
      <c r="AD97" s="12">
        <v>0</v>
      </c>
      <c r="AE97" s="12">
        <v>0</v>
      </c>
      <c r="AF97" s="12">
        <v>0</v>
      </c>
      <c r="AG97" s="12">
        <v>0</v>
      </c>
      <c r="AH97" s="12">
        <v>0</v>
      </c>
      <c r="AI97" s="12">
        <v>0</v>
      </c>
      <c r="AJ97" s="12">
        <v>0</v>
      </c>
      <c r="AK97" s="12">
        <v>0</v>
      </c>
      <c r="AL97" s="12">
        <v>0</v>
      </c>
      <c r="AM97" s="12">
        <v>0</v>
      </c>
      <c r="AN97" s="12">
        <v>0</v>
      </c>
      <c r="AO97" s="12">
        <v>0</v>
      </c>
      <c r="AP97" s="12">
        <v>0</v>
      </c>
      <c r="AQ97" s="12">
        <v>0</v>
      </c>
      <c r="AR97" s="12">
        <v>0</v>
      </c>
      <c r="AS97" s="12">
        <v>0</v>
      </c>
      <c r="AT97" s="12">
        <v>0</v>
      </c>
      <c r="AU97" s="12">
        <v>0</v>
      </c>
      <c r="AV97" s="12">
        <v>0</v>
      </c>
      <c r="AW97" s="12">
        <v>0</v>
      </c>
      <c r="AX97" s="12">
        <v>0</v>
      </c>
      <c r="AY97" s="12">
        <v>0</v>
      </c>
      <c r="AZ97" s="12">
        <v>0</v>
      </c>
      <c r="BA97" s="12">
        <v>0</v>
      </c>
      <c r="BB97" s="12">
        <v>0</v>
      </c>
      <c r="BC97" s="12">
        <v>0</v>
      </c>
      <c r="BD97" s="12">
        <v>0</v>
      </c>
      <c r="BE97" s="12">
        <v>0</v>
      </c>
      <c r="BF97" s="12">
        <v>0</v>
      </c>
      <c r="BG97" s="12">
        <v>0</v>
      </c>
      <c r="BH97" s="12">
        <v>0</v>
      </c>
      <c r="BI97" s="12">
        <v>0</v>
      </c>
      <c r="BJ97" s="12">
        <v>0</v>
      </c>
      <c r="BK97" s="12">
        <v>0</v>
      </c>
      <c r="BL97" s="12">
        <v>0</v>
      </c>
      <c r="BM97" s="12">
        <v>0</v>
      </c>
      <c r="BN97" s="12">
        <v>0</v>
      </c>
      <c r="BO97" s="12">
        <v>0</v>
      </c>
      <c r="BP97" s="12">
        <v>0</v>
      </c>
      <c r="BQ97" s="12">
        <v>0</v>
      </c>
      <c r="BR97" s="12">
        <v>0</v>
      </c>
      <c r="BS97" s="12">
        <v>0</v>
      </c>
      <c r="BT97" s="12">
        <v>0</v>
      </c>
      <c r="BU97" s="12">
        <v>0</v>
      </c>
      <c r="BV97" s="12">
        <v>0</v>
      </c>
      <c r="BW97" s="12">
        <v>0</v>
      </c>
      <c r="BX97" s="12">
        <v>0</v>
      </c>
      <c r="BY97" s="12">
        <v>0</v>
      </c>
    </row>
    <row r="98" spans="1:77" x14ac:dyDescent="0.25">
      <c r="A98" s="152" t="s">
        <v>1583</v>
      </c>
      <c r="B98" s="103" t="s">
        <v>1584</v>
      </c>
      <c r="C98" s="12">
        <v>0</v>
      </c>
      <c r="D98" s="152">
        <v>0</v>
      </c>
      <c r="E98" s="12">
        <v>0</v>
      </c>
      <c r="F98" s="12">
        <v>0</v>
      </c>
      <c r="G98" s="12">
        <v>0</v>
      </c>
      <c r="H98" s="12">
        <v>0</v>
      </c>
      <c r="I98" s="12">
        <v>0</v>
      </c>
      <c r="J98" s="12">
        <v>0</v>
      </c>
      <c r="K98" s="12">
        <v>0</v>
      </c>
      <c r="L98" s="12">
        <v>0</v>
      </c>
      <c r="M98" s="12">
        <v>0</v>
      </c>
      <c r="N98" s="12">
        <v>0</v>
      </c>
      <c r="O98" s="12">
        <v>0</v>
      </c>
      <c r="P98" s="12">
        <v>0</v>
      </c>
      <c r="Q98" s="12">
        <v>0</v>
      </c>
      <c r="R98" s="12">
        <v>0</v>
      </c>
      <c r="S98" s="12">
        <v>0</v>
      </c>
      <c r="T98" s="12">
        <v>0</v>
      </c>
      <c r="U98" s="12">
        <v>0</v>
      </c>
      <c r="V98" s="12">
        <v>0</v>
      </c>
      <c r="W98" s="12">
        <v>0</v>
      </c>
      <c r="X98" s="12">
        <v>0</v>
      </c>
      <c r="Y98" s="12">
        <v>0</v>
      </c>
      <c r="Z98" s="12">
        <v>0</v>
      </c>
      <c r="AA98" s="12">
        <v>0</v>
      </c>
      <c r="AB98" s="12">
        <v>0</v>
      </c>
      <c r="AC98" s="12">
        <v>0</v>
      </c>
      <c r="AD98" s="12">
        <v>0</v>
      </c>
      <c r="AE98" s="12">
        <v>0</v>
      </c>
      <c r="AF98" s="12">
        <v>0</v>
      </c>
      <c r="AG98" s="12">
        <v>0</v>
      </c>
      <c r="AH98" s="12">
        <v>0</v>
      </c>
      <c r="AI98" s="12">
        <v>0</v>
      </c>
      <c r="AJ98" s="12">
        <v>0</v>
      </c>
      <c r="AK98" s="12">
        <v>0</v>
      </c>
      <c r="AL98" s="12">
        <v>0</v>
      </c>
      <c r="AM98" s="12">
        <v>0</v>
      </c>
      <c r="AN98" s="12">
        <v>0</v>
      </c>
      <c r="AO98" s="12">
        <v>0</v>
      </c>
      <c r="AP98" s="12">
        <v>0</v>
      </c>
      <c r="AQ98" s="12">
        <v>0</v>
      </c>
      <c r="AR98" s="12">
        <v>0</v>
      </c>
      <c r="AS98" s="12">
        <v>0</v>
      </c>
      <c r="AT98" s="12">
        <v>0</v>
      </c>
      <c r="AU98" s="12">
        <v>0</v>
      </c>
      <c r="AV98" s="12">
        <v>0</v>
      </c>
      <c r="AW98" s="12">
        <v>0</v>
      </c>
      <c r="AX98" s="12">
        <v>0</v>
      </c>
      <c r="AY98" s="12">
        <v>0</v>
      </c>
      <c r="AZ98" s="12">
        <v>0</v>
      </c>
      <c r="BA98" s="12">
        <v>0</v>
      </c>
      <c r="BB98" s="12">
        <v>0</v>
      </c>
      <c r="BC98" s="12">
        <v>0</v>
      </c>
      <c r="BD98" s="12">
        <v>0</v>
      </c>
      <c r="BE98" s="12">
        <v>0</v>
      </c>
      <c r="BF98" s="12">
        <v>0</v>
      </c>
      <c r="BG98" s="12">
        <v>0</v>
      </c>
      <c r="BH98" s="12">
        <v>0</v>
      </c>
      <c r="BI98" s="12">
        <v>0</v>
      </c>
      <c r="BJ98" s="12">
        <v>0</v>
      </c>
      <c r="BK98" s="12">
        <v>0</v>
      </c>
      <c r="BL98" s="12">
        <v>0</v>
      </c>
      <c r="BM98" s="12">
        <v>0</v>
      </c>
      <c r="BN98" s="12">
        <v>0</v>
      </c>
      <c r="BO98" s="12">
        <v>0</v>
      </c>
      <c r="BP98" s="12">
        <v>0</v>
      </c>
      <c r="BQ98" s="12">
        <v>0</v>
      </c>
      <c r="BR98" s="12">
        <v>0</v>
      </c>
      <c r="BS98" s="12">
        <v>0</v>
      </c>
      <c r="BT98" s="12">
        <v>0</v>
      </c>
      <c r="BU98" s="12">
        <v>0</v>
      </c>
      <c r="BV98" s="12">
        <v>0</v>
      </c>
      <c r="BW98" s="12">
        <v>0</v>
      </c>
      <c r="BX98" s="12">
        <v>0</v>
      </c>
      <c r="BY98" s="12">
        <v>0</v>
      </c>
    </row>
    <row r="99" spans="1:77" x14ac:dyDescent="0.25">
      <c r="A99" s="152" t="s">
        <v>1298</v>
      </c>
      <c r="B99" s="12" t="s">
        <v>772</v>
      </c>
      <c r="C99" s="12">
        <v>0</v>
      </c>
      <c r="D99" s="152">
        <v>0</v>
      </c>
      <c r="E99" s="12">
        <v>0</v>
      </c>
      <c r="F99" s="12">
        <v>0</v>
      </c>
      <c r="G99" s="12">
        <v>0</v>
      </c>
      <c r="H99" s="12">
        <v>0</v>
      </c>
      <c r="I99" s="12">
        <v>0</v>
      </c>
      <c r="J99" s="12">
        <v>0</v>
      </c>
      <c r="K99" s="12">
        <v>0</v>
      </c>
      <c r="L99" s="12">
        <v>0</v>
      </c>
      <c r="M99" s="12">
        <v>0</v>
      </c>
      <c r="N99" s="12">
        <v>0</v>
      </c>
      <c r="O99" s="12">
        <v>0</v>
      </c>
      <c r="P99" s="12">
        <v>0</v>
      </c>
      <c r="Q99" s="12">
        <v>0</v>
      </c>
      <c r="R99" s="12">
        <v>0</v>
      </c>
      <c r="S99" s="12">
        <v>0</v>
      </c>
      <c r="T99" s="12">
        <v>0</v>
      </c>
      <c r="U99" s="12">
        <v>0</v>
      </c>
      <c r="V99" s="12">
        <v>0</v>
      </c>
      <c r="W99" s="12">
        <v>0</v>
      </c>
      <c r="X99" s="12">
        <v>0</v>
      </c>
      <c r="Y99" s="12">
        <v>0</v>
      </c>
      <c r="Z99" s="12">
        <v>0</v>
      </c>
      <c r="AA99" s="12">
        <v>0</v>
      </c>
      <c r="AB99" s="12">
        <v>0</v>
      </c>
      <c r="AC99" s="12">
        <v>0</v>
      </c>
      <c r="AD99" s="12">
        <v>0</v>
      </c>
      <c r="AE99" s="12">
        <v>0</v>
      </c>
      <c r="AF99" s="12">
        <v>0</v>
      </c>
      <c r="AG99" s="12">
        <v>0</v>
      </c>
      <c r="AH99" s="12">
        <v>0</v>
      </c>
      <c r="AI99" s="12">
        <v>0</v>
      </c>
      <c r="AJ99" s="12">
        <v>0</v>
      </c>
      <c r="AK99" s="12">
        <v>0</v>
      </c>
      <c r="AL99" s="12">
        <v>0</v>
      </c>
      <c r="AM99" s="12">
        <v>0</v>
      </c>
      <c r="AN99" s="12">
        <v>0</v>
      </c>
      <c r="AO99" s="12">
        <v>0</v>
      </c>
      <c r="AP99" s="12">
        <v>0</v>
      </c>
      <c r="AQ99" s="12">
        <v>0</v>
      </c>
      <c r="AR99" s="12">
        <v>0</v>
      </c>
      <c r="AS99" s="12">
        <v>0</v>
      </c>
      <c r="AT99" s="12">
        <v>0</v>
      </c>
      <c r="AU99" s="12">
        <v>0</v>
      </c>
      <c r="AV99" s="12">
        <v>0</v>
      </c>
      <c r="AW99" s="12">
        <v>0</v>
      </c>
      <c r="AX99" s="12">
        <v>0</v>
      </c>
      <c r="AY99" s="12">
        <v>0</v>
      </c>
      <c r="AZ99" s="12">
        <v>0</v>
      </c>
      <c r="BA99" s="12">
        <v>0</v>
      </c>
      <c r="BB99" s="12">
        <v>0</v>
      </c>
      <c r="BC99" s="12">
        <v>0</v>
      </c>
      <c r="BD99" s="12">
        <v>0</v>
      </c>
      <c r="BE99" s="12">
        <v>0</v>
      </c>
      <c r="BF99" s="12">
        <v>0</v>
      </c>
      <c r="BG99" s="12">
        <v>0</v>
      </c>
      <c r="BH99" s="12">
        <v>0</v>
      </c>
      <c r="BI99" s="12">
        <v>0</v>
      </c>
      <c r="BJ99" s="12">
        <v>0</v>
      </c>
      <c r="BK99" s="12">
        <v>0</v>
      </c>
      <c r="BL99" s="12">
        <v>0</v>
      </c>
      <c r="BM99" s="12">
        <v>0</v>
      </c>
      <c r="BN99" s="12">
        <v>0</v>
      </c>
      <c r="BO99" s="12">
        <v>0</v>
      </c>
      <c r="BP99" s="12">
        <v>0</v>
      </c>
      <c r="BQ99" s="12">
        <v>0</v>
      </c>
      <c r="BR99" s="12">
        <v>0</v>
      </c>
      <c r="BS99" s="12">
        <v>0</v>
      </c>
      <c r="BT99" s="12">
        <v>0</v>
      </c>
      <c r="BU99" s="12">
        <v>0</v>
      </c>
      <c r="BV99" s="12">
        <v>0</v>
      </c>
      <c r="BW99" s="12">
        <v>0</v>
      </c>
      <c r="BX99" s="12">
        <v>0</v>
      </c>
      <c r="BY99" s="12">
        <v>0</v>
      </c>
    </row>
    <row r="100" spans="1:77" x14ac:dyDescent="0.25">
      <c r="A100" s="152" t="s">
        <v>1299</v>
      </c>
      <c r="B100" s="12" t="s">
        <v>773</v>
      </c>
      <c r="C100" s="12">
        <v>0</v>
      </c>
      <c r="D100" s="152">
        <v>0</v>
      </c>
      <c r="E100" s="12">
        <v>0</v>
      </c>
      <c r="F100" s="12">
        <v>0</v>
      </c>
      <c r="G100" s="12">
        <v>0</v>
      </c>
      <c r="H100" s="12">
        <v>0</v>
      </c>
      <c r="I100" s="12">
        <v>0</v>
      </c>
      <c r="J100" s="12">
        <v>0</v>
      </c>
      <c r="K100" s="12">
        <v>0</v>
      </c>
      <c r="L100" s="12">
        <v>0</v>
      </c>
      <c r="M100" s="12">
        <v>0</v>
      </c>
      <c r="N100" s="12">
        <v>0</v>
      </c>
      <c r="O100" s="12">
        <v>0</v>
      </c>
      <c r="P100" s="12">
        <v>0</v>
      </c>
      <c r="Q100" s="12">
        <v>0</v>
      </c>
      <c r="R100" s="12">
        <v>0</v>
      </c>
      <c r="S100" s="12">
        <v>0</v>
      </c>
      <c r="T100" s="12">
        <v>0</v>
      </c>
      <c r="U100" s="12">
        <v>0</v>
      </c>
      <c r="V100" s="12">
        <v>0</v>
      </c>
      <c r="W100" s="12">
        <v>0</v>
      </c>
      <c r="X100" s="12">
        <v>0</v>
      </c>
      <c r="Y100" s="12">
        <v>0</v>
      </c>
      <c r="Z100" s="12">
        <v>0</v>
      </c>
      <c r="AA100" s="12">
        <v>0</v>
      </c>
      <c r="AB100" s="12">
        <v>0</v>
      </c>
      <c r="AC100" s="12">
        <v>0</v>
      </c>
      <c r="AD100" s="12">
        <v>0</v>
      </c>
      <c r="AE100" s="12">
        <v>0</v>
      </c>
      <c r="AF100" s="12">
        <v>0</v>
      </c>
      <c r="AG100" s="12">
        <v>0</v>
      </c>
      <c r="AH100" s="12">
        <v>0</v>
      </c>
      <c r="AI100" s="12">
        <v>0</v>
      </c>
      <c r="AJ100" s="12">
        <v>0</v>
      </c>
      <c r="AK100" s="12">
        <v>0</v>
      </c>
      <c r="AL100" s="12">
        <v>0</v>
      </c>
      <c r="AM100" s="12">
        <v>0</v>
      </c>
      <c r="AN100" s="12">
        <v>0</v>
      </c>
      <c r="AO100" s="12">
        <v>0</v>
      </c>
      <c r="AP100" s="12">
        <v>0</v>
      </c>
      <c r="AQ100" s="12">
        <v>0</v>
      </c>
      <c r="AR100" s="12">
        <v>0</v>
      </c>
      <c r="AS100" s="12">
        <v>0</v>
      </c>
      <c r="AT100" s="12">
        <v>0</v>
      </c>
      <c r="AU100" s="12">
        <v>0</v>
      </c>
      <c r="AV100" s="12">
        <v>0</v>
      </c>
      <c r="AW100" s="12">
        <v>0</v>
      </c>
      <c r="AX100" s="12">
        <v>0</v>
      </c>
      <c r="AY100" s="12">
        <v>0</v>
      </c>
      <c r="AZ100" s="12">
        <v>0</v>
      </c>
      <c r="BA100" s="12">
        <v>0</v>
      </c>
      <c r="BB100" s="12">
        <v>0</v>
      </c>
      <c r="BC100" s="12">
        <v>0</v>
      </c>
      <c r="BD100" s="12">
        <v>0</v>
      </c>
      <c r="BE100" s="12">
        <v>0</v>
      </c>
      <c r="BF100" s="12">
        <v>0</v>
      </c>
      <c r="BG100" s="12">
        <v>0</v>
      </c>
      <c r="BH100" s="12">
        <v>0</v>
      </c>
      <c r="BI100" s="12">
        <v>0</v>
      </c>
      <c r="BJ100" s="12">
        <v>0</v>
      </c>
      <c r="BK100" s="12">
        <v>0</v>
      </c>
      <c r="BL100" s="12">
        <v>0</v>
      </c>
      <c r="BM100" s="12">
        <v>0</v>
      </c>
      <c r="BN100" s="12">
        <v>0</v>
      </c>
      <c r="BO100" s="12">
        <v>0</v>
      </c>
      <c r="BP100" s="12">
        <v>0</v>
      </c>
      <c r="BQ100" s="12">
        <v>0</v>
      </c>
      <c r="BR100" s="12">
        <v>0</v>
      </c>
      <c r="BS100" s="12">
        <v>0</v>
      </c>
      <c r="BT100" s="12">
        <v>0</v>
      </c>
      <c r="BU100" s="12">
        <v>0</v>
      </c>
      <c r="BV100" s="12">
        <v>0</v>
      </c>
      <c r="BW100" s="12">
        <v>0</v>
      </c>
      <c r="BX100" s="12">
        <v>0</v>
      </c>
      <c r="BY100" s="12">
        <v>0</v>
      </c>
    </row>
    <row r="101" spans="1:77" x14ac:dyDescent="0.25">
      <c r="A101" s="152" t="s">
        <v>1300</v>
      </c>
      <c r="B101" s="12" t="s">
        <v>774</v>
      </c>
      <c r="C101" s="12">
        <v>0</v>
      </c>
      <c r="D101" s="152">
        <v>0</v>
      </c>
      <c r="E101" s="12">
        <v>0</v>
      </c>
      <c r="F101" s="12">
        <v>0</v>
      </c>
      <c r="G101" s="12">
        <v>0</v>
      </c>
      <c r="H101" s="12">
        <v>0</v>
      </c>
      <c r="I101" s="12">
        <v>0</v>
      </c>
      <c r="J101" s="12">
        <v>0</v>
      </c>
      <c r="K101" s="12">
        <v>0</v>
      </c>
      <c r="L101" s="12">
        <v>0</v>
      </c>
      <c r="M101" s="12">
        <v>0</v>
      </c>
      <c r="N101" s="12">
        <v>0</v>
      </c>
      <c r="O101" s="12">
        <v>0</v>
      </c>
      <c r="P101" s="12">
        <v>0</v>
      </c>
      <c r="Q101" s="12">
        <v>0</v>
      </c>
      <c r="R101" s="12">
        <v>0</v>
      </c>
      <c r="S101" s="12">
        <v>0</v>
      </c>
      <c r="T101" s="12">
        <v>0</v>
      </c>
      <c r="U101" s="12">
        <v>0</v>
      </c>
      <c r="V101" s="12">
        <v>0</v>
      </c>
      <c r="W101" s="12">
        <v>0</v>
      </c>
      <c r="X101" s="12">
        <v>0</v>
      </c>
      <c r="Y101" s="12">
        <v>0</v>
      </c>
      <c r="Z101" s="12">
        <v>0</v>
      </c>
      <c r="AA101" s="12">
        <v>0</v>
      </c>
      <c r="AB101" s="12">
        <v>0</v>
      </c>
      <c r="AC101" s="12">
        <v>0</v>
      </c>
      <c r="AD101" s="12">
        <v>0</v>
      </c>
      <c r="AE101" s="12">
        <v>0</v>
      </c>
      <c r="AF101" s="12">
        <v>0</v>
      </c>
      <c r="AG101" s="12">
        <v>0</v>
      </c>
      <c r="AH101" s="12">
        <v>0</v>
      </c>
      <c r="AI101" s="12">
        <v>0</v>
      </c>
      <c r="AJ101" s="12">
        <v>0</v>
      </c>
      <c r="AK101" s="12">
        <v>0</v>
      </c>
      <c r="AL101" s="12">
        <v>0</v>
      </c>
      <c r="AM101" s="12">
        <v>0</v>
      </c>
      <c r="AN101" s="12">
        <v>0</v>
      </c>
      <c r="AO101" s="12">
        <v>0</v>
      </c>
      <c r="AP101" s="12">
        <v>0</v>
      </c>
      <c r="AQ101" s="12">
        <v>0</v>
      </c>
      <c r="AR101" s="12">
        <v>0</v>
      </c>
      <c r="AS101" s="12">
        <v>0</v>
      </c>
      <c r="AT101" s="12">
        <v>0</v>
      </c>
      <c r="AU101" s="12">
        <v>0</v>
      </c>
      <c r="AV101" s="12">
        <v>0</v>
      </c>
      <c r="AW101" s="12">
        <v>0</v>
      </c>
      <c r="AX101" s="12">
        <v>0</v>
      </c>
      <c r="AY101" s="12">
        <v>0</v>
      </c>
      <c r="AZ101" s="12">
        <v>0</v>
      </c>
      <c r="BA101" s="12">
        <v>0</v>
      </c>
      <c r="BB101" s="12">
        <v>0</v>
      </c>
      <c r="BC101" s="12">
        <v>0</v>
      </c>
      <c r="BD101" s="12">
        <v>0</v>
      </c>
      <c r="BE101" s="12">
        <v>0</v>
      </c>
      <c r="BF101" s="12">
        <v>0</v>
      </c>
      <c r="BG101" s="12">
        <v>0</v>
      </c>
      <c r="BH101" s="12">
        <v>0</v>
      </c>
      <c r="BI101" s="12">
        <v>0</v>
      </c>
      <c r="BJ101" s="12">
        <v>0</v>
      </c>
      <c r="BK101" s="12">
        <v>0</v>
      </c>
      <c r="BL101" s="12">
        <v>0</v>
      </c>
      <c r="BM101" s="12">
        <v>0</v>
      </c>
      <c r="BN101" s="12">
        <v>0</v>
      </c>
      <c r="BO101" s="12">
        <v>0</v>
      </c>
      <c r="BP101" s="12">
        <v>0</v>
      </c>
      <c r="BQ101" s="12">
        <v>0</v>
      </c>
      <c r="BR101" s="12">
        <v>0</v>
      </c>
      <c r="BS101" s="12">
        <v>0</v>
      </c>
      <c r="BT101" s="12">
        <v>0</v>
      </c>
      <c r="BU101" s="12">
        <v>0</v>
      </c>
      <c r="BV101" s="12">
        <v>0</v>
      </c>
      <c r="BW101" s="12">
        <v>0</v>
      </c>
      <c r="BX101" s="12">
        <v>0</v>
      </c>
      <c r="BY101" s="12">
        <v>0</v>
      </c>
    </row>
    <row r="102" spans="1:77" x14ac:dyDescent="0.25">
      <c r="A102" s="152" t="s">
        <v>1301</v>
      </c>
      <c r="B102" s="12" t="s">
        <v>775</v>
      </c>
      <c r="C102" s="12">
        <v>0</v>
      </c>
      <c r="D102" s="152">
        <v>0</v>
      </c>
      <c r="E102" s="12">
        <v>0</v>
      </c>
      <c r="F102" s="12">
        <v>0</v>
      </c>
      <c r="G102" s="12">
        <v>0</v>
      </c>
      <c r="H102" s="12">
        <v>0</v>
      </c>
      <c r="I102" s="12">
        <v>0</v>
      </c>
      <c r="J102" s="12">
        <v>0</v>
      </c>
      <c r="K102" s="12">
        <v>0</v>
      </c>
      <c r="L102" s="12">
        <v>0</v>
      </c>
      <c r="M102" s="12">
        <v>0</v>
      </c>
      <c r="N102" s="12">
        <v>0</v>
      </c>
      <c r="O102" s="12">
        <v>0</v>
      </c>
      <c r="P102" s="12">
        <v>0</v>
      </c>
      <c r="Q102" s="12">
        <v>0</v>
      </c>
      <c r="R102" s="12">
        <v>0</v>
      </c>
      <c r="S102" s="12">
        <v>0</v>
      </c>
      <c r="T102" s="12">
        <v>0</v>
      </c>
      <c r="U102" s="12">
        <v>0</v>
      </c>
      <c r="V102" s="12">
        <v>0</v>
      </c>
      <c r="W102" s="12">
        <v>0</v>
      </c>
      <c r="X102" s="12">
        <v>0</v>
      </c>
      <c r="Y102" s="12">
        <v>0</v>
      </c>
      <c r="Z102" s="12">
        <v>0</v>
      </c>
      <c r="AA102" s="12">
        <v>0</v>
      </c>
      <c r="AB102" s="12">
        <v>0</v>
      </c>
      <c r="AC102" s="12">
        <v>0</v>
      </c>
      <c r="AD102" s="12">
        <v>0</v>
      </c>
      <c r="AE102" s="12">
        <v>0</v>
      </c>
      <c r="AF102" s="12">
        <v>0</v>
      </c>
      <c r="AG102" s="12">
        <v>0</v>
      </c>
      <c r="AH102" s="12">
        <v>0</v>
      </c>
      <c r="AI102" s="12">
        <v>0</v>
      </c>
      <c r="AJ102" s="12">
        <v>0</v>
      </c>
      <c r="AK102" s="12">
        <v>0</v>
      </c>
      <c r="AL102" s="12">
        <v>0</v>
      </c>
      <c r="AM102" s="12">
        <v>0</v>
      </c>
      <c r="AN102" s="12">
        <v>0</v>
      </c>
      <c r="AO102" s="12">
        <v>0</v>
      </c>
      <c r="AP102" s="12">
        <v>0</v>
      </c>
      <c r="AQ102" s="12">
        <v>0</v>
      </c>
      <c r="AR102" s="12">
        <v>0</v>
      </c>
      <c r="AS102" s="12">
        <v>0</v>
      </c>
      <c r="AT102" s="12">
        <v>0</v>
      </c>
      <c r="AU102" s="12">
        <v>0</v>
      </c>
      <c r="AV102" s="12">
        <v>0</v>
      </c>
      <c r="AW102" s="12">
        <v>0</v>
      </c>
      <c r="AX102" s="12">
        <v>0</v>
      </c>
      <c r="AY102" s="12">
        <v>0</v>
      </c>
      <c r="AZ102" s="12">
        <v>0</v>
      </c>
      <c r="BA102" s="12">
        <v>0</v>
      </c>
      <c r="BB102" s="12">
        <v>0</v>
      </c>
      <c r="BC102" s="12">
        <v>0</v>
      </c>
      <c r="BD102" s="12">
        <v>0</v>
      </c>
      <c r="BE102" s="12">
        <v>0</v>
      </c>
      <c r="BF102" s="12">
        <v>0</v>
      </c>
      <c r="BG102" s="12">
        <v>0</v>
      </c>
      <c r="BH102" s="12">
        <v>0</v>
      </c>
      <c r="BI102" s="12">
        <v>0</v>
      </c>
      <c r="BJ102" s="12">
        <v>0</v>
      </c>
      <c r="BK102" s="12">
        <v>0</v>
      </c>
      <c r="BL102" s="12">
        <v>0</v>
      </c>
      <c r="BM102" s="12">
        <v>0</v>
      </c>
      <c r="BN102" s="12">
        <v>0</v>
      </c>
      <c r="BO102" s="12">
        <v>0</v>
      </c>
      <c r="BP102" s="12">
        <v>0</v>
      </c>
      <c r="BQ102" s="12">
        <v>0</v>
      </c>
      <c r="BR102" s="12">
        <v>0</v>
      </c>
      <c r="BS102" s="12">
        <v>0</v>
      </c>
      <c r="BT102" s="12">
        <v>0</v>
      </c>
      <c r="BU102" s="12">
        <v>0</v>
      </c>
      <c r="BV102" s="12">
        <v>0</v>
      </c>
      <c r="BW102" s="12">
        <v>0</v>
      </c>
      <c r="BX102" s="12">
        <v>0</v>
      </c>
      <c r="BY102" s="12">
        <v>0</v>
      </c>
    </row>
    <row r="103" spans="1:77" x14ac:dyDescent="0.25">
      <c r="A103" s="152" t="s">
        <v>1302</v>
      </c>
      <c r="B103" s="12" t="s">
        <v>1031</v>
      </c>
      <c r="C103" s="12">
        <v>0</v>
      </c>
      <c r="D103" s="152">
        <v>0</v>
      </c>
      <c r="E103" s="12">
        <v>0</v>
      </c>
      <c r="F103" s="12">
        <v>0</v>
      </c>
      <c r="G103" s="12">
        <v>0</v>
      </c>
      <c r="H103" s="12">
        <v>0</v>
      </c>
      <c r="I103" s="12">
        <v>0</v>
      </c>
      <c r="J103" s="12">
        <v>0</v>
      </c>
      <c r="K103" s="12">
        <v>0</v>
      </c>
      <c r="L103" s="12">
        <v>0</v>
      </c>
      <c r="M103" s="12">
        <v>0</v>
      </c>
      <c r="N103" s="12">
        <v>0</v>
      </c>
      <c r="O103" s="12">
        <v>0</v>
      </c>
      <c r="P103" s="12">
        <v>0</v>
      </c>
      <c r="Q103" s="12">
        <v>0</v>
      </c>
      <c r="R103" s="12">
        <v>0</v>
      </c>
      <c r="S103" s="12">
        <v>0</v>
      </c>
      <c r="T103" s="12">
        <v>0</v>
      </c>
      <c r="U103" s="12">
        <v>0</v>
      </c>
      <c r="V103" s="12">
        <v>0</v>
      </c>
      <c r="W103" s="12">
        <v>0</v>
      </c>
      <c r="X103" s="12">
        <v>0</v>
      </c>
      <c r="Y103" s="12">
        <v>0</v>
      </c>
      <c r="Z103" s="12">
        <v>0</v>
      </c>
      <c r="AA103" s="12">
        <v>0</v>
      </c>
      <c r="AB103" s="12">
        <v>0</v>
      </c>
      <c r="AC103" s="12">
        <v>0</v>
      </c>
      <c r="AD103" s="12">
        <v>0</v>
      </c>
      <c r="AE103" s="12">
        <v>0</v>
      </c>
      <c r="AF103" s="12">
        <v>0</v>
      </c>
      <c r="AG103" s="12">
        <v>0</v>
      </c>
      <c r="AH103" s="12">
        <v>0</v>
      </c>
      <c r="AI103" s="12">
        <v>0</v>
      </c>
      <c r="AJ103" s="12">
        <v>0</v>
      </c>
      <c r="AK103" s="12">
        <v>0</v>
      </c>
      <c r="AL103" s="12">
        <v>0</v>
      </c>
      <c r="AM103" s="12">
        <v>0</v>
      </c>
      <c r="AN103" s="12">
        <v>0</v>
      </c>
      <c r="AO103" s="12">
        <v>0</v>
      </c>
      <c r="AP103" s="12">
        <v>0</v>
      </c>
      <c r="AQ103" s="12">
        <v>0</v>
      </c>
      <c r="AR103" s="12">
        <v>0</v>
      </c>
      <c r="AS103" s="12">
        <v>0</v>
      </c>
      <c r="AT103" s="12">
        <v>0</v>
      </c>
      <c r="AU103" s="12">
        <v>0</v>
      </c>
      <c r="AV103" s="12">
        <v>0</v>
      </c>
      <c r="AW103" s="12">
        <v>0</v>
      </c>
      <c r="AX103" s="12">
        <v>0</v>
      </c>
      <c r="AY103" s="12">
        <v>0</v>
      </c>
      <c r="AZ103" s="12">
        <v>0</v>
      </c>
      <c r="BA103" s="12">
        <v>0</v>
      </c>
      <c r="BB103" s="12">
        <v>0</v>
      </c>
      <c r="BC103" s="12">
        <v>0</v>
      </c>
      <c r="BD103" s="12">
        <v>0</v>
      </c>
      <c r="BE103" s="12">
        <v>0</v>
      </c>
      <c r="BF103" s="12">
        <v>0</v>
      </c>
      <c r="BG103" s="12">
        <v>0</v>
      </c>
      <c r="BH103" s="12">
        <v>0</v>
      </c>
      <c r="BI103" s="12">
        <v>0</v>
      </c>
      <c r="BJ103" s="12">
        <v>0</v>
      </c>
      <c r="BK103" s="12">
        <v>0</v>
      </c>
      <c r="BL103" s="12">
        <v>0</v>
      </c>
      <c r="BM103" s="12">
        <v>0</v>
      </c>
      <c r="BN103" s="12">
        <v>0</v>
      </c>
      <c r="BO103" s="12">
        <v>0</v>
      </c>
      <c r="BP103" s="12">
        <v>0</v>
      </c>
      <c r="BQ103" s="12">
        <v>0</v>
      </c>
      <c r="BR103" s="12">
        <v>0</v>
      </c>
      <c r="BS103" s="12">
        <v>0</v>
      </c>
      <c r="BT103" s="12">
        <v>0</v>
      </c>
      <c r="BU103" s="12">
        <v>0</v>
      </c>
      <c r="BV103" s="12">
        <v>0</v>
      </c>
      <c r="BW103" s="12">
        <v>0</v>
      </c>
      <c r="BX103" s="12">
        <v>0</v>
      </c>
      <c r="BY103" s="12">
        <v>0</v>
      </c>
    </row>
    <row r="104" spans="1:77" x14ac:dyDescent="0.25">
      <c r="A104" s="152" t="s">
        <v>1303</v>
      </c>
      <c r="B104" s="12" t="s">
        <v>776</v>
      </c>
      <c r="C104" s="12">
        <v>0</v>
      </c>
      <c r="D104" s="152">
        <v>0</v>
      </c>
      <c r="E104" s="12">
        <v>0</v>
      </c>
      <c r="F104" s="12">
        <v>0</v>
      </c>
      <c r="G104" s="12">
        <v>0</v>
      </c>
      <c r="H104" s="12">
        <v>0</v>
      </c>
      <c r="I104" s="12">
        <v>0</v>
      </c>
      <c r="J104" s="12">
        <v>0</v>
      </c>
      <c r="K104" s="12">
        <v>0</v>
      </c>
      <c r="L104" s="12">
        <v>0</v>
      </c>
      <c r="M104" s="12">
        <v>0</v>
      </c>
      <c r="N104" s="12">
        <v>0</v>
      </c>
      <c r="O104" s="12">
        <v>0</v>
      </c>
      <c r="P104" s="12">
        <v>0</v>
      </c>
      <c r="Q104" s="12">
        <v>0</v>
      </c>
      <c r="R104" s="12">
        <v>0</v>
      </c>
      <c r="S104" s="12">
        <v>0</v>
      </c>
      <c r="T104" s="12">
        <v>0</v>
      </c>
      <c r="U104" s="12">
        <v>0</v>
      </c>
      <c r="V104" s="12">
        <v>0</v>
      </c>
      <c r="W104" s="12">
        <v>0</v>
      </c>
      <c r="X104" s="12">
        <v>0</v>
      </c>
      <c r="Y104" s="12">
        <v>0</v>
      </c>
      <c r="Z104" s="12">
        <v>0</v>
      </c>
      <c r="AA104" s="12">
        <v>0</v>
      </c>
      <c r="AB104" s="12">
        <v>0</v>
      </c>
      <c r="AC104" s="12">
        <v>0</v>
      </c>
      <c r="AD104" s="12">
        <v>0</v>
      </c>
      <c r="AE104" s="12">
        <v>0</v>
      </c>
      <c r="AF104" s="12">
        <v>0</v>
      </c>
      <c r="AG104" s="12">
        <v>0</v>
      </c>
      <c r="AH104" s="12">
        <v>0</v>
      </c>
      <c r="AI104" s="12">
        <v>0</v>
      </c>
      <c r="AJ104" s="12">
        <v>0</v>
      </c>
      <c r="AK104" s="12">
        <v>0</v>
      </c>
      <c r="AL104" s="12">
        <v>0</v>
      </c>
      <c r="AM104" s="12">
        <v>0</v>
      </c>
      <c r="AN104" s="12">
        <v>0</v>
      </c>
      <c r="AO104" s="12">
        <v>0</v>
      </c>
      <c r="AP104" s="12">
        <v>0</v>
      </c>
      <c r="AQ104" s="12">
        <v>0</v>
      </c>
      <c r="AR104" s="12">
        <v>0</v>
      </c>
      <c r="AS104" s="12">
        <v>0</v>
      </c>
      <c r="AT104" s="12">
        <v>0</v>
      </c>
      <c r="AU104" s="12">
        <v>0</v>
      </c>
      <c r="AV104" s="12">
        <v>0</v>
      </c>
      <c r="AW104" s="12">
        <v>0</v>
      </c>
      <c r="AX104" s="12">
        <v>0</v>
      </c>
      <c r="AY104" s="12">
        <v>0</v>
      </c>
      <c r="AZ104" s="12">
        <v>0</v>
      </c>
      <c r="BA104" s="12">
        <v>0</v>
      </c>
      <c r="BB104" s="12">
        <v>0</v>
      </c>
      <c r="BC104" s="12">
        <v>0</v>
      </c>
      <c r="BD104" s="12">
        <v>0</v>
      </c>
      <c r="BE104" s="12">
        <v>0</v>
      </c>
      <c r="BF104" s="12">
        <v>0</v>
      </c>
      <c r="BG104" s="12">
        <v>0</v>
      </c>
      <c r="BH104" s="12">
        <v>0</v>
      </c>
      <c r="BI104" s="12">
        <v>0</v>
      </c>
      <c r="BJ104" s="12">
        <v>0</v>
      </c>
      <c r="BK104" s="12">
        <v>0</v>
      </c>
      <c r="BL104" s="12">
        <v>0</v>
      </c>
      <c r="BM104" s="12">
        <v>0</v>
      </c>
      <c r="BN104" s="12">
        <v>0</v>
      </c>
      <c r="BO104" s="12">
        <v>0</v>
      </c>
      <c r="BP104" s="12">
        <v>0</v>
      </c>
      <c r="BQ104" s="12">
        <v>0</v>
      </c>
      <c r="BR104" s="12">
        <v>0</v>
      </c>
      <c r="BS104" s="12">
        <v>0</v>
      </c>
      <c r="BT104" s="12">
        <v>0</v>
      </c>
      <c r="BU104" s="12">
        <v>0</v>
      </c>
      <c r="BV104" s="12">
        <v>0</v>
      </c>
      <c r="BW104" s="12">
        <v>0</v>
      </c>
      <c r="BX104" s="12">
        <v>0</v>
      </c>
      <c r="BY104" s="12">
        <v>0</v>
      </c>
    </row>
    <row r="105" spans="1:77" x14ac:dyDescent="0.25">
      <c r="A105" s="152" t="s">
        <v>1304</v>
      </c>
      <c r="B105" s="12" t="s">
        <v>1525</v>
      </c>
      <c r="C105" s="12">
        <v>0</v>
      </c>
      <c r="D105" s="152">
        <v>0</v>
      </c>
      <c r="E105" s="12">
        <v>0</v>
      </c>
      <c r="F105" s="12">
        <v>0</v>
      </c>
      <c r="G105" s="12">
        <v>0</v>
      </c>
      <c r="H105" s="12">
        <v>0</v>
      </c>
      <c r="I105" s="12">
        <v>0</v>
      </c>
      <c r="J105" s="12">
        <v>0</v>
      </c>
      <c r="K105" s="12">
        <v>0</v>
      </c>
      <c r="L105" s="12">
        <v>0</v>
      </c>
      <c r="M105" s="12">
        <v>0</v>
      </c>
      <c r="N105" s="12">
        <v>0</v>
      </c>
      <c r="O105" s="12">
        <v>0</v>
      </c>
      <c r="P105" s="12">
        <v>0</v>
      </c>
      <c r="Q105" s="12">
        <v>0</v>
      </c>
      <c r="R105" s="12">
        <v>0</v>
      </c>
      <c r="S105" s="12">
        <v>0</v>
      </c>
      <c r="T105" s="12">
        <v>0</v>
      </c>
      <c r="U105" s="12">
        <v>0</v>
      </c>
      <c r="V105" s="12">
        <v>0</v>
      </c>
      <c r="W105" s="12">
        <v>0</v>
      </c>
      <c r="X105" s="12">
        <v>0</v>
      </c>
      <c r="Y105" s="12">
        <v>0</v>
      </c>
      <c r="Z105" s="12">
        <v>0</v>
      </c>
      <c r="AA105" s="12">
        <v>0</v>
      </c>
      <c r="AB105" s="12">
        <v>0</v>
      </c>
      <c r="AC105" s="12">
        <v>0</v>
      </c>
      <c r="AD105" s="12">
        <v>0</v>
      </c>
      <c r="AE105" s="12">
        <v>0</v>
      </c>
      <c r="AF105" s="12">
        <v>0</v>
      </c>
      <c r="AG105" s="12">
        <v>0</v>
      </c>
      <c r="AH105" s="12">
        <v>0</v>
      </c>
      <c r="AI105" s="12">
        <v>0</v>
      </c>
      <c r="AJ105" s="12">
        <v>0</v>
      </c>
      <c r="AK105" s="12">
        <v>0</v>
      </c>
      <c r="AL105" s="12">
        <v>0</v>
      </c>
      <c r="AM105" s="12">
        <v>0</v>
      </c>
      <c r="AN105" s="12">
        <v>0</v>
      </c>
      <c r="AO105" s="12">
        <v>0</v>
      </c>
      <c r="AP105" s="12">
        <v>0</v>
      </c>
      <c r="AQ105" s="12">
        <v>0</v>
      </c>
      <c r="AR105" s="12">
        <v>0</v>
      </c>
      <c r="AS105" s="12">
        <v>0</v>
      </c>
      <c r="AT105" s="12">
        <v>0</v>
      </c>
      <c r="AU105" s="12">
        <v>0</v>
      </c>
      <c r="AV105" s="12">
        <v>0</v>
      </c>
      <c r="AW105" s="12">
        <v>0</v>
      </c>
      <c r="AX105" s="12">
        <v>0</v>
      </c>
      <c r="AY105" s="12">
        <v>0</v>
      </c>
      <c r="AZ105" s="12">
        <v>0</v>
      </c>
      <c r="BA105" s="12">
        <v>0</v>
      </c>
      <c r="BB105" s="12">
        <v>0</v>
      </c>
      <c r="BC105" s="12">
        <v>0</v>
      </c>
      <c r="BD105" s="12">
        <v>0</v>
      </c>
      <c r="BE105" s="12">
        <v>0</v>
      </c>
      <c r="BF105" s="12">
        <v>0</v>
      </c>
      <c r="BG105" s="12">
        <v>0</v>
      </c>
      <c r="BH105" s="12">
        <v>0</v>
      </c>
      <c r="BI105" s="12">
        <v>0</v>
      </c>
      <c r="BJ105" s="12">
        <v>0</v>
      </c>
      <c r="BK105" s="12">
        <v>0</v>
      </c>
      <c r="BL105" s="12">
        <v>0</v>
      </c>
      <c r="BM105" s="12">
        <v>0</v>
      </c>
      <c r="BN105" s="12">
        <v>0</v>
      </c>
      <c r="BO105" s="12">
        <v>0</v>
      </c>
      <c r="BP105" s="12">
        <v>0</v>
      </c>
      <c r="BQ105" s="12">
        <v>0</v>
      </c>
      <c r="BR105" s="12">
        <v>0</v>
      </c>
      <c r="BS105" s="12">
        <v>0</v>
      </c>
      <c r="BT105" s="12">
        <v>0</v>
      </c>
      <c r="BU105" s="12">
        <v>0</v>
      </c>
      <c r="BV105" s="12">
        <v>0</v>
      </c>
      <c r="BW105" s="12">
        <v>0</v>
      </c>
      <c r="BX105" s="12">
        <v>0</v>
      </c>
      <c r="BY105" s="12">
        <v>0</v>
      </c>
    </row>
    <row r="106" spans="1:77" x14ac:dyDescent="0.25">
      <c r="A106" s="152" t="s">
        <v>1305</v>
      </c>
      <c r="B106" s="12" t="s">
        <v>777</v>
      </c>
      <c r="C106" s="12">
        <v>0</v>
      </c>
      <c r="D106" s="152">
        <v>0</v>
      </c>
      <c r="E106" s="12">
        <v>0</v>
      </c>
      <c r="F106" s="12">
        <v>0</v>
      </c>
      <c r="G106" s="12">
        <v>0</v>
      </c>
      <c r="H106" s="12">
        <v>0</v>
      </c>
      <c r="I106" s="12">
        <v>0</v>
      </c>
      <c r="J106" s="12">
        <v>0</v>
      </c>
      <c r="K106" s="12">
        <v>0</v>
      </c>
      <c r="L106" s="12">
        <v>0</v>
      </c>
      <c r="M106" s="12">
        <v>0</v>
      </c>
      <c r="N106" s="12">
        <v>0</v>
      </c>
      <c r="O106" s="12">
        <v>0</v>
      </c>
      <c r="P106" s="12">
        <v>0</v>
      </c>
      <c r="Q106" s="12">
        <v>0</v>
      </c>
      <c r="R106" s="12">
        <v>0</v>
      </c>
      <c r="S106" s="12">
        <v>0</v>
      </c>
      <c r="T106" s="12">
        <v>0</v>
      </c>
      <c r="U106" s="12">
        <v>0</v>
      </c>
      <c r="V106" s="12">
        <v>0</v>
      </c>
      <c r="W106" s="12">
        <v>0</v>
      </c>
      <c r="X106" s="12">
        <v>0</v>
      </c>
      <c r="Y106" s="12">
        <v>0</v>
      </c>
      <c r="Z106" s="12">
        <v>0</v>
      </c>
      <c r="AA106" s="12">
        <v>0</v>
      </c>
      <c r="AB106" s="12">
        <v>0</v>
      </c>
      <c r="AC106" s="12">
        <v>0</v>
      </c>
      <c r="AD106" s="12">
        <v>0</v>
      </c>
      <c r="AE106" s="12">
        <v>0</v>
      </c>
      <c r="AF106" s="12">
        <v>0</v>
      </c>
      <c r="AG106" s="12">
        <v>0</v>
      </c>
      <c r="AH106" s="12">
        <v>0</v>
      </c>
      <c r="AI106" s="12">
        <v>0</v>
      </c>
      <c r="AJ106" s="12">
        <v>0</v>
      </c>
      <c r="AK106" s="12">
        <v>0</v>
      </c>
      <c r="AL106" s="12">
        <v>0</v>
      </c>
      <c r="AM106" s="12">
        <v>0</v>
      </c>
      <c r="AN106" s="12">
        <v>0</v>
      </c>
      <c r="AO106" s="12">
        <v>0</v>
      </c>
      <c r="AP106" s="12">
        <v>0</v>
      </c>
      <c r="AQ106" s="12">
        <v>0</v>
      </c>
      <c r="AR106" s="12">
        <v>0</v>
      </c>
      <c r="AS106" s="12">
        <v>0</v>
      </c>
      <c r="AT106" s="12">
        <v>0</v>
      </c>
      <c r="AU106" s="12">
        <v>0</v>
      </c>
      <c r="AV106" s="12">
        <v>0</v>
      </c>
      <c r="AW106" s="12">
        <v>0</v>
      </c>
      <c r="AX106" s="12">
        <v>0</v>
      </c>
      <c r="AY106" s="12">
        <v>0</v>
      </c>
      <c r="AZ106" s="12">
        <v>0</v>
      </c>
      <c r="BA106" s="12">
        <v>0</v>
      </c>
      <c r="BB106" s="12">
        <v>0</v>
      </c>
      <c r="BC106" s="12">
        <v>0</v>
      </c>
      <c r="BD106" s="12">
        <v>0</v>
      </c>
      <c r="BE106" s="12">
        <v>0</v>
      </c>
      <c r="BF106" s="12">
        <v>0</v>
      </c>
      <c r="BG106" s="12">
        <v>0</v>
      </c>
      <c r="BH106" s="12">
        <v>0</v>
      </c>
      <c r="BI106" s="12">
        <v>0</v>
      </c>
      <c r="BJ106" s="12">
        <v>0</v>
      </c>
      <c r="BK106" s="12">
        <v>0</v>
      </c>
      <c r="BL106" s="12">
        <v>0</v>
      </c>
      <c r="BM106" s="12">
        <v>0</v>
      </c>
      <c r="BN106" s="12">
        <v>0</v>
      </c>
      <c r="BO106" s="12">
        <v>0</v>
      </c>
      <c r="BP106" s="12">
        <v>0</v>
      </c>
      <c r="BQ106" s="12">
        <v>0</v>
      </c>
      <c r="BR106" s="12">
        <v>0</v>
      </c>
      <c r="BS106" s="12">
        <v>0</v>
      </c>
      <c r="BT106" s="12">
        <v>0</v>
      </c>
      <c r="BU106" s="12">
        <v>0</v>
      </c>
      <c r="BV106" s="12">
        <v>0</v>
      </c>
      <c r="BW106" s="12">
        <v>0</v>
      </c>
      <c r="BX106" s="12">
        <v>0</v>
      </c>
      <c r="BY106" s="12">
        <v>0</v>
      </c>
    </row>
    <row r="107" spans="1:77" x14ac:dyDescent="0.25">
      <c r="A107" s="152" t="s">
        <v>1306</v>
      </c>
      <c r="B107" s="12" t="s">
        <v>778</v>
      </c>
      <c r="C107" s="12">
        <v>0</v>
      </c>
      <c r="D107" s="152">
        <v>0</v>
      </c>
      <c r="E107" s="12">
        <v>0</v>
      </c>
      <c r="F107" s="12">
        <v>0</v>
      </c>
      <c r="G107" s="12">
        <v>0</v>
      </c>
      <c r="H107" s="12">
        <v>0</v>
      </c>
      <c r="I107" s="12">
        <v>0</v>
      </c>
      <c r="J107" s="12">
        <v>0</v>
      </c>
      <c r="K107" s="12">
        <v>0</v>
      </c>
      <c r="L107" s="12">
        <v>0</v>
      </c>
      <c r="M107" s="12">
        <v>0</v>
      </c>
      <c r="N107" s="12">
        <v>0</v>
      </c>
      <c r="O107" s="12">
        <v>0</v>
      </c>
      <c r="P107" s="12">
        <v>0</v>
      </c>
      <c r="Q107" s="12">
        <v>0</v>
      </c>
      <c r="R107" s="12">
        <v>0</v>
      </c>
      <c r="S107" s="12">
        <v>0</v>
      </c>
      <c r="T107" s="12">
        <v>0</v>
      </c>
      <c r="U107" s="12">
        <v>0</v>
      </c>
      <c r="V107" s="12">
        <v>0</v>
      </c>
      <c r="W107" s="12">
        <v>0</v>
      </c>
      <c r="X107" s="12">
        <v>0</v>
      </c>
      <c r="Y107" s="12">
        <v>0</v>
      </c>
      <c r="Z107" s="12">
        <v>0</v>
      </c>
      <c r="AA107" s="12">
        <v>0</v>
      </c>
      <c r="AB107" s="12">
        <v>0</v>
      </c>
      <c r="AC107" s="12">
        <v>0</v>
      </c>
      <c r="AD107" s="12">
        <v>0</v>
      </c>
      <c r="AE107" s="12">
        <v>0</v>
      </c>
      <c r="AF107" s="12">
        <v>0</v>
      </c>
      <c r="AG107" s="12">
        <v>0</v>
      </c>
      <c r="AH107" s="12">
        <v>0</v>
      </c>
      <c r="AI107" s="12">
        <v>0</v>
      </c>
      <c r="AJ107" s="12">
        <v>0</v>
      </c>
      <c r="AK107" s="12">
        <v>0</v>
      </c>
      <c r="AL107" s="12">
        <v>0</v>
      </c>
      <c r="AM107" s="12">
        <v>0</v>
      </c>
      <c r="AN107" s="12">
        <v>0</v>
      </c>
      <c r="AO107" s="12">
        <v>0</v>
      </c>
      <c r="AP107" s="12">
        <v>0</v>
      </c>
      <c r="AQ107" s="12">
        <v>0</v>
      </c>
      <c r="AR107" s="12">
        <v>0</v>
      </c>
      <c r="AS107" s="12">
        <v>0</v>
      </c>
      <c r="AT107" s="12">
        <v>0</v>
      </c>
      <c r="AU107" s="12">
        <v>0</v>
      </c>
      <c r="AV107" s="12">
        <v>0</v>
      </c>
      <c r="AW107" s="12">
        <v>0</v>
      </c>
      <c r="AX107" s="12">
        <v>0</v>
      </c>
      <c r="AY107" s="12">
        <v>0</v>
      </c>
      <c r="AZ107" s="12">
        <v>0</v>
      </c>
      <c r="BA107" s="12">
        <v>0</v>
      </c>
      <c r="BB107" s="12">
        <v>0</v>
      </c>
      <c r="BC107" s="12">
        <v>0</v>
      </c>
      <c r="BD107" s="12">
        <v>0</v>
      </c>
      <c r="BE107" s="12">
        <v>0</v>
      </c>
      <c r="BF107" s="12">
        <v>0</v>
      </c>
      <c r="BG107" s="12">
        <v>0</v>
      </c>
      <c r="BH107" s="12">
        <v>0</v>
      </c>
      <c r="BI107" s="12">
        <v>0</v>
      </c>
      <c r="BJ107" s="12">
        <v>0</v>
      </c>
      <c r="BK107" s="12">
        <v>0</v>
      </c>
      <c r="BL107" s="12">
        <v>0</v>
      </c>
      <c r="BM107" s="12">
        <v>0</v>
      </c>
      <c r="BN107" s="12">
        <v>0</v>
      </c>
      <c r="BO107" s="12">
        <v>0</v>
      </c>
      <c r="BP107" s="12">
        <v>0</v>
      </c>
      <c r="BQ107" s="12">
        <v>0</v>
      </c>
      <c r="BR107" s="12">
        <v>0</v>
      </c>
      <c r="BS107" s="12">
        <v>0</v>
      </c>
      <c r="BT107" s="12">
        <v>0</v>
      </c>
      <c r="BU107" s="12">
        <v>0</v>
      </c>
      <c r="BV107" s="12">
        <v>0</v>
      </c>
      <c r="BW107" s="12">
        <v>0</v>
      </c>
      <c r="BX107" s="12">
        <v>0</v>
      </c>
      <c r="BY107" s="12">
        <v>0</v>
      </c>
    </row>
    <row r="108" spans="1:77" x14ac:dyDescent="0.25">
      <c r="A108" s="152" t="s">
        <v>1307</v>
      </c>
      <c r="B108" s="12" t="s">
        <v>779</v>
      </c>
      <c r="C108" s="12">
        <v>0.9</v>
      </c>
      <c r="D108" s="12">
        <v>0.9</v>
      </c>
      <c r="E108" s="12">
        <v>0.9</v>
      </c>
      <c r="F108" s="12">
        <v>0.9</v>
      </c>
      <c r="G108" s="12">
        <v>0.9</v>
      </c>
      <c r="H108" s="12">
        <v>0.9</v>
      </c>
      <c r="I108" s="12">
        <v>0.9</v>
      </c>
      <c r="J108" s="12">
        <v>0.9</v>
      </c>
      <c r="K108" s="12">
        <v>0.9</v>
      </c>
      <c r="L108" s="12">
        <v>0.9</v>
      </c>
      <c r="M108" s="12">
        <v>0.9</v>
      </c>
      <c r="N108" s="12">
        <v>0.9</v>
      </c>
      <c r="O108" s="12">
        <v>0.9</v>
      </c>
      <c r="P108" s="12">
        <v>0.9</v>
      </c>
      <c r="Q108" s="12">
        <v>0.9</v>
      </c>
      <c r="R108" s="12">
        <v>0.9</v>
      </c>
      <c r="S108" s="12">
        <v>0.9</v>
      </c>
      <c r="T108" s="12">
        <v>0.9</v>
      </c>
      <c r="U108" s="12">
        <v>0.9</v>
      </c>
      <c r="V108" s="12">
        <v>0.9</v>
      </c>
      <c r="W108" s="12">
        <v>0.9</v>
      </c>
      <c r="X108" s="12">
        <v>0.9</v>
      </c>
      <c r="Y108" s="12">
        <v>0.9</v>
      </c>
      <c r="Z108" s="12">
        <v>0.9</v>
      </c>
      <c r="AA108" s="12">
        <v>0.9</v>
      </c>
      <c r="AB108" s="12">
        <v>0.9</v>
      </c>
      <c r="AC108" s="12">
        <v>0.9</v>
      </c>
      <c r="AD108" s="12">
        <v>0.9</v>
      </c>
      <c r="AE108" s="12">
        <v>0.9</v>
      </c>
      <c r="AF108" s="12">
        <v>0.9</v>
      </c>
      <c r="AG108" s="12">
        <v>0.9</v>
      </c>
      <c r="AH108" s="12">
        <v>0.9</v>
      </c>
      <c r="AI108" s="12">
        <v>0.9</v>
      </c>
      <c r="AJ108" s="12">
        <v>0.9</v>
      </c>
      <c r="AK108" s="12">
        <v>0.9</v>
      </c>
      <c r="AL108" s="12">
        <v>0.9</v>
      </c>
      <c r="AM108" s="12">
        <v>0.9</v>
      </c>
      <c r="AN108" s="12">
        <v>0.9</v>
      </c>
      <c r="AO108" s="12">
        <v>0.9</v>
      </c>
      <c r="AP108" s="12">
        <v>0.9</v>
      </c>
      <c r="AQ108" s="12">
        <v>0.9</v>
      </c>
      <c r="AR108" s="12">
        <v>0.9</v>
      </c>
      <c r="AS108" s="12">
        <v>0.9</v>
      </c>
      <c r="AT108" s="12">
        <v>0.9</v>
      </c>
      <c r="AU108" s="12">
        <v>0.9</v>
      </c>
      <c r="AV108" s="12">
        <v>0.9</v>
      </c>
      <c r="AW108" s="12">
        <v>0.9</v>
      </c>
      <c r="AX108" s="12">
        <v>0.9</v>
      </c>
      <c r="AY108" s="12">
        <v>0.9</v>
      </c>
      <c r="AZ108" s="12">
        <v>0.9</v>
      </c>
      <c r="BA108" s="12">
        <v>0.9</v>
      </c>
      <c r="BB108" s="12">
        <v>0.9</v>
      </c>
      <c r="BC108" s="12">
        <v>0.9</v>
      </c>
      <c r="BD108" s="12">
        <v>0.9</v>
      </c>
      <c r="BE108" s="12">
        <v>0.9</v>
      </c>
      <c r="BF108" s="12">
        <v>0.9</v>
      </c>
      <c r="BG108" s="12">
        <v>0.9</v>
      </c>
      <c r="BH108" s="12">
        <v>0.9</v>
      </c>
      <c r="BI108" s="12">
        <v>0.9</v>
      </c>
      <c r="BJ108" s="12">
        <v>0.9</v>
      </c>
      <c r="BK108" s="12">
        <v>0.9</v>
      </c>
      <c r="BL108" s="12">
        <v>0.9</v>
      </c>
      <c r="BM108" s="12">
        <v>0.9</v>
      </c>
      <c r="BN108" s="12">
        <v>0.9</v>
      </c>
      <c r="BO108" s="12">
        <v>0.9</v>
      </c>
      <c r="BP108" s="12">
        <v>0.9</v>
      </c>
      <c r="BQ108" s="12">
        <v>0.9</v>
      </c>
      <c r="BR108" s="12">
        <v>0.9</v>
      </c>
      <c r="BS108" s="12">
        <v>0.9</v>
      </c>
      <c r="BT108" s="12">
        <v>0.9</v>
      </c>
      <c r="BU108" s="12">
        <v>0.9</v>
      </c>
      <c r="BV108" s="12">
        <v>0.9</v>
      </c>
      <c r="BW108" s="12">
        <v>0.9</v>
      </c>
      <c r="BX108" s="12">
        <v>0.9</v>
      </c>
      <c r="BY108" s="12">
        <v>0.9</v>
      </c>
    </row>
    <row r="109" spans="1:77" x14ac:dyDescent="0.25">
      <c r="A109" s="152" t="s">
        <v>1308</v>
      </c>
      <c r="B109" s="12" t="s">
        <v>780</v>
      </c>
      <c r="C109" s="12">
        <v>1</v>
      </c>
      <c r="D109" s="12">
        <v>1</v>
      </c>
      <c r="E109" s="12">
        <v>1</v>
      </c>
      <c r="F109" s="12">
        <v>1</v>
      </c>
      <c r="G109" s="12">
        <v>1</v>
      </c>
      <c r="H109" s="12">
        <v>1</v>
      </c>
      <c r="I109" s="12">
        <v>1</v>
      </c>
      <c r="J109" s="12">
        <v>1</v>
      </c>
      <c r="K109" s="12">
        <v>1</v>
      </c>
      <c r="L109" s="12">
        <v>1</v>
      </c>
      <c r="M109" s="12">
        <v>1</v>
      </c>
      <c r="N109" s="12">
        <v>1</v>
      </c>
      <c r="O109" s="12">
        <v>1</v>
      </c>
      <c r="P109" s="12">
        <v>1</v>
      </c>
      <c r="Q109" s="12">
        <v>1</v>
      </c>
      <c r="R109" s="12">
        <v>1</v>
      </c>
      <c r="S109" s="12">
        <v>1</v>
      </c>
      <c r="T109" s="12">
        <v>1</v>
      </c>
      <c r="U109" s="12">
        <v>1</v>
      </c>
      <c r="V109" s="12">
        <v>1</v>
      </c>
      <c r="W109" s="12">
        <v>1</v>
      </c>
      <c r="X109" s="12">
        <v>1</v>
      </c>
      <c r="Y109" s="12">
        <v>1</v>
      </c>
      <c r="Z109" s="12">
        <v>1</v>
      </c>
      <c r="AA109" s="12">
        <v>1</v>
      </c>
      <c r="AB109" s="12">
        <v>1</v>
      </c>
      <c r="AC109" s="12">
        <v>1</v>
      </c>
      <c r="AD109" s="12">
        <v>1</v>
      </c>
      <c r="AE109" s="12">
        <v>1</v>
      </c>
      <c r="AF109" s="12">
        <v>1</v>
      </c>
      <c r="AG109" s="12">
        <v>1</v>
      </c>
      <c r="AH109" s="12">
        <v>1</v>
      </c>
      <c r="AI109" s="12">
        <v>1</v>
      </c>
      <c r="AJ109" s="12">
        <v>1</v>
      </c>
      <c r="AK109" s="12">
        <v>1</v>
      </c>
      <c r="AL109" s="12">
        <v>1</v>
      </c>
      <c r="AM109" s="12">
        <v>1</v>
      </c>
      <c r="AN109" s="12">
        <v>1</v>
      </c>
      <c r="AO109" s="12">
        <v>1</v>
      </c>
      <c r="AP109" s="12">
        <v>1</v>
      </c>
      <c r="AQ109" s="12">
        <v>1</v>
      </c>
      <c r="AR109" s="12">
        <v>1</v>
      </c>
      <c r="AS109" s="12">
        <v>1</v>
      </c>
      <c r="AT109" s="12">
        <v>1</v>
      </c>
      <c r="AU109" s="12">
        <v>1</v>
      </c>
      <c r="AV109" s="12">
        <v>1</v>
      </c>
      <c r="AW109" s="12">
        <v>1</v>
      </c>
      <c r="AX109" s="12">
        <v>1</v>
      </c>
      <c r="AY109" s="12">
        <v>1</v>
      </c>
      <c r="AZ109" s="12">
        <v>1</v>
      </c>
      <c r="BA109" s="12">
        <v>1</v>
      </c>
      <c r="BB109" s="12">
        <v>1</v>
      </c>
      <c r="BC109" s="12">
        <v>1</v>
      </c>
      <c r="BD109" s="12">
        <v>1</v>
      </c>
      <c r="BE109" s="12">
        <v>1</v>
      </c>
      <c r="BF109" s="12">
        <v>1</v>
      </c>
      <c r="BG109" s="12">
        <v>1</v>
      </c>
      <c r="BH109" s="12">
        <v>1</v>
      </c>
      <c r="BI109" s="12">
        <v>1</v>
      </c>
      <c r="BJ109" s="12">
        <v>1</v>
      </c>
      <c r="BK109" s="12">
        <v>1</v>
      </c>
      <c r="BL109" s="12">
        <v>1</v>
      </c>
      <c r="BM109" s="12">
        <v>1</v>
      </c>
      <c r="BN109" s="12">
        <v>1</v>
      </c>
      <c r="BO109" s="12">
        <v>1</v>
      </c>
      <c r="BP109" s="12">
        <v>1</v>
      </c>
      <c r="BQ109" s="12">
        <v>1</v>
      </c>
      <c r="BR109" s="12">
        <v>1</v>
      </c>
      <c r="BS109" s="12">
        <v>1</v>
      </c>
      <c r="BT109" s="12">
        <v>1</v>
      </c>
      <c r="BU109" s="12">
        <v>1</v>
      </c>
      <c r="BV109" s="12">
        <v>1</v>
      </c>
      <c r="BW109" s="12">
        <v>1</v>
      </c>
      <c r="BX109" s="12">
        <v>1</v>
      </c>
      <c r="BY109" s="12">
        <v>1</v>
      </c>
    </row>
    <row r="110" spans="1:77" x14ac:dyDescent="0.25">
      <c r="A110" s="152" t="s">
        <v>1309</v>
      </c>
      <c r="B110" s="12" t="s">
        <v>781</v>
      </c>
      <c r="C110" s="12">
        <v>0</v>
      </c>
      <c r="D110" s="12">
        <v>0</v>
      </c>
      <c r="E110" s="12">
        <v>0</v>
      </c>
      <c r="F110" s="12">
        <v>0</v>
      </c>
      <c r="G110" s="12">
        <v>0</v>
      </c>
      <c r="H110" s="12">
        <v>0</v>
      </c>
      <c r="I110" s="12">
        <v>0</v>
      </c>
      <c r="J110" s="12">
        <v>0</v>
      </c>
      <c r="K110" s="12">
        <v>0</v>
      </c>
      <c r="L110" s="12">
        <v>0</v>
      </c>
      <c r="M110" s="12">
        <v>0</v>
      </c>
      <c r="N110" s="12">
        <v>0</v>
      </c>
      <c r="O110" s="12">
        <v>0</v>
      </c>
      <c r="P110" s="12">
        <v>0</v>
      </c>
      <c r="Q110" s="12">
        <v>0</v>
      </c>
      <c r="R110" s="12">
        <v>0</v>
      </c>
      <c r="S110" s="12">
        <v>0</v>
      </c>
      <c r="T110" s="12">
        <v>0</v>
      </c>
      <c r="U110" s="12">
        <v>0</v>
      </c>
      <c r="V110" s="12">
        <v>0</v>
      </c>
      <c r="W110" s="12">
        <v>0</v>
      </c>
      <c r="X110" s="12">
        <v>0</v>
      </c>
      <c r="Y110" s="12">
        <v>0</v>
      </c>
      <c r="Z110" s="12">
        <v>0</v>
      </c>
      <c r="AA110" s="12">
        <v>0</v>
      </c>
      <c r="AB110" s="12">
        <v>0</v>
      </c>
      <c r="AC110" s="12">
        <v>0</v>
      </c>
      <c r="AD110" s="12">
        <v>0</v>
      </c>
      <c r="AE110" s="12">
        <v>0</v>
      </c>
      <c r="AF110" s="12">
        <v>0</v>
      </c>
      <c r="AG110" s="12">
        <v>0</v>
      </c>
      <c r="AH110" s="12">
        <v>0</v>
      </c>
      <c r="AI110" s="12">
        <v>0</v>
      </c>
      <c r="AJ110" s="12">
        <v>0</v>
      </c>
      <c r="AK110" s="12">
        <v>0</v>
      </c>
      <c r="AL110" s="12">
        <v>0</v>
      </c>
      <c r="AM110" s="12">
        <v>0</v>
      </c>
      <c r="AN110" s="12">
        <v>0</v>
      </c>
      <c r="AO110" s="12">
        <v>0</v>
      </c>
      <c r="AP110" s="12">
        <v>0</v>
      </c>
      <c r="AQ110" s="12">
        <v>0</v>
      </c>
      <c r="AR110" s="12">
        <v>0</v>
      </c>
      <c r="AS110" s="12">
        <v>0</v>
      </c>
      <c r="AT110" s="12">
        <v>0</v>
      </c>
      <c r="AU110" s="12">
        <v>0</v>
      </c>
      <c r="AV110" s="12">
        <v>0</v>
      </c>
      <c r="AW110" s="12">
        <v>0</v>
      </c>
      <c r="AX110" s="12">
        <v>0</v>
      </c>
      <c r="AY110" s="12">
        <v>0</v>
      </c>
      <c r="AZ110" s="12">
        <v>0</v>
      </c>
      <c r="BA110" s="12">
        <v>0</v>
      </c>
      <c r="BB110" s="12">
        <v>0</v>
      </c>
      <c r="BC110" s="12">
        <v>0</v>
      </c>
      <c r="BD110" s="12">
        <v>0</v>
      </c>
      <c r="BE110" s="12">
        <v>0</v>
      </c>
      <c r="BF110" s="12">
        <v>0</v>
      </c>
      <c r="BG110" s="12">
        <v>0</v>
      </c>
      <c r="BH110" s="12">
        <v>0</v>
      </c>
      <c r="BI110" s="12">
        <v>0</v>
      </c>
      <c r="BJ110" s="12">
        <v>0</v>
      </c>
      <c r="BK110" s="12">
        <v>0</v>
      </c>
      <c r="BL110" s="12">
        <v>0</v>
      </c>
      <c r="BM110" s="12">
        <v>0</v>
      </c>
      <c r="BN110" s="12">
        <v>0</v>
      </c>
      <c r="BO110" s="12">
        <v>0</v>
      </c>
      <c r="BP110" s="12">
        <v>0</v>
      </c>
      <c r="BQ110" s="12">
        <v>0</v>
      </c>
      <c r="BR110" s="12">
        <v>0</v>
      </c>
      <c r="BS110" s="12">
        <v>0</v>
      </c>
      <c r="BT110" s="12">
        <v>0</v>
      </c>
      <c r="BU110" s="12">
        <v>0</v>
      </c>
      <c r="BV110" s="12">
        <v>0</v>
      </c>
      <c r="BW110" s="12">
        <v>0</v>
      </c>
      <c r="BX110" s="12">
        <v>0</v>
      </c>
      <c r="BY110" s="12">
        <v>0</v>
      </c>
    </row>
    <row r="111" spans="1:77" x14ac:dyDescent="0.25">
      <c r="A111" s="152" t="s">
        <v>1310</v>
      </c>
      <c r="B111" s="12" t="s">
        <v>782</v>
      </c>
      <c r="C111" s="12">
        <v>1</v>
      </c>
      <c r="D111" s="12">
        <v>1</v>
      </c>
      <c r="E111" s="12">
        <v>1</v>
      </c>
      <c r="F111" s="12">
        <v>1</v>
      </c>
      <c r="G111" s="12">
        <v>1</v>
      </c>
      <c r="H111" s="12">
        <v>1</v>
      </c>
      <c r="I111" s="12">
        <v>1</v>
      </c>
      <c r="J111" s="12">
        <v>1</v>
      </c>
      <c r="K111" s="12">
        <v>1</v>
      </c>
      <c r="L111" s="12">
        <v>1</v>
      </c>
      <c r="M111" s="12">
        <v>1</v>
      </c>
      <c r="N111" s="12">
        <v>1</v>
      </c>
      <c r="O111" s="12">
        <v>1</v>
      </c>
      <c r="P111" s="12">
        <v>1</v>
      </c>
      <c r="Q111" s="12">
        <v>1</v>
      </c>
      <c r="R111" s="12">
        <v>1</v>
      </c>
      <c r="S111" s="12">
        <v>1</v>
      </c>
      <c r="T111" s="12">
        <v>1</v>
      </c>
      <c r="U111" s="12">
        <v>1</v>
      </c>
      <c r="V111" s="12">
        <v>1</v>
      </c>
      <c r="W111" s="12">
        <v>1</v>
      </c>
      <c r="X111" s="12">
        <v>1</v>
      </c>
      <c r="Y111" s="12">
        <v>1</v>
      </c>
      <c r="Z111" s="12">
        <v>1</v>
      </c>
      <c r="AA111" s="12">
        <v>1</v>
      </c>
      <c r="AB111" s="12">
        <v>1</v>
      </c>
      <c r="AC111" s="12">
        <v>1</v>
      </c>
      <c r="AD111" s="12">
        <v>1</v>
      </c>
      <c r="AE111" s="12">
        <v>1</v>
      </c>
      <c r="AF111" s="12">
        <v>1</v>
      </c>
      <c r="AG111" s="12">
        <v>1</v>
      </c>
      <c r="AH111" s="12">
        <v>1</v>
      </c>
      <c r="AI111" s="12">
        <v>1</v>
      </c>
      <c r="AJ111" s="12">
        <v>1</v>
      </c>
      <c r="AK111" s="12">
        <v>1</v>
      </c>
      <c r="AL111" s="12">
        <v>1</v>
      </c>
      <c r="AM111" s="12">
        <v>1</v>
      </c>
      <c r="AN111" s="12">
        <v>1</v>
      </c>
      <c r="AO111" s="12">
        <v>1</v>
      </c>
      <c r="AP111" s="12">
        <v>1</v>
      </c>
      <c r="AQ111" s="12">
        <v>1</v>
      </c>
      <c r="AR111" s="12">
        <v>1</v>
      </c>
      <c r="AS111" s="12">
        <v>1</v>
      </c>
      <c r="AT111" s="12">
        <v>1</v>
      </c>
      <c r="AU111" s="12">
        <v>1</v>
      </c>
      <c r="AV111" s="12">
        <v>1</v>
      </c>
      <c r="AW111" s="12">
        <v>1</v>
      </c>
      <c r="AX111" s="12">
        <v>1</v>
      </c>
      <c r="AY111" s="12">
        <v>1</v>
      </c>
      <c r="AZ111" s="12">
        <v>1</v>
      </c>
      <c r="BA111" s="12">
        <v>1</v>
      </c>
      <c r="BB111" s="12">
        <v>1</v>
      </c>
      <c r="BC111" s="12">
        <v>1</v>
      </c>
      <c r="BD111" s="12">
        <v>1</v>
      </c>
      <c r="BE111" s="12">
        <v>1</v>
      </c>
      <c r="BF111" s="12">
        <v>1</v>
      </c>
      <c r="BG111" s="12">
        <v>1</v>
      </c>
      <c r="BH111" s="12">
        <v>1</v>
      </c>
      <c r="BI111" s="12">
        <v>1</v>
      </c>
      <c r="BJ111" s="12">
        <v>1</v>
      </c>
      <c r="BK111" s="12">
        <v>1</v>
      </c>
      <c r="BL111" s="12">
        <v>1</v>
      </c>
      <c r="BM111" s="12">
        <v>1</v>
      </c>
      <c r="BN111" s="12">
        <v>1</v>
      </c>
      <c r="BO111" s="12">
        <v>1</v>
      </c>
      <c r="BP111" s="12">
        <v>1</v>
      </c>
      <c r="BQ111" s="12">
        <v>1</v>
      </c>
      <c r="BR111" s="12">
        <v>1</v>
      </c>
      <c r="BS111" s="12">
        <v>1</v>
      </c>
      <c r="BT111" s="12">
        <v>1</v>
      </c>
      <c r="BU111" s="12">
        <v>1</v>
      </c>
      <c r="BV111" s="12">
        <v>1</v>
      </c>
      <c r="BW111" s="12">
        <v>1</v>
      </c>
      <c r="BX111" s="12">
        <v>1</v>
      </c>
      <c r="BY111" s="12">
        <v>1</v>
      </c>
    </row>
    <row r="112" spans="1:77" x14ac:dyDescent="0.25">
      <c r="A112" s="152" t="s">
        <v>1311</v>
      </c>
      <c r="B112" s="12" t="s">
        <v>793</v>
      </c>
      <c r="C112" s="12">
        <v>0.15</v>
      </c>
      <c r="D112" s="152">
        <v>0.15</v>
      </c>
      <c r="E112" s="12">
        <v>0.15</v>
      </c>
      <c r="F112" s="12">
        <v>0.15</v>
      </c>
      <c r="G112" s="12">
        <v>0.15</v>
      </c>
      <c r="H112" s="12">
        <v>0.15</v>
      </c>
      <c r="I112" s="12">
        <v>0.15</v>
      </c>
      <c r="J112" s="12">
        <v>0.15</v>
      </c>
      <c r="K112" s="12">
        <v>0.15</v>
      </c>
      <c r="L112" s="12">
        <v>0.15</v>
      </c>
      <c r="M112" s="12">
        <v>0.15</v>
      </c>
      <c r="N112" s="12">
        <v>0.15</v>
      </c>
      <c r="O112" s="12">
        <v>0.15</v>
      </c>
      <c r="P112" s="12">
        <v>0.15</v>
      </c>
      <c r="Q112" s="12">
        <v>0.15</v>
      </c>
      <c r="R112" s="12">
        <v>0.15</v>
      </c>
      <c r="S112" s="12">
        <v>0.15</v>
      </c>
      <c r="T112" s="12">
        <v>0.15</v>
      </c>
      <c r="U112" s="12">
        <v>0.15</v>
      </c>
      <c r="V112" s="12">
        <v>0.15</v>
      </c>
      <c r="W112" s="12">
        <v>0.15</v>
      </c>
      <c r="X112" s="12">
        <v>0.15</v>
      </c>
      <c r="Y112" s="12">
        <v>0.15</v>
      </c>
      <c r="Z112" s="12">
        <v>0.15</v>
      </c>
      <c r="AA112" s="12">
        <v>0.15</v>
      </c>
      <c r="AB112" s="12">
        <v>0.15</v>
      </c>
      <c r="AC112" s="12">
        <v>0.15</v>
      </c>
      <c r="AD112" s="12">
        <v>0.15</v>
      </c>
      <c r="AE112" s="12">
        <v>0.15</v>
      </c>
      <c r="AF112" s="12">
        <v>0.15</v>
      </c>
      <c r="AG112" s="12">
        <v>0.15</v>
      </c>
      <c r="AH112" s="12">
        <v>0.15</v>
      </c>
      <c r="AI112" s="12">
        <v>0.15</v>
      </c>
      <c r="AJ112" s="12">
        <v>0.15</v>
      </c>
      <c r="AK112" s="12">
        <v>0.15</v>
      </c>
      <c r="AL112" s="12">
        <v>0.15</v>
      </c>
      <c r="AM112" s="12">
        <v>0.15</v>
      </c>
      <c r="AN112" s="12">
        <v>0.15</v>
      </c>
      <c r="AO112" s="12">
        <v>0.15</v>
      </c>
      <c r="AP112" s="12">
        <v>0.15</v>
      </c>
      <c r="AQ112" s="12">
        <v>0.15</v>
      </c>
      <c r="AR112" s="12">
        <v>0.15</v>
      </c>
      <c r="AS112" s="12">
        <v>0.15</v>
      </c>
      <c r="AT112" s="12">
        <v>0.15</v>
      </c>
      <c r="AU112" s="12">
        <v>0.15</v>
      </c>
      <c r="AV112" s="12">
        <v>0.15</v>
      </c>
      <c r="AW112" s="12">
        <v>0.15</v>
      </c>
      <c r="AX112" s="12">
        <v>0.15</v>
      </c>
      <c r="AY112" s="12">
        <v>0.15</v>
      </c>
      <c r="AZ112" s="12">
        <v>0.15</v>
      </c>
      <c r="BA112" s="12">
        <v>0.15</v>
      </c>
      <c r="BB112" s="12">
        <v>0.15</v>
      </c>
      <c r="BC112" s="12">
        <v>0.15</v>
      </c>
      <c r="BD112" s="12">
        <v>0.15</v>
      </c>
      <c r="BE112" s="12">
        <v>0.15</v>
      </c>
      <c r="BF112" s="12">
        <v>0.15</v>
      </c>
      <c r="BG112" s="12">
        <v>0.15</v>
      </c>
      <c r="BH112" s="12">
        <v>0.15</v>
      </c>
      <c r="BI112" s="12">
        <v>0.15</v>
      </c>
      <c r="BJ112" s="12">
        <v>0.15</v>
      </c>
      <c r="BK112" s="12">
        <v>0.15</v>
      </c>
      <c r="BL112" s="12">
        <v>0.15</v>
      </c>
      <c r="BM112" s="12">
        <v>0.15</v>
      </c>
      <c r="BN112" s="12">
        <v>0.15</v>
      </c>
      <c r="BO112" s="12">
        <v>0.15</v>
      </c>
      <c r="BP112" s="12">
        <v>0.15</v>
      </c>
      <c r="BQ112" s="12">
        <v>0.15</v>
      </c>
      <c r="BR112" s="12">
        <v>0.15</v>
      </c>
      <c r="BS112" s="12">
        <v>0.15</v>
      </c>
      <c r="BT112" s="12">
        <v>0.15</v>
      </c>
      <c r="BU112" s="12">
        <v>0.15</v>
      </c>
      <c r="BV112" s="12">
        <v>0.15</v>
      </c>
      <c r="BW112" s="12">
        <v>0.15</v>
      </c>
      <c r="BX112" s="12">
        <v>0.15</v>
      </c>
      <c r="BY112" s="12">
        <v>0.15</v>
      </c>
    </row>
    <row r="113" spans="1:77" x14ac:dyDescent="0.25">
      <c r="A113" s="152" t="s">
        <v>1312</v>
      </c>
      <c r="B113" s="12" t="s">
        <v>783</v>
      </c>
      <c r="C113" s="12">
        <v>1</v>
      </c>
      <c r="D113" s="152">
        <v>1</v>
      </c>
      <c r="E113" s="12">
        <v>1</v>
      </c>
      <c r="F113" s="12">
        <v>1</v>
      </c>
      <c r="G113" s="12">
        <v>1</v>
      </c>
      <c r="H113" s="12">
        <v>1</v>
      </c>
      <c r="I113" s="12">
        <v>1</v>
      </c>
      <c r="J113" s="12">
        <v>1</v>
      </c>
      <c r="K113" s="12">
        <v>1</v>
      </c>
      <c r="L113" s="12">
        <v>1</v>
      </c>
      <c r="M113" s="12">
        <v>1</v>
      </c>
      <c r="N113" s="12">
        <v>1</v>
      </c>
      <c r="O113" s="12">
        <v>1</v>
      </c>
      <c r="P113" s="12">
        <v>1</v>
      </c>
      <c r="Q113" s="12">
        <v>1</v>
      </c>
      <c r="R113" s="12">
        <v>1</v>
      </c>
      <c r="S113" s="12">
        <v>1</v>
      </c>
      <c r="T113" s="12">
        <v>1</v>
      </c>
      <c r="U113" s="12">
        <v>1</v>
      </c>
      <c r="V113" s="12">
        <v>1</v>
      </c>
      <c r="W113" s="12">
        <v>1</v>
      </c>
      <c r="X113" s="12">
        <v>1</v>
      </c>
      <c r="Y113" s="12">
        <v>1</v>
      </c>
      <c r="Z113" s="12">
        <v>1</v>
      </c>
      <c r="AA113" s="12">
        <v>1</v>
      </c>
      <c r="AB113" s="12">
        <v>1</v>
      </c>
      <c r="AC113" s="12">
        <v>1</v>
      </c>
      <c r="AD113" s="12">
        <v>1</v>
      </c>
      <c r="AE113" s="12">
        <v>1</v>
      </c>
      <c r="AF113" s="12">
        <v>1</v>
      </c>
      <c r="AG113" s="12">
        <v>1</v>
      </c>
      <c r="AH113" s="12">
        <v>1</v>
      </c>
      <c r="AI113" s="12">
        <v>1</v>
      </c>
      <c r="AJ113" s="12">
        <v>1</v>
      </c>
      <c r="AK113" s="12">
        <v>1</v>
      </c>
      <c r="AL113" s="12">
        <v>1</v>
      </c>
      <c r="AM113" s="12">
        <v>1</v>
      </c>
      <c r="AN113" s="12">
        <v>1</v>
      </c>
      <c r="AO113" s="12">
        <v>1</v>
      </c>
      <c r="AP113" s="12">
        <v>1</v>
      </c>
      <c r="AQ113" s="12">
        <v>1</v>
      </c>
      <c r="AR113" s="12">
        <v>1</v>
      </c>
      <c r="AS113" s="12">
        <v>1</v>
      </c>
      <c r="AT113" s="12">
        <v>1</v>
      </c>
      <c r="AU113" s="12">
        <v>1</v>
      </c>
      <c r="AV113" s="12">
        <v>1</v>
      </c>
      <c r="AW113" s="12">
        <v>1</v>
      </c>
      <c r="AX113" s="12">
        <v>1</v>
      </c>
      <c r="AY113" s="12">
        <v>1</v>
      </c>
      <c r="AZ113" s="12">
        <v>1</v>
      </c>
      <c r="BA113" s="12">
        <v>1</v>
      </c>
      <c r="BB113" s="12">
        <v>1</v>
      </c>
      <c r="BC113" s="12">
        <v>1</v>
      </c>
      <c r="BD113" s="12">
        <v>1</v>
      </c>
      <c r="BE113" s="12">
        <v>1</v>
      </c>
      <c r="BF113" s="12">
        <v>1</v>
      </c>
      <c r="BG113" s="12">
        <v>1</v>
      </c>
      <c r="BH113" s="12">
        <v>1</v>
      </c>
      <c r="BI113" s="12">
        <v>1</v>
      </c>
      <c r="BJ113" s="12">
        <v>1</v>
      </c>
      <c r="BK113" s="12">
        <v>1</v>
      </c>
      <c r="BL113" s="12">
        <v>1</v>
      </c>
      <c r="BM113" s="12">
        <v>1</v>
      </c>
      <c r="BN113" s="12">
        <v>1</v>
      </c>
      <c r="BO113" s="12">
        <v>1</v>
      </c>
      <c r="BP113" s="12">
        <v>1</v>
      </c>
      <c r="BQ113" s="12">
        <v>1</v>
      </c>
      <c r="BR113" s="12">
        <v>1</v>
      </c>
      <c r="BS113" s="12">
        <v>1</v>
      </c>
      <c r="BT113" s="12">
        <v>1</v>
      </c>
      <c r="BU113" s="12">
        <v>1</v>
      </c>
      <c r="BV113" s="12">
        <v>1</v>
      </c>
      <c r="BW113" s="12">
        <v>1</v>
      </c>
      <c r="BX113" s="12">
        <v>1</v>
      </c>
      <c r="BY113" s="12">
        <v>1</v>
      </c>
    </row>
    <row r="114" spans="1:77" x14ac:dyDescent="0.25">
      <c r="A114" s="152" t="s">
        <v>1313</v>
      </c>
      <c r="B114" s="12" t="s">
        <v>784</v>
      </c>
      <c r="C114" s="12">
        <v>0</v>
      </c>
      <c r="D114" s="152">
        <v>0</v>
      </c>
      <c r="E114" s="12">
        <v>0</v>
      </c>
      <c r="F114" s="12">
        <v>0</v>
      </c>
      <c r="G114" s="12">
        <v>0</v>
      </c>
      <c r="H114" s="12">
        <v>0</v>
      </c>
      <c r="I114" s="12">
        <v>0</v>
      </c>
      <c r="J114" s="12">
        <v>0</v>
      </c>
      <c r="K114" s="12">
        <v>0</v>
      </c>
      <c r="L114" s="12">
        <v>0</v>
      </c>
      <c r="M114" s="12">
        <v>0</v>
      </c>
      <c r="N114" s="12">
        <v>0</v>
      </c>
      <c r="O114" s="12">
        <v>0</v>
      </c>
      <c r="P114" s="12">
        <v>0</v>
      </c>
      <c r="Q114" s="12">
        <v>0</v>
      </c>
      <c r="R114" s="12">
        <v>0</v>
      </c>
      <c r="S114" s="12">
        <v>0</v>
      </c>
      <c r="T114" s="12">
        <v>0</v>
      </c>
      <c r="U114" s="12">
        <v>0</v>
      </c>
      <c r="V114" s="12">
        <v>0</v>
      </c>
      <c r="W114" s="12">
        <v>0</v>
      </c>
      <c r="X114" s="12">
        <v>0</v>
      </c>
      <c r="Y114" s="12">
        <v>0</v>
      </c>
      <c r="Z114" s="12">
        <v>0</v>
      </c>
      <c r="AA114" s="12">
        <v>0</v>
      </c>
      <c r="AB114" s="12">
        <v>0</v>
      </c>
      <c r="AC114" s="12">
        <v>0</v>
      </c>
      <c r="AD114" s="12">
        <v>0</v>
      </c>
      <c r="AE114" s="12">
        <v>0</v>
      </c>
      <c r="AF114" s="12">
        <v>0</v>
      </c>
      <c r="AG114" s="12">
        <v>0</v>
      </c>
      <c r="AH114" s="12">
        <v>0</v>
      </c>
      <c r="AI114" s="12">
        <v>0</v>
      </c>
      <c r="AJ114" s="12">
        <v>0</v>
      </c>
      <c r="AK114" s="12">
        <v>0</v>
      </c>
      <c r="AL114" s="12">
        <v>0</v>
      </c>
      <c r="AM114" s="12">
        <v>0</v>
      </c>
      <c r="AN114" s="12">
        <v>0</v>
      </c>
      <c r="AO114" s="12">
        <v>0</v>
      </c>
      <c r="AP114" s="12">
        <v>0</v>
      </c>
      <c r="AQ114" s="12">
        <v>0</v>
      </c>
      <c r="AR114" s="12">
        <v>0</v>
      </c>
      <c r="AS114" s="12">
        <v>0</v>
      </c>
      <c r="AT114" s="12">
        <v>0</v>
      </c>
      <c r="AU114" s="12">
        <v>0</v>
      </c>
      <c r="AV114" s="12">
        <v>0</v>
      </c>
      <c r="AW114" s="12">
        <v>0</v>
      </c>
      <c r="AX114" s="12">
        <v>0</v>
      </c>
      <c r="AY114" s="12">
        <v>0</v>
      </c>
      <c r="AZ114" s="12">
        <v>0</v>
      </c>
      <c r="BA114" s="12">
        <v>0</v>
      </c>
      <c r="BB114" s="12">
        <v>0</v>
      </c>
      <c r="BC114" s="12">
        <v>0</v>
      </c>
      <c r="BD114" s="12">
        <v>0</v>
      </c>
      <c r="BE114" s="12">
        <v>0</v>
      </c>
      <c r="BF114" s="12">
        <v>0</v>
      </c>
      <c r="BG114" s="12">
        <v>0</v>
      </c>
      <c r="BH114" s="12">
        <v>0</v>
      </c>
      <c r="BI114" s="12">
        <v>0</v>
      </c>
      <c r="BJ114" s="12">
        <v>0</v>
      </c>
      <c r="BK114" s="12">
        <v>0</v>
      </c>
      <c r="BL114" s="12">
        <v>0</v>
      </c>
      <c r="BM114" s="12">
        <v>0</v>
      </c>
      <c r="BN114" s="12">
        <v>0</v>
      </c>
      <c r="BO114" s="12">
        <v>0</v>
      </c>
      <c r="BP114" s="12">
        <v>0</v>
      </c>
      <c r="BQ114" s="12">
        <v>0</v>
      </c>
      <c r="BR114" s="12">
        <v>0</v>
      </c>
      <c r="BS114" s="12">
        <v>0</v>
      </c>
      <c r="BT114" s="12">
        <v>0</v>
      </c>
      <c r="BU114" s="12">
        <v>0</v>
      </c>
      <c r="BV114" s="12">
        <v>0</v>
      </c>
      <c r="BW114" s="12">
        <v>0</v>
      </c>
      <c r="BX114" s="12">
        <v>0</v>
      </c>
      <c r="BY114" s="12">
        <v>0</v>
      </c>
    </row>
    <row r="115" spans="1:77" x14ac:dyDescent="0.25">
      <c r="A115" s="152" t="s">
        <v>1314</v>
      </c>
      <c r="B115" s="12" t="s">
        <v>785</v>
      </c>
      <c r="C115" s="12">
        <v>1</v>
      </c>
      <c r="D115" s="12">
        <v>1</v>
      </c>
      <c r="E115" s="12">
        <v>1</v>
      </c>
      <c r="F115" s="12">
        <v>1</v>
      </c>
      <c r="G115" s="12">
        <v>1</v>
      </c>
      <c r="H115" s="12">
        <v>1</v>
      </c>
      <c r="I115" s="12">
        <v>1</v>
      </c>
      <c r="J115" s="12">
        <v>1</v>
      </c>
      <c r="K115" s="12">
        <v>1</v>
      </c>
      <c r="L115" s="12">
        <v>1</v>
      </c>
      <c r="M115" s="12">
        <v>1</v>
      </c>
      <c r="N115" s="12">
        <v>1</v>
      </c>
      <c r="O115" s="12">
        <v>1</v>
      </c>
      <c r="P115" s="12">
        <v>1</v>
      </c>
      <c r="Q115" s="12">
        <v>1</v>
      </c>
      <c r="R115" s="12">
        <v>1</v>
      </c>
      <c r="S115" s="12">
        <v>1</v>
      </c>
      <c r="T115" s="12">
        <v>1</v>
      </c>
      <c r="U115" s="12">
        <v>1</v>
      </c>
      <c r="V115" s="12">
        <v>1</v>
      </c>
      <c r="W115" s="12">
        <v>1</v>
      </c>
      <c r="X115" s="12">
        <v>1</v>
      </c>
      <c r="Y115" s="12">
        <v>1</v>
      </c>
      <c r="Z115" s="12">
        <v>1</v>
      </c>
      <c r="AA115" s="12">
        <v>1</v>
      </c>
      <c r="AB115" s="12">
        <v>1</v>
      </c>
      <c r="AC115" s="12">
        <v>1</v>
      </c>
      <c r="AD115" s="12">
        <v>1</v>
      </c>
      <c r="AE115" s="12">
        <v>1</v>
      </c>
      <c r="AF115" s="12">
        <v>1</v>
      </c>
      <c r="AG115" s="12">
        <v>1</v>
      </c>
      <c r="AH115" s="12">
        <v>1</v>
      </c>
      <c r="AI115" s="12">
        <v>1</v>
      </c>
      <c r="AJ115" s="12">
        <v>1</v>
      </c>
      <c r="AK115" s="12">
        <v>1</v>
      </c>
      <c r="AL115" s="12">
        <v>1</v>
      </c>
      <c r="AM115" s="12">
        <v>1</v>
      </c>
      <c r="AN115" s="12">
        <v>1</v>
      </c>
      <c r="AO115" s="12">
        <v>1</v>
      </c>
      <c r="AP115" s="12">
        <v>1</v>
      </c>
      <c r="AQ115" s="12">
        <v>1</v>
      </c>
      <c r="AR115" s="12">
        <v>1</v>
      </c>
      <c r="AS115" s="12">
        <v>1</v>
      </c>
      <c r="AT115" s="12">
        <v>1</v>
      </c>
      <c r="AU115" s="12">
        <v>1</v>
      </c>
      <c r="AV115" s="12">
        <v>1</v>
      </c>
      <c r="AW115" s="12">
        <v>1</v>
      </c>
      <c r="AX115" s="12">
        <v>1</v>
      </c>
      <c r="AY115" s="12">
        <v>1</v>
      </c>
      <c r="AZ115" s="12">
        <v>1</v>
      </c>
      <c r="BA115" s="12">
        <v>1</v>
      </c>
      <c r="BB115" s="12">
        <v>1</v>
      </c>
      <c r="BC115" s="12">
        <v>1</v>
      </c>
      <c r="BD115" s="12">
        <v>1</v>
      </c>
      <c r="BE115" s="12">
        <v>1</v>
      </c>
      <c r="BF115" s="12">
        <v>1</v>
      </c>
      <c r="BG115" s="12">
        <v>1</v>
      </c>
      <c r="BH115" s="12">
        <v>1</v>
      </c>
      <c r="BI115" s="12">
        <v>1</v>
      </c>
      <c r="BJ115" s="12">
        <v>1</v>
      </c>
      <c r="BK115" s="12">
        <v>1</v>
      </c>
      <c r="BL115" s="12">
        <v>1</v>
      </c>
      <c r="BM115" s="12">
        <v>1</v>
      </c>
      <c r="BN115" s="12">
        <v>1</v>
      </c>
      <c r="BO115" s="12">
        <v>1</v>
      </c>
      <c r="BP115" s="12">
        <v>1</v>
      </c>
      <c r="BQ115" s="12">
        <v>1</v>
      </c>
      <c r="BR115" s="12">
        <v>1</v>
      </c>
      <c r="BS115" s="12">
        <v>1</v>
      </c>
      <c r="BT115" s="12">
        <v>1</v>
      </c>
      <c r="BU115" s="12">
        <v>1</v>
      </c>
      <c r="BV115" s="12">
        <v>1</v>
      </c>
      <c r="BW115" s="12">
        <v>1</v>
      </c>
      <c r="BX115" s="12">
        <v>1</v>
      </c>
      <c r="BY115" s="12">
        <v>1</v>
      </c>
    </row>
    <row r="116" spans="1:77" x14ac:dyDescent="0.25">
      <c r="A116" s="152" t="s">
        <v>1315</v>
      </c>
      <c r="B116" s="12" t="s">
        <v>786</v>
      </c>
      <c r="C116" s="12">
        <v>0</v>
      </c>
      <c r="D116" s="12">
        <v>0</v>
      </c>
      <c r="E116" s="12">
        <v>0</v>
      </c>
      <c r="F116" s="12">
        <v>0</v>
      </c>
      <c r="G116" s="12">
        <v>0</v>
      </c>
      <c r="H116" s="12">
        <v>0</v>
      </c>
      <c r="I116" s="12">
        <v>0</v>
      </c>
      <c r="J116" s="12">
        <v>0</v>
      </c>
      <c r="K116" s="12">
        <v>0</v>
      </c>
      <c r="L116" s="12">
        <v>0</v>
      </c>
      <c r="M116" s="12">
        <v>0</v>
      </c>
      <c r="N116" s="12">
        <v>0</v>
      </c>
      <c r="O116" s="12">
        <v>0</v>
      </c>
      <c r="P116" s="12">
        <v>0</v>
      </c>
      <c r="Q116" s="12">
        <v>0</v>
      </c>
      <c r="R116" s="12">
        <v>0</v>
      </c>
      <c r="S116" s="12">
        <v>0</v>
      </c>
      <c r="T116" s="12">
        <v>0</v>
      </c>
      <c r="U116" s="12">
        <v>0</v>
      </c>
      <c r="V116" s="12">
        <v>0</v>
      </c>
      <c r="W116" s="12">
        <v>0</v>
      </c>
      <c r="X116" s="12">
        <v>0</v>
      </c>
      <c r="Y116" s="12">
        <v>0</v>
      </c>
      <c r="Z116" s="12">
        <v>0</v>
      </c>
      <c r="AA116" s="12">
        <v>0</v>
      </c>
      <c r="AB116" s="12">
        <v>0</v>
      </c>
      <c r="AC116" s="12">
        <v>0</v>
      </c>
      <c r="AD116" s="12">
        <v>0</v>
      </c>
      <c r="AE116" s="12">
        <v>0</v>
      </c>
      <c r="AF116" s="12">
        <v>0</v>
      </c>
      <c r="AG116" s="12">
        <v>0</v>
      </c>
      <c r="AH116" s="12">
        <v>0</v>
      </c>
      <c r="AI116" s="12">
        <v>0</v>
      </c>
      <c r="AJ116" s="12">
        <v>0</v>
      </c>
      <c r="AK116" s="12">
        <v>0</v>
      </c>
      <c r="AL116" s="12">
        <v>0</v>
      </c>
      <c r="AM116" s="12">
        <v>0</v>
      </c>
      <c r="AN116" s="12">
        <v>0</v>
      </c>
      <c r="AO116" s="12">
        <v>0</v>
      </c>
      <c r="AP116" s="12">
        <v>0</v>
      </c>
      <c r="AQ116" s="12">
        <v>0</v>
      </c>
      <c r="AR116" s="12">
        <v>0</v>
      </c>
      <c r="AS116" s="12">
        <v>0</v>
      </c>
      <c r="AT116" s="12">
        <v>0</v>
      </c>
      <c r="AU116" s="12">
        <v>0</v>
      </c>
      <c r="AV116" s="12">
        <v>0</v>
      </c>
      <c r="AW116" s="12">
        <v>0</v>
      </c>
      <c r="AX116" s="12">
        <v>0</v>
      </c>
      <c r="AY116" s="12">
        <v>0</v>
      </c>
      <c r="AZ116" s="12">
        <v>0</v>
      </c>
      <c r="BA116" s="12">
        <v>0</v>
      </c>
      <c r="BB116" s="12">
        <v>0</v>
      </c>
      <c r="BC116" s="12">
        <v>0</v>
      </c>
      <c r="BD116" s="12">
        <v>0</v>
      </c>
      <c r="BE116" s="12">
        <v>0</v>
      </c>
      <c r="BF116" s="12">
        <v>0</v>
      </c>
      <c r="BG116" s="12">
        <v>0</v>
      </c>
      <c r="BH116" s="12">
        <v>0</v>
      </c>
      <c r="BI116" s="12">
        <v>0</v>
      </c>
      <c r="BJ116" s="12">
        <v>0</v>
      </c>
      <c r="BK116" s="12">
        <v>0</v>
      </c>
      <c r="BL116" s="12">
        <v>0</v>
      </c>
      <c r="BM116" s="12">
        <v>0</v>
      </c>
      <c r="BN116" s="12">
        <v>0</v>
      </c>
      <c r="BO116" s="12">
        <v>0</v>
      </c>
      <c r="BP116" s="12">
        <v>0</v>
      </c>
      <c r="BQ116" s="12">
        <v>0</v>
      </c>
      <c r="BR116" s="12">
        <v>0</v>
      </c>
      <c r="BS116" s="12">
        <v>0</v>
      </c>
      <c r="BT116" s="12">
        <v>0</v>
      </c>
      <c r="BU116" s="12">
        <v>0</v>
      </c>
      <c r="BV116" s="12">
        <v>0</v>
      </c>
      <c r="BW116" s="12">
        <v>0</v>
      </c>
      <c r="BX116" s="12">
        <v>0</v>
      </c>
      <c r="BY116" s="12">
        <v>0</v>
      </c>
    </row>
    <row r="117" spans="1:77" x14ac:dyDescent="0.25">
      <c r="A117" s="152" t="s">
        <v>1316</v>
      </c>
      <c r="B117" s="12" t="s">
        <v>787</v>
      </c>
      <c r="C117" s="12">
        <v>0</v>
      </c>
      <c r="D117" s="12">
        <v>0</v>
      </c>
      <c r="E117" s="12">
        <v>0</v>
      </c>
      <c r="F117" s="12">
        <v>0</v>
      </c>
      <c r="G117" s="12">
        <v>0</v>
      </c>
      <c r="H117" s="12">
        <v>0</v>
      </c>
      <c r="I117" s="12">
        <v>0</v>
      </c>
      <c r="J117" s="12">
        <v>0</v>
      </c>
      <c r="K117" s="12">
        <v>0</v>
      </c>
      <c r="L117" s="12">
        <v>0</v>
      </c>
      <c r="M117" s="12">
        <v>0</v>
      </c>
      <c r="N117" s="12">
        <v>0</v>
      </c>
      <c r="O117" s="12">
        <v>0</v>
      </c>
      <c r="P117" s="12">
        <v>0</v>
      </c>
      <c r="Q117" s="12">
        <v>0</v>
      </c>
      <c r="R117" s="12">
        <v>0</v>
      </c>
      <c r="S117" s="12">
        <v>0</v>
      </c>
      <c r="T117" s="12">
        <v>0</v>
      </c>
      <c r="U117" s="12">
        <v>0</v>
      </c>
      <c r="V117" s="12">
        <v>0</v>
      </c>
      <c r="W117" s="12">
        <v>0</v>
      </c>
      <c r="X117" s="12">
        <v>0</v>
      </c>
      <c r="Y117" s="12">
        <v>0</v>
      </c>
      <c r="Z117" s="12">
        <v>0</v>
      </c>
      <c r="AA117" s="12">
        <v>0</v>
      </c>
      <c r="AB117" s="12">
        <v>0</v>
      </c>
      <c r="AC117" s="12">
        <v>0</v>
      </c>
      <c r="AD117" s="12">
        <v>0</v>
      </c>
      <c r="AE117" s="12">
        <v>0</v>
      </c>
      <c r="AF117" s="12">
        <v>0</v>
      </c>
      <c r="AG117" s="12">
        <v>0</v>
      </c>
      <c r="AH117" s="12">
        <v>0</v>
      </c>
      <c r="AI117" s="12">
        <v>0</v>
      </c>
      <c r="AJ117" s="12">
        <v>0</v>
      </c>
      <c r="AK117" s="12">
        <v>0</v>
      </c>
      <c r="AL117" s="12">
        <v>0</v>
      </c>
      <c r="AM117" s="12">
        <v>0</v>
      </c>
      <c r="AN117" s="12">
        <v>0</v>
      </c>
      <c r="AO117" s="12">
        <v>0</v>
      </c>
      <c r="AP117" s="12">
        <v>0</v>
      </c>
      <c r="AQ117" s="12">
        <v>0</v>
      </c>
      <c r="AR117" s="12">
        <v>0</v>
      </c>
      <c r="AS117" s="12">
        <v>0</v>
      </c>
      <c r="AT117" s="12">
        <v>0</v>
      </c>
      <c r="AU117" s="12">
        <v>0</v>
      </c>
      <c r="AV117" s="12">
        <v>0</v>
      </c>
      <c r="AW117" s="12">
        <v>0</v>
      </c>
      <c r="AX117" s="12">
        <v>0</v>
      </c>
      <c r="AY117" s="12">
        <v>0</v>
      </c>
      <c r="AZ117" s="12">
        <v>0</v>
      </c>
      <c r="BA117" s="12">
        <v>0</v>
      </c>
      <c r="BB117" s="12">
        <v>0</v>
      </c>
      <c r="BC117" s="12">
        <v>0</v>
      </c>
      <c r="BD117" s="12">
        <v>0</v>
      </c>
      <c r="BE117" s="12">
        <v>0</v>
      </c>
      <c r="BF117" s="12">
        <v>0</v>
      </c>
      <c r="BG117" s="12">
        <v>0</v>
      </c>
      <c r="BH117" s="12">
        <v>0</v>
      </c>
      <c r="BI117" s="12">
        <v>0</v>
      </c>
      <c r="BJ117" s="12">
        <v>0</v>
      </c>
      <c r="BK117" s="12">
        <v>0</v>
      </c>
      <c r="BL117" s="12">
        <v>0</v>
      </c>
      <c r="BM117" s="12">
        <v>0</v>
      </c>
      <c r="BN117" s="12">
        <v>0</v>
      </c>
      <c r="BO117" s="12">
        <v>0</v>
      </c>
      <c r="BP117" s="12">
        <v>0</v>
      </c>
      <c r="BQ117" s="12">
        <v>0</v>
      </c>
      <c r="BR117" s="12">
        <v>0</v>
      </c>
      <c r="BS117" s="12">
        <v>0</v>
      </c>
      <c r="BT117" s="12">
        <v>0</v>
      </c>
      <c r="BU117" s="12">
        <v>0</v>
      </c>
      <c r="BV117" s="12">
        <v>0</v>
      </c>
      <c r="BW117" s="12">
        <v>0</v>
      </c>
      <c r="BX117" s="12">
        <v>0</v>
      </c>
      <c r="BY117" s="12">
        <v>0</v>
      </c>
    </row>
    <row r="118" spans="1:77" x14ac:dyDescent="0.25">
      <c r="A118" s="152" t="s">
        <v>1317</v>
      </c>
      <c r="B118" s="12" t="s">
        <v>788</v>
      </c>
      <c r="C118" s="12">
        <v>0</v>
      </c>
      <c r="D118" s="12">
        <v>0</v>
      </c>
      <c r="E118" s="12">
        <v>0</v>
      </c>
      <c r="F118" s="12">
        <v>0</v>
      </c>
      <c r="G118" s="12">
        <v>0</v>
      </c>
      <c r="H118" s="12">
        <v>0</v>
      </c>
      <c r="I118" s="12">
        <v>0</v>
      </c>
      <c r="J118" s="12">
        <v>0</v>
      </c>
      <c r="K118" s="12">
        <v>0</v>
      </c>
      <c r="L118" s="12">
        <v>0</v>
      </c>
      <c r="M118" s="12">
        <v>0</v>
      </c>
      <c r="N118" s="12">
        <v>0</v>
      </c>
      <c r="O118" s="12">
        <v>0</v>
      </c>
      <c r="P118" s="12">
        <v>0</v>
      </c>
      <c r="Q118" s="12">
        <v>0</v>
      </c>
      <c r="R118" s="12">
        <v>0</v>
      </c>
      <c r="S118" s="12">
        <v>0</v>
      </c>
      <c r="T118" s="12">
        <v>0</v>
      </c>
      <c r="U118" s="12">
        <v>0</v>
      </c>
      <c r="V118" s="12">
        <v>0</v>
      </c>
      <c r="W118" s="12">
        <v>0</v>
      </c>
      <c r="X118" s="12">
        <v>0</v>
      </c>
      <c r="Y118" s="12">
        <v>0</v>
      </c>
      <c r="Z118" s="12">
        <v>0</v>
      </c>
      <c r="AA118" s="12">
        <v>0</v>
      </c>
      <c r="AB118" s="12">
        <v>0</v>
      </c>
      <c r="AC118" s="12">
        <v>0</v>
      </c>
      <c r="AD118" s="12">
        <v>0</v>
      </c>
      <c r="AE118" s="12">
        <v>0</v>
      </c>
      <c r="AF118" s="12">
        <v>0</v>
      </c>
      <c r="AG118" s="12">
        <v>0</v>
      </c>
      <c r="AH118" s="12">
        <v>0</v>
      </c>
      <c r="AI118" s="12">
        <v>0</v>
      </c>
      <c r="AJ118" s="12">
        <v>0</v>
      </c>
      <c r="AK118" s="12">
        <v>0</v>
      </c>
      <c r="AL118" s="12">
        <v>0</v>
      </c>
      <c r="AM118" s="12">
        <v>0</v>
      </c>
      <c r="AN118" s="12">
        <v>0</v>
      </c>
      <c r="AO118" s="12">
        <v>0</v>
      </c>
      <c r="AP118" s="12">
        <v>0</v>
      </c>
      <c r="AQ118" s="12">
        <v>0</v>
      </c>
      <c r="AR118" s="12">
        <v>0</v>
      </c>
      <c r="AS118" s="12">
        <v>0</v>
      </c>
      <c r="AT118" s="12">
        <v>0</v>
      </c>
      <c r="AU118" s="12">
        <v>0</v>
      </c>
      <c r="AV118" s="12">
        <v>0</v>
      </c>
      <c r="AW118" s="12">
        <v>0</v>
      </c>
      <c r="AX118" s="12">
        <v>0</v>
      </c>
      <c r="AY118" s="12">
        <v>0</v>
      </c>
      <c r="AZ118" s="12">
        <v>0</v>
      </c>
      <c r="BA118" s="12">
        <v>0</v>
      </c>
      <c r="BB118" s="12">
        <v>0</v>
      </c>
      <c r="BC118" s="12">
        <v>0</v>
      </c>
      <c r="BD118" s="12">
        <v>0</v>
      </c>
      <c r="BE118" s="12">
        <v>0</v>
      </c>
      <c r="BF118" s="12">
        <v>0</v>
      </c>
      <c r="BG118" s="12">
        <v>0</v>
      </c>
      <c r="BH118" s="12">
        <v>0</v>
      </c>
      <c r="BI118" s="12">
        <v>0</v>
      </c>
      <c r="BJ118" s="12">
        <v>0</v>
      </c>
      <c r="BK118" s="12">
        <v>0</v>
      </c>
      <c r="BL118" s="12">
        <v>0</v>
      </c>
      <c r="BM118" s="12">
        <v>0</v>
      </c>
      <c r="BN118" s="12">
        <v>0</v>
      </c>
      <c r="BO118" s="12">
        <v>0</v>
      </c>
      <c r="BP118" s="12">
        <v>0</v>
      </c>
      <c r="BQ118" s="12">
        <v>0</v>
      </c>
      <c r="BR118" s="12">
        <v>0</v>
      </c>
      <c r="BS118" s="12">
        <v>0</v>
      </c>
      <c r="BT118" s="12">
        <v>0</v>
      </c>
      <c r="BU118" s="12">
        <v>0</v>
      </c>
      <c r="BV118" s="12">
        <v>0</v>
      </c>
      <c r="BW118" s="12">
        <v>0</v>
      </c>
      <c r="BX118" s="12">
        <v>0</v>
      </c>
      <c r="BY118" s="12">
        <v>0</v>
      </c>
    </row>
    <row r="119" spans="1:77" x14ac:dyDescent="0.25">
      <c r="A119" s="152"/>
      <c r="B119" s="12"/>
    </row>
    <row r="120" spans="1:77" x14ac:dyDescent="0.25">
      <c r="A120" s="191" t="s">
        <v>1586</v>
      </c>
      <c r="B120" s="12"/>
    </row>
    <row r="121" spans="1:77" x14ac:dyDescent="0.25">
      <c r="A121" s="152" t="s">
        <v>1497</v>
      </c>
      <c r="B121" s="12" t="s">
        <v>789</v>
      </c>
      <c r="C121" s="12">
        <v>0</v>
      </c>
      <c r="D121" s="12">
        <v>0</v>
      </c>
      <c r="E121" s="12">
        <v>0</v>
      </c>
      <c r="F121" s="12">
        <v>0</v>
      </c>
      <c r="G121" s="12">
        <v>0</v>
      </c>
      <c r="H121" s="12">
        <v>0</v>
      </c>
      <c r="I121" s="12">
        <v>0</v>
      </c>
      <c r="J121" s="12">
        <v>0</v>
      </c>
      <c r="K121" s="12">
        <v>0</v>
      </c>
      <c r="L121" s="12">
        <v>0</v>
      </c>
      <c r="M121" s="12">
        <v>0</v>
      </c>
      <c r="N121" s="12">
        <v>0</v>
      </c>
      <c r="O121" s="12">
        <v>0</v>
      </c>
      <c r="P121" s="12">
        <v>0</v>
      </c>
      <c r="Q121" s="12">
        <v>0</v>
      </c>
      <c r="R121" s="12">
        <v>1</v>
      </c>
      <c r="S121" s="12">
        <v>1</v>
      </c>
      <c r="T121" s="12">
        <v>1</v>
      </c>
      <c r="U121" s="12">
        <v>1</v>
      </c>
      <c r="V121" s="12">
        <v>1</v>
      </c>
      <c r="W121" s="12">
        <v>0</v>
      </c>
      <c r="X121" s="12">
        <v>1</v>
      </c>
      <c r="Y121" s="12">
        <v>0</v>
      </c>
      <c r="Z121" s="12">
        <v>0</v>
      </c>
      <c r="AA121" s="12">
        <v>1</v>
      </c>
      <c r="AB121" s="12">
        <v>0</v>
      </c>
      <c r="AC121" s="12">
        <v>0</v>
      </c>
      <c r="AD121" s="12">
        <v>0</v>
      </c>
      <c r="AE121" s="12">
        <v>0</v>
      </c>
      <c r="AF121" s="12">
        <v>0</v>
      </c>
      <c r="AG121" s="12">
        <v>1</v>
      </c>
      <c r="AH121" s="12">
        <v>0</v>
      </c>
      <c r="AI121" s="12">
        <v>0</v>
      </c>
      <c r="AJ121" s="12">
        <v>0</v>
      </c>
      <c r="AK121" s="12">
        <v>0</v>
      </c>
      <c r="AL121" s="12">
        <v>0</v>
      </c>
      <c r="AM121" s="12">
        <v>0</v>
      </c>
      <c r="AN121" s="12">
        <v>0</v>
      </c>
      <c r="AO121" s="12">
        <v>0</v>
      </c>
      <c r="AP121" s="12">
        <v>0</v>
      </c>
      <c r="AQ121" s="12">
        <v>0</v>
      </c>
      <c r="AR121" s="12">
        <v>0</v>
      </c>
      <c r="AS121" s="12">
        <v>0</v>
      </c>
      <c r="AT121" s="12">
        <v>0</v>
      </c>
      <c r="AU121" s="12">
        <v>0</v>
      </c>
      <c r="AV121" s="12">
        <v>0</v>
      </c>
      <c r="AW121" s="12">
        <v>0</v>
      </c>
      <c r="AX121" s="12">
        <v>0</v>
      </c>
      <c r="AY121" s="12">
        <v>0</v>
      </c>
      <c r="AZ121" s="12">
        <v>0</v>
      </c>
      <c r="BA121" s="12">
        <v>0</v>
      </c>
      <c r="BB121" s="12">
        <v>0</v>
      </c>
      <c r="BC121" s="12">
        <v>0</v>
      </c>
      <c r="BD121" s="12">
        <v>0</v>
      </c>
      <c r="BE121" s="12">
        <v>0</v>
      </c>
      <c r="BF121" s="12">
        <v>0</v>
      </c>
      <c r="BG121" s="12">
        <v>0</v>
      </c>
      <c r="BH121" s="12">
        <v>0</v>
      </c>
      <c r="BI121" s="12">
        <v>0</v>
      </c>
      <c r="BJ121" s="12">
        <v>0</v>
      </c>
      <c r="BK121" s="12">
        <v>0</v>
      </c>
      <c r="BL121" s="12">
        <v>0</v>
      </c>
      <c r="BM121" s="12">
        <v>0</v>
      </c>
      <c r="BN121" s="12">
        <v>0</v>
      </c>
      <c r="BO121" s="12">
        <v>0</v>
      </c>
      <c r="BP121" s="12">
        <v>0</v>
      </c>
      <c r="BQ121" s="12">
        <v>0</v>
      </c>
      <c r="BR121" s="12">
        <v>0</v>
      </c>
      <c r="BS121" s="12">
        <v>0</v>
      </c>
      <c r="BT121" s="12">
        <v>0</v>
      </c>
      <c r="BU121" s="12">
        <v>1</v>
      </c>
      <c r="BV121" s="12">
        <v>1</v>
      </c>
      <c r="BW121" s="12">
        <v>1</v>
      </c>
      <c r="BX121" s="12">
        <v>1</v>
      </c>
      <c r="BY121" s="12">
        <v>0</v>
      </c>
    </row>
    <row r="122" spans="1:77" x14ac:dyDescent="0.25">
      <c r="A122" s="152" t="s">
        <v>1498</v>
      </c>
      <c r="B122" s="12" t="s">
        <v>792</v>
      </c>
      <c r="C122" s="12">
        <v>0</v>
      </c>
      <c r="D122" s="12">
        <v>0</v>
      </c>
      <c r="E122" s="12">
        <v>0</v>
      </c>
      <c r="F122" s="12">
        <v>0</v>
      </c>
      <c r="G122" s="12">
        <v>0</v>
      </c>
      <c r="H122" s="12">
        <v>0</v>
      </c>
      <c r="I122" s="12">
        <v>0</v>
      </c>
      <c r="J122" s="12">
        <v>0</v>
      </c>
      <c r="K122" s="12">
        <v>0</v>
      </c>
      <c r="L122" s="12">
        <v>0</v>
      </c>
      <c r="M122" s="12">
        <v>0</v>
      </c>
      <c r="N122" s="12">
        <v>0</v>
      </c>
      <c r="O122" s="12">
        <v>0</v>
      </c>
      <c r="P122" s="12">
        <v>0</v>
      </c>
      <c r="Q122" s="12">
        <v>0</v>
      </c>
      <c r="R122" s="12">
        <v>0</v>
      </c>
      <c r="S122" s="12">
        <v>0</v>
      </c>
      <c r="T122" s="12">
        <v>0</v>
      </c>
      <c r="U122" s="12">
        <v>0</v>
      </c>
      <c r="V122" s="12">
        <v>0</v>
      </c>
      <c r="W122" s="12">
        <v>0</v>
      </c>
      <c r="X122" s="12">
        <v>0</v>
      </c>
      <c r="Y122" s="12">
        <v>0</v>
      </c>
      <c r="Z122" s="12">
        <v>0</v>
      </c>
      <c r="AA122" s="12">
        <v>0</v>
      </c>
      <c r="AB122" s="12">
        <v>0</v>
      </c>
      <c r="AC122" s="12">
        <v>0</v>
      </c>
      <c r="AD122" s="12">
        <v>0</v>
      </c>
      <c r="AE122" s="12">
        <v>0</v>
      </c>
      <c r="AF122" s="12">
        <v>0</v>
      </c>
      <c r="AG122" s="12">
        <v>0</v>
      </c>
      <c r="AH122" s="12">
        <v>0</v>
      </c>
      <c r="AI122" s="12">
        <v>0</v>
      </c>
      <c r="AJ122" s="12">
        <v>0</v>
      </c>
      <c r="AK122" s="12">
        <v>0</v>
      </c>
      <c r="AL122" s="12">
        <v>0</v>
      </c>
      <c r="AM122" s="12">
        <v>0</v>
      </c>
      <c r="AN122" s="12">
        <v>0</v>
      </c>
      <c r="AO122" s="12">
        <v>0</v>
      </c>
      <c r="AP122" s="12">
        <v>0</v>
      </c>
      <c r="AQ122" s="12">
        <v>0</v>
      </c>
      <c r="AR122" s="12">
        <v>0</v>
      </c>
      <c r="AS122" s="12">
        <v>0</v>
      </c>
      <c r="AT122" s="12">
        <v>0</v>
      </c>
      <c r="AU122" s="12">
        <v>0</v>
      </c>
      <c r="AV122" s="12">
        <v>0</v>
      </c>
      <c r="AW122" s="12">
        <v>0</v>
      </c>
      <c r="AX122" s="12">
        <v>0</v>
      </c>
      <c r="AY122" s="12">
        <v>0</v>
      </c>
      <c r="AZ122" s="12">
        <v>0</v>
      </c>
      <c r="BA122" s="12">
        <v>0</v>
      </c>
      <c r="BB122" s="12">
        <v>0</v>
      </c>
      <c r="BC122" s="12">
        <v>0</v>
      </c>
      <c r="BD122" s="12">
        <v>0</v>
      </c>
      <c r="BE122" s="12">
        <v>0</v>
      </c>
      <c r="BF122" s="12">
        <v>0</v>
      </c>
      <c r="BG122" s="12">
        <v>0</v>
      </c>
      <c r="BH122" s="12">
        <v>0</v>
      </c>
      <c r="BI122" s="12">
        <v>0</v>
      </c>
      <c r="BJ122" s="12">
        <v>0</v>
      </c>
      <c r="BK122" s="12">
        <v>0</v>
      </c>
      <c r="BL122" s="12">
        <v>0</v>
      </c>
      <c r="BM122" s="12">
        <v>0</v>
      </c>
      <c r="BN122" s="12">
        <v>0</v>
      </c>
      <c r="BO122" s="12">
        <v>0</v>
      </c>
      <c r="BP122" s="12">
        <v>0</v>
      </c>
      <c r="BQ122" s="12">
        <v>0</v>
      </c>
      <c r="BR122" s="12">
        <v>0</v>
      </c>
      <c r="BS122" s="12">
        <v>0</v>
      </c>
      <c r="BT122" s="12">
        <v>0</v>
      </c>
      <c r="BU122" s="12">
        <v>0</v>
      </c>
      <c r="BV122" s="12">
        <v>0</v>
      </c>
      <c r="BW122" s="12">
        <v>0</v>
      </c>
      <c r="BX122" s="12">
        <v>0</v>
      </c>
      <c r="BY122" s="12">
        <v>0</v>
      </c>
    </row>
    <row r="123" spans="1:77" x14ac:dyDescent="0.25">
      <c r="A123" s="152" t="s">
        <v>1499</v>
      </c>
      <c r="B123" s="12" t="s">
        <v>792</v>
      </c>
      <c r="C123" s="12">
        <v>0</v>
      </c>
      <c r="D123" s="12">
        <v>0</v>
      </c>
      <c r="E123" s="12">
        <v>0</v>
      </c>
      <c r="F123" s="12">
        <v>0</v>
      </c>
      <c r="G123" s="12">
        <v>0</v>
      </c>
      <c r="H123" s="12">
        <v>0</v>
      </c>
      <c r="I123" s="12">
        <v>0</v>
      </c>
      <c r="J123" s="12">
        <v>0</v>
      </c>
      <c r="K123" s="12">
        <v>0</v>
      </c>
      <c r="L123" s="12">
        <v>0</v>
      </c>
      <c r="M123" s="12">
        <v>0</v>
      </c>
      <c r="N123" s="12">
        <v>0</v>
      </c>
      <c r="O123" s="12">
        <v>0</v>
      </c>
      <c r="P123" s="12">
        <v>0</v>
      </c>
      <c r="Q123" s="12">
        <v>0</v>
      </c>
      <c r="R123" s="12">
        <v>0</v>
      </c>
      <c r="S123" s="12">
        <v>0</v>
      </c>
      <c r="T123" s="12">
        <v>0</v>
      </c>
      <c r="U123" s="12">
        <v>0</v>
      </c>
      <c r="V123" s="12">
        <v>0</v>
      </c>
      <c r="W123" s="12">
        <v>0</v>
      </c>
      <c r="X123" s="12">
        <v>0</v>
      </c>
      <c r="Y123" s="12">
        <v>0</v>
      </c>
      <c r="Z123" s="12">
        <v>0</v>
      </c>
      <c r="AA123" s="12">
        <v>0</v>
      </c>
      <c r="AB123" s="12">
        <v>0</v>
      </c>
      <c r="AC123" s="12">
        <v>0</v>
      </c>
      <c r="AD123" s="12">
        <v>0</v>
      </c>
      <c r="AE123" s="12">
        <v>0</v>
      </c>
      <c r="AF123" s="12">
        <v>0</v>
      </c>
      <c r="AG123" s="12">
        <v>0</v>
      </c>
      <c r="AH123" s="12">
        <v>0</v>
      </c>
      <c r="AI123" s="12">
        <v>0</v>
      </c>
      <c r="AJ123" s="12">
        <v>0</v>
      </c>
      <c r="AK123" s="12">
        <v>0</v>
      </c>
      <c r="AL123" s="12">
        <v>0</v>
      </c>
      <c r="AM123" s="12">
        <v>0</v>
      </c>
      <c r="AN123" s="12">
        <v>0</v>
      </c>
      <c r="AO123" s="12">
        <v>0</v>
      </c>
      <c r="AP123" s="12">
        <v>0</v>
      </c>
      <c r="AQ123" s="12">
        <v>0</v>
      </c>
      <c r="AR123" s="12">
        <v>0</v>
      </c>
      <c r="AS123" s="12">
        <v>0</v>
      </c>
      <c r="AT123" s="12">
        <v>0</v>
      </c>
      <c r="AU123" s="12">
        <v>0</v>
      </c>
      <c r="AV123" s="12">
        <v>0</v>
      </c>
      <c r="AW123" s="12">
        <v>0</v>
      </c>
      <c r="AX123" s="12">
        <v>0</v>
      </c>
      <c r="AY123" s="12">
        <v>0</v>
      </c>
      <c r="AZ123" s="12">
        <v>0</v>
      </c>
      <c r="BA123" s="12">
        <v>0</v>
      </c>
      <c r="BB123" s="12">
        <v>0</v>
      </c>
      <c r="BC123" s="12">
        <v>0</v>
      </c>
      <c r="BD123" s="12">
        <v>0</v>
      </c>
      <c r="BE123" s="12">
        <v>0</v>
      </c>
      <c r="BF123" s="12">
        <v>0</v>
      </c>
      <c r="BG123" s="12">
        <v>0</v>
      </c>
      <c r="BH123" s="12">
        <v>0</v>
      </c>
      <c r="BI123" s="12">
        <v>0</v>
      </c>
      <c r="BJ123" s="12">
        <v>0</v>
      </c>
      <c r="BK123" s="12">
        <v>0</v>
      </c>
      <c r="BL123" s="12">
        <v>0</v>
      </c>
      <c r="BM123" s="12">
        <v>0</v>
      </c>
      <c r="BN123" s="12">
        <v>0</v>
      </c>
      <c r="BO123" s="12">
        <v>0</v>
      </c>
      <c r="BP123" s="12">
        <v>0</v>
      </c>
      <c r="BQ123" s="12">
        <v>0</v>
      </c>
      <c r="BR123" s="12">
        <v>0</v>
      </c>
      <c r="BS123" s="12">
        <v>0</v>
      </c>
      <c r="BT123" s="12">
        <v>0</v>
      </c>
      <c r="BU123" s="12">
        <v>0</v>
      </c>
      <c r="BV123" s="12">
        <v>0</v>
      </c>
      <c r="BW123" s="12">
        <v>0</v>
      </c>
      <c r="BX123" s="12">
        <v>0</v>
      </c>
      <c r="BY123" s="12">
        <v>0</v>
      </c>
    </row>
    <row r="124" spans="1:77" x14ac:dyDescent="0.25">
      <c r="A124" s="152" t="s">
        <v>1500</v>
      </c>
      <c r="B124" s="12" t="s">
        <v>792</v>
      </c>
      <c r="C124" s="12">
        <v>0</v>
      </c>
      <c r="D124" s="12">
        <v>0</v>
      </c>
      <c r="E124" s="12">
        <v>0</v>
      </c>
      <c r="F124" s="12">
        <v>0</v>
      </c>
      <c r="G124" s="12">
        <v>0</v>
      </c>
      <c r="H124" s="12">
        <v>0</v>
      </c>
      <c r="I124" s="12">
        <v>0</v>
      </c>
      <c r="J124" s="12">
        <v>0</v>
      </c>
      <c r="K124" s="12">
        <v>0</v>
      </c>
      <c r="L124" s="12">
        <v>0</v>
      </c>
      <c r="M124" s="12">
        <v>0</v>
      </c>
      <c r="N124" s="12">
        <v>0</v>
      </c>
      <c r="O124" s="12">
        <v>0</v>
      </c>
      <c r="P124" s="12">
        <v>0</v>
      </c>
      <c r="Q124" s="12">
        <v>0</v>
      </c>
      <c r="R124" s="12">
        <v>0</v>
      </c>
      <c r="S124" s="12">
        <v>0</v>
      </c>
      <c r="T124" s="12">
        <v>0</v>
      </c>
      <c r="U124" s="12">
        <v>0</v>
      </c>
      <c r="V124" s="12">
        <v>0</v>
      </c>
      <c r="W124" s="12">
        <v>0</v>
      </c>
      <c r="X124" s="12">
        <v>0</v>
      </c>
      <c r="Y124" s="12">
        <v>0</v>
      </c>
      <c r="Z124" s="12">
        <v>0</v>
      </c>
      <c r="AA124" s="12">
        <v>0</v>
      </c>
      <c r="AB124" s="12">
        <v>0</v>
      </c>
      <c r="AC124" s="12">
        <v>0</v>
      </c>
      <c r="AD124" s="12">
        <v>0</v>
      </c>
      <c r="AE124" s="12">
        <v>0</v>
      </c>
      <c r="AF124" s="12">
        <v>0</v>
      </c>
      <c r="AG124" s="12">
        <v>0</v>
      </c>
      <c r="AH124" s="12">
        <v>0</v>
      </c>
      <c r="AI124" s="12">
        <v>0</v>
      </c>
      <c r="AJ124" s="12">
        <v>0</v>
      </c>
      <c r="AK124" s="12">
        <v>0</v>
      </c>
      <c r="AL124" s="12">
        <v>0</v>
      </c>
      <c r="AM124" s="12">
        <v>0</v>
      </c>
      <c r="AN124" s="12">
        <v>0</v>
      </c>
      <c r="AO124" s="12">
        <v>0</v>
      </c>
      <c r="AP124" s="12">
        <v>0</v>
      </c>
      <c r="AQ124" s="12">
        <v>0</v>
      </c>
      <c r="AR124" s="12">
        <v>0</v>
      </c>
      <c r="AS124" s="12">
        <v>0</v>
      </c>
      <c r="AT124" s="12">
        <v>0</v>
      </c>
      <c r="AU124" s="12">
        <v>0</v>
      </c>
      <c r="AV124" s="12">
        <v>0</v>
      </c>
      <c r="AW124" s="12">
        <v>0</v>
      </c>
      <c r="AX124" s="12">
        <v>0</v>
      </c>
      <c r="AY124" s="12">
        <v>0</v>
      </c>
      <c r="AZ124" s="12">
        <v>0</v>
      </c>
      <c r="BA124" s="12">
        <v>0</v>
      </c>
      <c r="BB124" s="12">
        <v>0</v>
      </c>
      <c r="BC124" s="12">
        <v>0</v>
      </c>
      <c r="BD124" s="12">
        <v>0</v>
      </c>
      <c r="BE124" s="12">
        <v>0</v>
      </c>
      <c r="BF124" s="12">
        <v>0</v>
      </c>
      <c r="BG124" s="12">
        <v>0</v>
      </c>
      <c r="BH124" s="12">
        <v>0</v>
      </c>
      <c r="BI124" s="12">
        <v>0</v>
      </c>
      <c r="BJ124" s="12">
        <v>0</v>
      </c>
      <c r="BK124" s="12">
        <v>0</v>
      </c>
      <c r="BL124" s="12">
        <v>0</v>
      </c>
      <c r="BM124" s="12">
        <v>0</v>
      </c>
      <c r="BN124" s="12">
        <v>0</v>
      </c>
      <c r="BO124" s="12">
        <v>0</v>
      </c>
      <c r="BP124" s="12">
        <v>0</v>
      </c>
      <c r="BQ124" s="12">
        <v>0</v>
      </c>
      <c r="BR124" s="12">
        <v>0</v>
      </c>
      <c r="BS124" s="12">
        <v>0</v>
      </c>
      <c r="BT124" s="12">
        <v>0</v>
      </c>
      <c r="BU124" s="12">
        <v>0</v>
      </c>
      <c r="BV124" s="12">
        <v>0</v>
      </c>
      <c r="BW124" s="12">
        <v>0</v>
      </c>
      <c r="BX124" s="12">
        <v>0</v>
      </c>
      <c r="BY124" s="12">
        <v>0</v>
      </c>
    </row>
    <row r="125" spans="1:77" x14ac:dyDescent="0.25">
      <c r="A125" s="152" t="s">
        <v>1501</v>
      </c>
      <c r="B125" s="12" t="s">
        <v>792</v>
      </c>
      <c r="C125" s="12">
        <v>0</v>
      </c>
      <c r="D125" s="12">
        <v>0</v>
      </c>
      <c r="E125" s="12">
        <v>0</v>
      </c>
      <c r="F125" s="12">
        <v>0</v>
      </c>
      <c r="G125" s="12">
        <v>0</v>
      </c>
      <c r="H125" s="12">
        <v>0</v>
      </c>
      <c r="I125" s="12">
        <v>0</v>
      </c>
      <c r="J125" s="12">
        <v>0</v>
      </c>
      <c r="K125" s="12">
        <v>0</v>
      </c>
      <c r="L125" s="12">
        <v>0</v>
      </c>
      <c r="M125" s="12">
        <v>0</v>
      </c>
      <c r="N125" s="12">
        <v>0</v>
      </c>
      <c r="O125" s="12">
        <v>0</v>
      </c>
      <c r="P125" s="12">
        <v>0</v>
      </c>
      <c r="Q125" s="12">
        <v>0</v>
      </c>
      <c r="R125" s="12">
        <v>0</v>
      </c>
      <c r="S125" s="12">
        <v>0</v>
      </c>
      <c r="T125" s="12">
        <v>0</v>
      </c>
      <c r="U125" s="12">
        <v>0</v>
      </c>
      <c r="V125" s="12">
        <v>0</v>
      </c>
      <c r="W125" s="12">
        <v>0</v>
      </c>
      <c r="X125" s="12">
        <v>0</v>
      </c>
      <c r="Y125" s="12">
        <v>0</v>
      </c>
      <c r="Z125" s="12">
        <v>0</v>
      </c>
      <c r="AA125" s="12">
        <v>0</v>
      </c>
      <c r="AB125" s="12">
        <v>0</v>
      </c>
      <c r="AC125" s="12">
        <v>0</v>
      </c>
      <c r="AD125" s="12">
        <v>0</v>
      </c>
      <c r="AE125" s="12">
        <v>0</v>
      </c>
      <c r="AF125" s="12">
        <v>0</v>
      </c>
      <c r="AG125" s="12">
        <v>0</v>
      </c>
      <c r="AH125" s="12">
        <v>0</v>
      </c>
      <c r="AI125" s="12">
        <v>0</v>
      </c>
      <c r="AJ125" s="12">
        <v>0</v>
      </c>
      <c r="AK125" s="12">
        <v>0</v>
      </c>
      <c r="AL125" s="12">
        <v>0</v>
      </c>
      <c r="AM125" s="12">
        <v>0</v>
      </c>
      <c r="AN125" s="12">
        <v>0</v>
      </c>
      <c r="AO125" s="12">
        <v>0</v>
      </c>
      <c r="AP125" s="12">
        <v>0</v>
      </c>
      <c r="AQ125" s="12">
        <v>0</v>
      </c>
      <c r="AR125" s="12">
        <v>0</v>
      </c>
      <c r="AS125" s="12">
        <v>0</v>
      </c>
      <c r="AT125" s="12">
        <v>0</v>
      </c>
      <c r="AU125" s="12">
        <v>0</v>
      </c>
      <c r="AV125" s="12">
        <v>0</v>
      </c>
      <c r="AW125" s="12">
        <v>0</v>
      </c>
      <c r="AX125" s="12">
        <v>0</v>
      </c>
      <c r="AY125" s="12">
        <v>0</v>
      </c>
      <c r="AZ125" s="12">
        <v>0</v>
      </c>
      <c r="BA125" s="12">
        <v>0</v>
      </c>
      <c r="BB125" s="12">
        <v>0</v>
      </c>
      <c r="BC125" s="12">
        <v>0</v>
      </c>
      <c r="BD125" s="12">
        <v>0</v>
      </c>
      <c r="BE125" s="12">
        <v>0</v>
      </c>
      <c r="BF125" s="12">
        <v>0</v>
      </c>
      <c r="BG125" s="12">
        <v>0</v>
      </c>
      <c r="BH125" s="12">
        <v>0</v>
      </c>
      <c r="BI125" s="12">
        <v>0</v>
      </c>
      <c r="BJ125" s="12">
        <v>0</v>
      </c>
      <c r="BK125" s="12">
        <v>0</v>
      </c>
      <c r="BL125" s="12">
        <v>0</v>
      </c>
      <c r="BM125" s="12">
        <v>0</v>
      </c>
      <c r="BN125" s="12">
        <v>0</v>
      </c>
      <c r="BO125" s="12">
        <v>0</v>
      </c>
      <c r="BP125" s="12">
        <v>0</v>
      </c>
      <c r="BQ125" s="12">
        <v>0</v>
      </c>
      <c r="BR125" s="12">
        <v>0</v>
      </c>
      <c r="BS125" s="12">
        <v>0</v>
      </c>
      <c r="BT125" s="12">
        <v>0</v>
      </c>
      <c r="BU125" s="12">
        <v>0</v>
      </c>
      <c r="BV125" s="12">
        <v>0</v>
      </c>
      <c r="BW125" s="12">
        <v>0</v>
      </c>
      <c r="BX125" s="12">
        <v>0</v>
      </c>
      <c r="BY125" s="12">
        <v>0</v>
      </c>
    </row>
    <row r="126" spans="1:77" x14ac:dyDescent="0.25">
      <c r="A126" s="152" t="s">
        <v>1502</v>
      </c>
      <c r="B126" s="12" t="s">
        <v>792</v>
      </c>
      <c r="C126" s="12">
        <v>0</v>
      </c>
      <c r="D126" s="12">
        <v>0</v>
      </c>
      <c r="E126" s="12">
        <v>0</v>
      </c>
      <c r="F126" s="12">
        <v>0</v>
      </c>
      <c r="G126" s="12">
        <v>0</v>
      </c>
      <c r="H126" s="12">
        <v>0</v>
      </c>
      <c r="I126" s="12">
        <v>0</v>
      </c>
      <c r="J126" s="12">
        <v>0</v>
      </c>
      <c r="K126" s="12">
        <v>0</v>
      </c>
      <c r="L126" s="12">
        <v>0</v>
      </c>
      <c r="M126" s="12">
        <v>0</v>
      </c>
      <c r="N126" s="12">
        <v>0</v>
      </c>
      <c r="O126" s="12">
        <v>0</v>
      </c>
      <c r="P126" s="12">
        <v>0</v>
      </c>
      <c r="Q126" s="12">
        <v>0</v>
      </c>
      <c r="R126" s="12">
        <v>0</v>
      </c>
      <c r="S126" s="12">
        <v>0</v>
      </c>
      <c r="T126" s="12">
        <v>0</v>
      </c>
      <c r="U126" s="12">
        <v>0</v>
      </c>
      <c r="V126" s="12">
        <v>0</v>
      </c>
      <c r="W126" s="12">
        <v>0</v>
      </c>
      <c r="X126" s="12">
        <v>0</v>
      </c>
      <c r="Y126" s="12">
        <v>0</v>
      </c>
      <c r="Z126" s="12">
        <v>0</v>
      </c>
      <c r="AA126" s="12">
        <v>0</v>
      </c>
      <c r="AB126" s="12">
        <v>0</v>
      </c>
      <c r="AC126" s="12">
        <v>0</v>
      </c>
      <c r="AD126" s="12">
        <v>0</v>
      </c>
      <c r="AE126" s="12">
        <v>0</v>
      </c>
      <c r="AF126" s="12">
        <v>0</v>
      </c>
      <c r="AG126" s="12">
        <v>0</v>
      </c>
      <c r="AH126" s="12">
        <v>0</v>
      </c>
      <c r="AI126" s="12">
        <v>0</v>
      </c>
      <c r="AJ126" s="12">
        <v>0</v>
      </c>
      <c r="AK126" s="12">
        <v>0</v>
      </c>
      <c r="AL126" s="12">
        <v>0</v>
      </c>
      <c r="AM126" s="12">
        <v>0</v>
      </c>
      <c r="AN126" s="12">
        <v>0</v>
      </c>
      <c r="AO126" s="12">
        <v>0</v>
      </c>
      <c r="AP126" s="12">
        <v>0</v>
      </c>
      <c r="AQ126" s="12">
        <v>0</v>
      </c>
      <c r="AR126" s="12">
        <v>0</v>
      </c>
      <c r="AS126" s="12">
        <v>0</v>
      </c>
      <c r="AT126" s="12">
        <v>0</v>
      </c>
      <c r="AU126" s="12">
        <v>0</v>
      </c>
      <c r="AV126" s="12">
        <v>0</v>
      </c>
      <c r="AW126" s="12">
        <v>0</v>
      </c>
      <c r="AX126" s="12">
        <v>0</v>
      </c>
      <c r="AY126" s="12">
        <v>0</v>
      </c>
      <c r="AZ126" s="12">
        <v>0</v>
      </c>
      <c r="BA126" s="12">
        <v>0</v>
      </c>
      <c r="BB126" s="12">
        <v>0</v>
      </c>
      <c r="BC126" s="12">
        <v>0</v>
      </c>
      <c r="BD126" s="12">
        <v>0</v>
      </c>
      <c r="BE126" s="12">
        <v>0</v>
      </c>
      <c r="BF126" s="12">
        <v>0</v>
      </c>
      <c r="BG126" s="12">
        <v>0</v>
      </c>
      <c r="BH126" s="12">
        <v>0</v>
      </c>
      <c r="BI126" s="12">
        <v>0</v>
      </c>
      <c r="BJ126" s="12">
        <v>0</v>
      </c>
      <c r="BK126" s="12">
        <v>0</v>
      </c>
      <c r="BL126" s="12">
        <v>0</v>
      </c>
      <c r="BM126" s="12">
        <v>0</v>
      </c>
      <c r="BN126" s="12">
        <v>0</v>
      </c>
      <c r="BO126" s="12">
        <v>0</v>
      </c>
      <c r="BP126" s="12">
        <v>0</v>
      </c>
      <c r="BQ126" s="12">
        <v>0</v>
      </c>
      <c r="BR126" s="12">
        <v>0</v>
      </c>
      <c r="BS126" s="12">
        <v>0</v>
      </c>
      <c r="BT126" s="12">
        <v>0</v>
      </c>
      <c r="BU126" s="12">
        <v>0</v>
      </c>
      <c r="BV126" s="12">
        <v>0</v>
      </c>
      <c r="BW126" s="12">
        <v>0</v>
      </c>
      <c r="BX126" s="12">
        <v>0</v>
      </c>
      <c r="BY126" s="12">
        <v>0</v>
      </c>
    </row>
    <row r="127" spans="1:77" x14ac:dyDescent="0.25">
      <c r="A127" s="152" t="s">
        <v>1503</v>
      </c>
      <c r="B127" s="12" t="s">
        <v>792</v>
      </c>
      <c r="C127" s="12">
        <v>0</v>
      </c>
      <c r="D127" s="12">
        <v>0</v>
      </c>
      <c r="E127" s="12">
        <v>0</v>
      </c>
      <c r="F127" s="12">
        <v>0</v>
      </c>
      <c r="G127" s="12">
        <v>0</v>
      </c>
      <c r="H127" s="12">
        <v>0</v>
      </c>
      <c r="I127" s="12">
        <v>0</v>
      </c>
      <c r="J127" s="12">
        <v>0</v>
      </c>
      <c r="K127" s="12">
        <v>0</v>
      </c>
      <c r="L127" s="12">
        <v>0</v>
      </c>
      <c r="M127" s="12">
        <v>0</v>
      </c>
      <c r="N127" s="12">
        <v>0</v>
      </c>
      <c r="O127" s="12">
        <v>0</v>
      </c>
      <c r="P127" s="12">
        <v>0</v>
      </c>
      <c r="Q127" s="12">
        <v>0</v>
      </c>
      <c r="R127" s="12">
        <v>0</v>
      </c>
      <c r="S127" s="12">
        <v>0</v>
      </c>
      <c r="T127" s="12">
        <v>0</v>
      </c>
      <c r="U127" s="12">
        <v>0</v>
      </c>
      <c r="V127" s="12">
        <v>0</v>
      </c>
      <c r="W127" s="12">
        <v>0</v>
      </c>
      <c r="X127" s="12">
        <v>0</v>
      </c>
      <c r="Y127" s="12">
        <v>0</v>
      </c>
      <c r="Z127" s="12">
        <v>0</v>
      </c>
      <c r="AA127" s="12">
        <v>0</v>
      </c>
      <c r="AB127" s="12">
        <v>0</v>
      </c>
      <c r="AC127" s="12">
        <v>0</v>
      </c>
      <c r="AD127" s="12">
        <v>0</v>
      </c>
      <c r="AE127" s="12">
        <v>0</v>
      </c>
      <c r="AF127" s="12">
        <v>0</v>
      </c>
      <c r="AG127" s="12">
        <v>0</v>
      </c>
      <c r="AH127" s="12">
        <v>0</v>
      </c>
      <c r="AI127" s="12">
        <v>0</v>
      </c>
      <c r="AJ127" s="12">
        <v>0</v>
      </c>
      <c r="AK127" s="12">
        <v>0</v>
      </c>
      <c r="AL127" s="12">
        <v>0</v>
      </c>
      <c r="AM127" s="12">
        <v>0</v>
      </c>
      <c r="AN127" s="12">
        <v>0</v>
      </c>
      <c r="AO127" s="12">
        <v>0</v>
      </c>
      <c r="AP127" s="12">
        <v>0</v>
      </c>
      <c r="AQ127" s="12">
        <v>0</v>
      </c>
      <c r="AR127" s="12">
        <v>0</v>
      </c>
      <c r="AS127" s="12">
        <v>0</v>
      </c>
      <c r="AT127" s="12">
        <v>0</v>
      </c>
      <c r="AU127" s="12">
        <v>0</v>
      </c>
      <c r="AV127" s="12">
        <v>0</v>
      </c>
      <c r="AW127" s="12">
        <v>0</v>
      </c>
      <c r="AX127" s="12">
        <v>0</v>
      </c>
      <c r="AY127" s="12">
        <v>0</v>
      </c>
      <c r="AZ127" s="12">
        <v>0</v>
      </c>
      <c r="BA127" s="12">
        <v>0</v>
      </c>
      <c r="BB127" s="12">
        <v>0</v>
      </c>
      <c r="BC127" s="12">
        <v>0</v>
      </c>
      <c r="BD127" s="12">
        <v>0</v>
      </c>
      <c r="BE127" s="12">
        <v>0</v>
      </c>
      <c r="BF127" s="12">
        <v>0</v>
      </c>
      <c r="BG127" s="12">
        <v>0</v>
      </c>
      <c r="BH127" s="12">
        <v>0</v>
      </c>
      <c r="BI127" s="12">
        <v>0</v>
      </c>
      <c r="BJ127" s="12">
        <v>0</v>
      </c>
      <c r="BK127" s="12">
        <v>0</v>
      </c>
      <c r="BL127" s="12">
        <v>0</v>
      </c>
      <c r="BM127" s="12">
        <v>0</v>
      </c>
      <c r="BN127" s="12">
        <v>0</v>
      </c>
      <c r="BO127" s="12">
        <v>0</v>
      </c>
      <c r="BP127" s="12">
        <v>0</v>
      </c>
      <c r="BQ127" s="12">
        <v>0</v>
      </c>
      <c r="BR127" s="12">
        <v>0</v>
      </c>
      <c r="BS127" s="12">
        <v>0</v>
      </c>
      <c r="BT127" s="12">
        <v>0</v>
      </c>
      <c r="BU127" s="12">
        <v>0</v>
      </c>
      <c r="BV127" s="12">
        <v>0</v>
      </c>
      <c r="BW127" s="12">
        <v>0</v>
      </c>
      <c r="BX127" s="12">
        <v>0</v>
      </c>
      <c r="BY127" s="12">
        <v>0</v>
      </c>
    </row>
    <row r="128" spans="1:77" x14ac:dyDescent="0.25">
      <c r="A128" s="152" t="s">
        <v>1504</v>
      </c>
      <c r="B128" s="12" t="s">
        <v>792</v>
      </c>
      <c r="C128" s="12">
        <v>0</v>
      </c>
      <c r="D128" s="12">
        <v>0</v>
      </c>
      <c r="E128" s="12">
        <v>0</v>
      </c>
      <c r="F128" s="12">
        <v>0</v>
      </c>
      <c r="G128" s="12">
        <v>0</v>
      </c>
      <c r="H128" s="12">
        <v>0</v>
      </c>
      <c r="I128" s="12">
        <v>0</v>
      </c>
      <c r="J128" s="12">
        <v>0</v>
      </c>
      <c r="K128" s="12">
        <v>0</v>
      </c>
      <c r="L128" s="12">
        <v>0</v>
      </c>
      <c r="M128" s="12">
        <v>0</v>
      </c>
      <c r="N128" s="12">
        <v>0</v>
      </c>
      <c r="O128" s="12">
        <v>0</v>
      </c>
      <c r="P128" s="12">
        <v>0</v>
      </c>
      <c r="Q128" s="12">
        <v>0</v>
      </c>
      <c r="R128" s="12">
        <v>0</v>
      </c>
      <c r="S128" s="12">
        <v>0</v>
      </c>
      <c r="T128" s="12">
        <v>0</v>
      </c>
      <c r="U128" s="12">
        <v>0</v>
      </c>
      <c r="V128" s="12">
        <v>0</v>
      </c>
      <c r="W128" s="12">
        <v>0</v>
      </c>
      <c r="X128" s="12">
        <v>0</v>
      </c>
      <c r="Y128" s="12">
        <v>0</v>
      </c>
      <c r="Z128" s="12">
        <v>0</v>
      </c>
      <c r="AA128" s="12">
        <v>0</v>
      </c>
      <c r="AB128" s="12">
        <v>0</v>
      </c>
      <c r="AC128" s="12">
        <v>0</v>
      </c>
      <c r="AD128" s="12">
        <v>0</v>
      </c>
      <c r="AE128" s="12">
        <v>0</v>
      </c>
      <c r="AF128" s="12">
        <v>0</v>
      </c>
      <c r="AG128" s="12">
        <v>0</v>
      </c>
      <c r="AH128" s="12">
        <v>0</v>
      </c>
      <c r="AI128" s="12">
        <v>0</v>
      </c>
      <c r="AJ128" s="12">
        <v>0</v>
      </c>
      <c r="AK128" s="12">
        <v>0</v>
      </c>
      <c r="AL128" s="12">
        <v>0</v>
      </c>
      <c r="AM128" s="12">
        <v>0</v>
      </c>
      <c r="AN128" s="12">
        <v>0</v>
      </c>
      <c r="AO128" s="12">
        <v>0</v>
      </c>
      <c r="AP128" s="12">
        <v>0</v>
      </c>
      <c r="AQ128" s="12">
        <v>0</v>
      </c>
      <c r="AR128" s="12">
        <v>0</v>
      </c>
      <c r="AS128" s="12">
        <v>0</v>
      </c>
      <c r="AT128" s="12">
        <v>0</v>
      </c>
      <c r="AU128" s="12">
        <v>0</v>
      </c>
      <c r="AV128" s="12">
        <v>0</v>
      </c>
      <c r="AW128" s="12">
        <v>0</v>
      </c>
      <c r="AX128" s="12">
        <v>0</v>
      </c>
      <c r="AY128" s="12">
        <v>0</v>
      </c>
      <c r="AZ128" s="12">
        <v>0</v>
      </c>
      <c r="BA128" s="12">
        <v>0</v>
      </c>
      <c r="BB128" s="12">
        <v>0</v>
      </c>
      <c r="BC128" s="12">
        <v>0</v>
      </c>
      <c r="BD128" s="12">
        <v>0</v>
      </c>
      <c r="BE128" s="12">
        <v>0</v>
      </c>
      <c r="BF128" s="12">
        <v>0</v>
      </c>
      <c r="BG128" s="12">
        <v>0</v>
      </c>
      <c r="BH128" s="12">
        <v>0</v>
      </c>
      <c r="BI128" s="12">
        <v>0</v>
      </c>
      <c r="BJ128" s="12">
        <v>0</v>
      </c>
      <c r="BK128" s="12">
        <v>0</v>
      </c>
      <c r="BL128" s="12">
        <v>0</v>
      </c>
      <c r="BM128" s="12">
        <v>0</v>
      </c>
      <c r="BN128" s="12">
        <v>0</v>
      </c>
      <c r="BO128" s="12">
        <v>0</v>
      </c>
      <c r="BP128" s="12">
        <v>0</v>
      </c>
      <c r="BQ128" s="12">
        <v>0</v>
      </c>
      <c r="BR128" s="12">
        <v>0</v>
      </c>
      <c r="BS128" s="12">
        <v>0</v>
      </c>
      <c r="BT128" s="12">
        <v>0</v>
      </c>
      <c r="BU128" s="12">
        <v>0</v>
      </c>
      <c r="BV128" s="12">
        <v>0</v>
      </c>
      <c r="BW128" s="12">
        <v>0</v>
      </c>
      <c r="BX128" s="12">
        <v>0</v>
      </c>
      <c r="BY128" s="12">
        <v>0</v>
      </c>
    </row>
    <row r="129" spans="1:77" x14ac:dyDescent="0.25">
      <c r="A129" s="152" t="s">
        <v>1505</v>
      </c>
      <c r="B129" s="12" t="s">
        <v>792</v>
      </c>
      <c r="C129" s="12">
        <v>0</v>
      </c>
      <c r="D129" s="12">
        <v>0</v>
      </c>
      <c r="E129" s="12">
        <v>0</v>
      </c>
      <c r="F129" s="12">
        <v>0</v>
      </c>
      <c r="G129" s="12">
        <v>0</v>
      </c>
      <c r="H129" s="12">
        <v>0</v>
      </c>
      <c r="I129" s="12">
        <v>0</v>
      </c>
      <c r="J129" s="12">
        <v>0</v>
      </c>
      <c r="K129" s="12">
        <v>0</v>
      </c>
      <c r="L129" s="12">
        <v>0</v>
      </c>
      <c r="M129" s="12">
        <v>0</v>
      </c>
      <c r="N129" s="12">
        <v>0</v>
      </c>
      <c r="O129" s="12">
        <v>0</v>
      </c>
      <c r="P129" s="12">
        <v>0</v>
      </c>
      <c r="Q129" s="12">
        <v>0</v>
      </c>
      <c r="R129" s="12">
        <v>0</v>
      </c>
      <c r="S129" s="12">
        <v>0</v>
      </c>
      <c r="T129" s="12">
        <v>0</v>
      </c>
      <c r="U129" s="12">
        <v>0</v>
      </c>
      <c r="V129" s="12">
        <v>0</v>
      </c>
      <c r="W129" s="12">
        <v>0</v>
      </c>
      <c r="X129" s="12">
        <v>0</v>
      </c>
      <c r="Y129" s="12">
        <v>0</v>
      </c>
      <c r="Z129" s="12">
        <v>0</v>
      </c>
      <c r="AA129" s="12">
        <v>0</v>
      </c>
      <c r="AB129" s="12">
        <v>0</v>
      </c>
      <c r="AC129" s="12">
        <v>0</v>
      </c>
      <c r="AD129" s="12">
        <v>0</v>
      </c>
      <c r="AE129" s="12">
        <v>0</v>
      </c>
      <c r="AF129" s="12">
        <v>0</v>
      </c>
      <c r="AG129" s="12">
        <v>0</v>
      </c>
      <c r="AH129" s="12">
        <v>0</v>
      </c>
      <c r="AI129" s="12">
        <v>0</v>
      </c>
      <c r="AJ129" s="12">
        <v>0</v>
      </c>
      <c r="AK129" s="12">
        <v>0</v>
      </c>
      <c r="AL129" s="12">
        <v>0</v>
      </c>
      <c r="AM129" s="12">
        <v>0</v>
      </c>
      <c r="AN129" s="12">
        <v>0</v>
      </c>
      <c r="AO129" s="12">
        <v>0</v>
      </c>
      <c r="AP129" s="12">
        <v>0</v>
      </c>
      <c r="AQ129" s="12">
        <v>0</v>
      </c>
      <c r="AR129" s="12">
        <v>0</v>
      </c>
      <c r="AS129" s="12">
        <v>0</v>
      </c>
      <c r="AT129" s="12">
        <v>0</v>
      </c>
      <c r="AU129" s="12">
        <v>0</v>
      </c>
      <c r="AV129" s="12">
        <v>0</v>
      </c>
      <c r="AW129" s="12">
        <v>0</v>
      </c>
      <c r="AX129" s="12">
        <v>0</v>
      </c>
      <c r="AY129" s="12">
        <v>0</v>
      </c>
      <c r="AZ129" s="12">
        <v>0</v>
      </c>
      <c r="BA129" s="12">
        <v>0</v>
      </c>
      <c r="BB129" s="12">
        <v>0</v>
      </c>
      <c r="BC129" s="12">
        <v>0</v>
      </c>
      <c r="BD129" s="12">
        <v>0</v>
      </c>
      <c r="BE129" s="12">
        <v>0</v>
      </c>
      <c r="BF129" s="12">
        <v>0</v>
      </c>
      <c r="BG129" s="12">
        <v>0</v>
      </c>
      <c r="BH129" s="12">
        <v>0</v>
      </c>
      <c r="BI129" s="12">
        <v>0</v>
      </c>
      <c r="BJ129" s="12">
        <v>0</v>
      </c>
      <c r="BK129" s="12">
        <v>0</v>
      </c>
      <c r="BL129" s="12">
        <v>0</v>
      </c>
      <c r="BM129" s="12">
        <v>0</v>
      </c>
      <c r="BN129" s="12">
        <v>0</v>
      </c>
      <c r="BO129" s="12">
        <v>0</v>
      </c>
      <c r="BP129" s="12">
        <v>0</v>
      </c>
      <c r="BQ129" s="12">
        <v>0</v>
      </c>
      <c r="BR129" s="12">
        <v>0</v>
      </c>
      <c r="BS129" s="12">
        <v>0</v>
      </c>
      <c r="BT129" s="12">
        <v>0</v>
      </c>
      <c r="BU129" s="12">
        <v>0</v>
      </c>
      <c r="BV129" s="12">
        <v>0</v>
      </c>
      <c r="BW129" s="12">
        <v>0</v>
      </c>
      <c r="BX129" s="12">
        <v>0</v>
      </c>
      <c r="BY129" s="12">
        <v>0</v>
      </c>
    </row>
    <row r="130" spans="1:77" x14ac:dyDescent="0.25">
      <c r="A130" s="152" t="s">
        <v>1506</v>
      </c>
      <c r="B130" s="12" t="s">
        <v>790</v>
      </c>
      <c r="C130" s="12">
        <v>0</v>
      </c>
      <c r="D130" s="12">
        <v>0</v>
      </c>
      <c r="E130" s="12">
        <v>0</v>
      </c>
      <c r="F130" s="12">
        <v>0</v>
      </c>
      <c r="G130" s="12">
        <v>0</v>
      </c>
      <c r="H130" s="12">
        <v>0</v>
      </c>
      <c r="I130" s="12">
        <v>0</v>
      </c>
      <c r="J130" s="12">
        <v>0</v>
      </c>
      <c r="K130" s="12">
        <v>0</v>
      </c>
      <c r="L130" s="12">
        <v>0</v>
      </c>
      <c r="M130" s="12">
        <v>0</v>
      </c>
      <c r="N130" s="12">
        <v>0</v>
      </c>
      <c r="O130" s="12">
        <v>0</v>
      </c>
      <c r="P130" s="12">
        <v>0</v>
      </c>
      <c r="Q130" s="12">
        <v>0</v>
      </c>
      <c r="R130" s="12">
        <v>0</v>
      </c>
      <c r="S130" s="12">
        <v>0</v>
      </c>
      <c r="T130" s="12">
        <v>0</v>
      </c>
      <c r="U130" s="12">
        <v>0</v>
      </c>
      <c r="V130" s="12">
        <v>0</v>
      </c>
      <c r="W130" s="12">
        <v>0</v>
      </c>
      <c r="X130" s="12">
        <v>0</v>
      </c>
      <c r="Y130" s="12">
        <v>0</v>
      </c>
      <c r="Z130" s="12">
        <v>0</v>
      </c>
      <c r="AA130" s="12">
        <v>0</v>
      </c>
      <c r="AB130" s="12">
        <v>0</v>
      </c>
      <c r="AC130" s="12">
        <v>0</v>
      </c>
      <c r="AD130" s="12">
        <v>0</v>
      </c>
      <c r="AE130" s="12">
        <v>0</v>
      </c>
      <c r="AF130" s="12">
        <v>0</v>
      </c>
      <c r="AG130" s="12">
        <v>0</v>
      </c>
      <c r="AH130" s="12">
        <v>0</v>
      </c>
      <c r="AI130" s="12">
        <v>0</v>
      </c>
      <c r="AJ130" s="12">
        <v>0</v>
      </c>
      <c r="AK130" s="12">
        <v>0</v>
      </c>
      <c r="AL130" s="12">
        <v>0</v>
      </c>
      <c r="AM130" s="12">
        <v>0</v>
      </c>
      <c r="AN130" s="12">
        <v>0</v>
      </c>
      <c r="AO130" s="12">
        <v>0</v>
      </c>
      <c r="AP130" s="12">
        <v>0</v>
      </c>
      <c r="AQ130" s="12">
        <v>0</v>
      </c>
      <c r="AR130" s="12">
        <v>0</v>
      </c>
      <c r="AS130" s="12">
        <v>0</v>
      </c>
      <c r="AT130" s="12">
        <v>0</v>
      </c>
      <c r="AU130" s="12">
        <v>0</v>
      </c>
      <c r="AV130" s="12">
        <v>0</v>
      </c>
      <c r="AW130" s="12">
        <v>0</v>
      </c>
      <c r="AX130" s="12">
        <v>0</v>
      </c>
      <c r="AY130" s="12">
        <v>0</v>
      </c>
      <c r="AZ130" s="12">
        <v>0</v>
      </c>
      <c r="BA130" s="12">
        <v>0</v>
      </c>
      <c r="BB130" s="12">
        <v>0</v>
      </c>
      <c r="BC130" s="12">
        <v>0</v>
      </c>
      <c r="BD130" s="12">
        <v>0</v>
      </c>
      <c r="BE130" s="12">
        <v>0</v>
      </c>
      <c r="BF130" s="12">
        <v>0</v>
      </c>
      <c r="BG130" s="12">
        <v>0</v>
      </c>
      <c r="BH130" s="12">
        <v>0</v>
      </c>
      <c r="BI130" s="12">
        <v>0</v>
      </c>
      <c r="BJ130" s="12">
        <v>0</v>
      </c>
      <c r="BK130" s="12">
        <v>0</v>
      </c>
      <c r="BL130" s="12">
        <v>0</v>
      </c>
      <c r="BM130" s="12">
        <v>0</v>
      </c>
      <c r="BN130" s="12">
        <v>0</v>
      </c>
      <c r="BO130" s="12">
        <v>0</v>
      </c>
      <c r="BP130" s="12">
        <v>0</v>
      </c>
      <c r="BQ130" s="12">
        <v>0</v>
      </c>
      <c r="BR130" s="12">
        <v>0</v>
      </c>
      <c r="BS130" s="12">
        <v>0</v>
      </c>
      <c r="BT130" s="12">
        <v>0</v>
      </c>
      <c r="BU130" s="12">
        <v>0</v>
      </c>
      <c r="BV130" s="12">
        <v>0</v>
      </c>
      <c r="BW130" s="12">
        <v>0</v>
      </c>
      <c r="BX130" s="12">
        <v>0</v>
      </c>
      <c r="BY130" s="12">
        <v>0</v>
      </c>
    </row>
    <row r="131" spans="1:77" x14ac:dyDescent="0.25">
      <c r="A131" s="152"/>
      <c r="B131" s="12"/>
    </row>
    <row r="132" spans="1:77" x14ac:dyDescent="0.25">
      <c r="A132" s="191" t="s">
        <v>1587</v>
      </c>
      <c r="B132" s="12"/>
    </row>
    <row r="133" spans="1:77" x14ac:dyDescent="0.25">
      <c r="A133" s="152" t="s">
        <v>1318</v>
      </c>
      <c r="B133" s="12" t="s">
        <v>1507</v>
      </c>
      <c r="C133" s="12">
        <v>0</v>
      </c>
      <c r="D133" s="12">
        <v>0</v>
      </c>
      <c r="E133" s="12">
        <v>0</v>
      </c>
      <c r="F133" s="12">
        <v>0</v>
      </c>
      <c r="G133" s="12">
        <v>0</v>
      </c>
      <c r="H133" s="12">
        <v>0</v>
      </c>
      <c r="I133" s="12">
        <v>0</v>
      </c>
      <c r="J133" s="12">
        <v>0</v>
      </c>
      <c r="K133" s="12">
        <v>0</v>
      </c>
      <c r="L133" s="12">
        <v>0</v>
      </c>
      <c r="M133" s="12">
        <v>0</v>
      </c>
      <c r="N133" s="12">
        <v>0</v>
      </c>
      <c r="O133" s="12">
        <v>0</v>
      </c>
      <c r="P133" s="12">
        <v>0</v>
      </c>
      <c r="Q133" s="12">
        <v>0</v>
      </c>
      <c r="R133" s="12">
        <v>0</v>
      </c>
      <c r="S133" s="12">
        <v>0</v>
      </c>
      <c r="T133" s="12">
        <v>0</v>
      </c>
      <c r="U133" s="12">
        <v>0</v>
      </c>
      <c r="V133" s="12">
        <v>0</v>
      </c>
      <c r="W133" s="12">
        <v>0</v>
      </c>
      <c r="X133" s="12">
        <v>0</v>
      </c>
      <c r="Y133" s="12">
        <v>0</v>
      </c>
      <c r="Z133" s="12">
        <v>0</v>
      </c>
      <c r="AA133" s="12">
        <v>0</v>
      </c>
      <c r="AB133" s="12">
        <v>0</v>
      </c>
      <c r="AC133" s="12">
        <v>0</v>
      </c>
      <c r="AD133" s="12">
        <v>0</v>
      </c>
      <c r="AE133" s="12">
        <v>0</v>
      </c>
      <c r="AF133" s="12">
        <v>0</v>
      </c>
      <c r="AG133" s="12">
        <v>0</v>
      </c>
      <c r="AH133" s="12">
        <v>0</v>
      </c>
      <c r="AI133" s="12">
        <v>0</v>
      </c>
      <c r="AJ133" s="12">
        <v>0</v>
      </c>
      <c r="AK133" s="12">
        <v>0</v>
      </c>
      <c r="AL133" s="12">
        <v>0</v>
      </c>
      <c r="AM133" s="12">
        <v>0</v>
      </c>
      <c r="AN133" s="12">
        <v>0</v>
      </c>
      <c r="AO133" s="12">
        <v>0</v>
      </c>
      <c r="AP133" s="12">
        <v>0</v>
      </c>
      <c r="AQ133" s="12">
        <v>0</v>
      </c>
      <c r="AR133" s="12">
        <v>0</v>
      </c>
      <c r="AS133" s="12">
        <v>0</v>
      </c>
      <c r="AT133" s="12">
        <v>0</v>
      </c>
      <c r="AU133" s="12">
        <v>0</v>
      </c>
      <c r="AV133" s="12">
        <v>0</v>
      </c>
      <c r="AW133" s="12">
        <v>0</v>
      </c>
      <c r="AX133" s="12">
        <v>0</v>
      </c>
      <c r="AY133" s="12">
        <v>0</v>
      </c>
      <c r="AZ133" s="12">
        <v>0</v>
      </c>
      <c r="BA133" s="12">
        <v>0</v>
      </c>
      <c r="BB133" s="12">
        <v>0</v>
      </c>
      <c r="BC133" s="12">
        <v>0</v>
      </c>
      <c r="BD133" s="12">
        <v>0</v>
      </c>
      <c r="BE133" s="12">
        <v>0</v>
      </c>
      <c r="BF133" s="12">
        <v>0</v>
      </c>
      <c r="BG133" s="12">
        <v>0</v>
      </c>
      <c r="BH133" s="12">
        <v>0</v>
      </c>
      <c r="BI133" s="12">
        <v>0</v>
      </c>
      <c r="BJ133" s="12">
        <v>0</v>
      </c>
      <c r="BK133" s="12">
        <v>0</v>
      </c>
      <c r="BL133" s="12">
        <v>0</v>
      </c>
      <c r="BM133" s="12">
        <v>0</v>
      </c>
      <c r="BN133" s="12">
        <v>0</v>
      </c>
      <c r="BO133" s="12">
        <v>0</v>
      </c>
      <c r="BP133" s="12">
        <v>0</v>
      </c>
      <c r="BQ133" s="12">
        <v>0</v>
      </c>
      <c r="BR133" s="12">
        <v>0</v>
      </c>
      <c r="BS133" s="12">
        <v>0</v>
      </c>
      <c r="BT133" s="12">
        <v>0</v>
      </c>
      <c r="BU133" s="12">
        <v>0</v>
      </c>
      <c r="BV133" s="12">
        <v>0</v>
      </c>
      <c r="BW133" s="12">
        <v>0</v>
      </c>
      <c r="BX133" s="12">
        <v>0</v>
      </c>
      <c r="BY133" s="12">
        <v>0</v>
      </c>
    </row>
    <row r="134" spans="1:77" x14ac:dyDescent="0.25">
      <c r="A134" s="152" t="s">
        <v>1319</v>
      </c>
      <c r="B134" s="12" t="s">
        <v>1507</v>
      </c>
      <c r="C134" s="12">
        <v>0</v>
      </c>
      <c r="D134" s="12">
        <v>0</v>
      </c>
      <c r="E134" s="12">
        <v>0</v>
      </c>
      <c r="F134" s="12">
        <v>0</v>
      </c>
      <c r="G134" s="12">
        <v>0</v>
      </c>
      <c r="H134" s="12">
        <v>0</v>
      </c>
      <c r="I134" s="12">
        <v>0</v>
      </c>
      <c r="J134" s="12">
        <v>0</v>
      </c>
      <c r="K134" s="12">
        <v>0</v>
      </c>
      <c r="L134" s="12">
        <v>0</v>
      </c>
      <c r="M134" s="12">
        <v>0</v>
      </c>
      <c r="N134" s="12">
        <v>0</v>
      </c>
      <c r="O134" s="12">
        <v>0</v>
      </c>
      <c r="P134" s="12">
        <v>0</v>
      </c>
      <c r="Q134" s="12">
        <v>0</v>
      </c>
      <c r="R134" s="12">
        <v>0</v>
      </c>
      <c r="S134" s="12">
        <v>0</v>
      </c>
      <c r="T134" s="12">
        <v>0</v>
      </c>
      <c r="U134" s="12">
        <v>0</v>
      </c>
      <c r="V134" s="12">
        <v>0</v>
      </c>
      <c r="W134" s="12">
        <v>0</v>
      </c>
      <c r="X134" s="12">
        <v>0</v>
      </c>
      <c r="Y134" s="12">
        <v>0</v>
      </c>
      <c r="Z134" s="12">
        <v>0</v>
      </c>
      <c r="AA134" s="12">
        <v>0</v>
      </c>
      <c r="AB134" s="12">
        <v>0</v>
      </c>
      <c r="AC134" s="12">
        <v>0</v>
      </c>
      <c r="AD134" s="12">
        <v>0</v>
      </c>
      <c r="AE134" s="12">
        <v>0</v>
      </c>
      <c r="AF134" s="12">
        <v>0</v>
      </c>
      <c r="AG134" s="12">
        <v>0</v>
      </c>
      <c r="AH134" s="12">
        <v>0</v>
      </c>
      <c r="AI134" s="12">
        <v>0</v>
      </c>
      <c r="AJ134" s="12">
        <v>0</v>
      </c>
      <c r="AK134" s="12">
        <v>0</v>
      </c>
      <c r="AL134" s="12">
        <v>0</v>
      </c>
      <c r="AM134" s="12">
        <v>0</v>
      </c>
      <c r="AN134" s="12">
        <v>0</v>
      </c>
      <c r="AO134" s="12">
        <v>0</v>
      </c>
      <c r="AP134" s="12">
        <v>0</v>
      </c>
      <c r="AQ134" s="12">
        <v>0</v>
      </c>
      <c r="AR134" s="12">
        <v>0</v>
      </c>
      <c r="AS134" s="12">
        <v>0</v>
      </c>
      <c r="AT134" s="12">
        <v>0</v>
      </c>
      <c r="AU134" s="12">
        <v>0</v>
      </c>
      <c r="AV134" s="12">
        <v>0</v>
      </c>
      <c r="AW134" s="12">
        <v>0</v>
      </c>
      <c r="AX134" s="12">
        <v>0</v>
      </c>
      <c r="AY134" s="12">
        <v>0</v>
      </c>
      <c r="AZ134" s="12">
        <v>0</v>
      </c>
      <c r="BA134" s="12">
        <v>0</v>
      </c>
      <c r="BB134" s="12">
        <v>0</v>
      </c>
      <c r="BC134" s="12">
        <v>0</v>
      </c>
      <c r="BD134" s="12">
        <v>0</v>
      </c>
      <c r="BE134" s="12">
        <v>0</v>
      </c>
      <c r="BF134" s="12">
        <v>0</v>
      </c>
      <c r="BG134" s="12">
        <v>0</v>
      </c>
      <c r="BH134" s="12">
        <v>0</v>
      </c>
      <c r="BI134" s="12">
        <v>0</v>
      </c>
      <c r="BJ134" s="12">
        <v>0</v>
      </c>
      <c r="BK134" s="12">
        <v>0</v>
      </c>
      <c r="BL134" s="12">
        <v>0</v>
      </c>
      <c r="BM134" s="12">
        <v>0</v>
      </c>
      <c r="BN134" s="12">
        <v>0</v>
      </c>
      <c r="BO134" s="12">
        <v>0</v>
      </c>
      <c r="BP134" s="12">
        <v>0</v>
      </c>
      <c r="BQ134" s="12">
        <v>0</v>
      </c>
      <c r="BR134" s="12">
        <v>0</v>
      </c>
      <c r="BS134" s="12">
        <v>0</v>
      </c>
      <c r="BT134" s="12">
        <v>0</v>
      </c>
      <c r="BU134" s="12">
        <v>0</v>
      </c>
      <c r="BV134" s="12">
        <v>0</v>
      </c>
      <c r="BW134" s="12">
        <v>0</v>
      </c>
      <c r="BX134" s="12">
        <v>0</v>
      </c>
      <c r="BY134" s="12">
        <v>0</v>
      </c>
    </row>
    <row r="135" spans="1:77" x14ac:dyDescent="0.25">
      <c r="A135" s="152" t="s">
        <v>1320</v>
      </c>
      <c r="B135" s="12" t="s">
        <v>1507</v>
      </c>
      <c r="C135" s="12">
        <v>0</v>
      </c>
      <c r="D135" s="12">
        <v>0</v>
      </c>
      <c r="E135" s="12">
        <v>0</v>
      </c>
      <c r="F135" s="12">
        <v>0</v>
      </c>
      <c r="G135" s="12">
        <v>0</v>
      </c>
      <c r="H135" s="12">
        <v>0</v>
      </c>
      <c r="I135" s="12">
        <v>0</v>
      </c>
      <c r="J135" s="12">
        <v>0</v>
      </c>
      <c r="K135" s="12">
        <v>0</v>
      </c>
      <c r="L135" s="12">
        <v>0</v>
      </c>
      <c r="M135" s="12">
        <v>0</v>
      </c>
      <c r="N135" s="12">
        <v>0</v>
      </c>
      <c r="O135" s="12">
        <v>0</v>
      </c>
      <c r="P135" s="12">
        <v>0</v>
      </c>
      <c r="Q135" s="12">
        <v>0</v>
      </c>
      <c r="R135" s="12">
        <v>0</v>
      </c>
      <c r="S135" s="12">
        <v>0</v>
      </c>
      <c r="T135" s="12">
        <v>0</v>
      </c>
      <c r="U135" s="12">
        <v>0</v>
      </c>
      <c r="V135" s="12">
        <v>0</v>
      </c>
      <c r="W135" s="12">
        <v>0</v>
      </c>
      <c r="X135" s="12">
        <v>0</v>
      </c>
      <c r="Y135" s="12">
        <v>0</v>
      </c>
      <c r="Z135" s="12">
        <v>0</v>
      </c>
      <c r="AA135" s="12">
        <v>0</v>
      </c>
      <c r="AB135" s="12">
        <v>0</v>
      </c>
      <c r="AC135" s="12">
        <v>0</v>
      </c>
      <c r="AD135" s="12">
        <v>0</v>
      </c>
      <c r="AE135" s="12">
        <v>0</v>
      </c>
      <c r="AF135" s="12">
        <v>0</v>
      </c>
      <c r="AG135" s="12">
        <v>0</v>
      </c>
      <c r="AH135" s="12">
        <v>0</v>
      </c>
      <c r="AI135" s="12">
        <v>0</v>
      </c>
      <c r="AJ135" s="12">
        <v>0</v>
      </c>
      <c r="AK135" s="12">
        <v>0</v>
      </c>
      <c r="AL135" s="12">
        <v>0</v>
      </c>
      <c r="AM135" s="12">
        <v>0</v>
      </c>
      <c r="AN135" s="12">
        <v>0</v>
      </c>
      <c r="AO135" s="12">
        <v>0</v>
      </c>
      <c r="AP135" s="12">
        <v>0</v>
      </c>
      <c r="AQ135" s="12">
        <v>0</v>
      </c>
      <c r="AR135" s="12">
        <v>0</v>
      </c>
      <c r="AS135" s="12">
        <v>0</v>
      </c>
      <c r="AT135" s="12">
        <v>0</v>
      </c>
      <c r="AU135" s="12">
        <v>0</v>
      </c>
      <c r="AV135" s="12">
        <v>0</v>
      </c>
      <c r="AW135" s="12">
        <v>0</v>
      </c>
      <c r="AX135" s="12">
        <v>0</v>
      </c>
      <c r="AY135" s="12">
        <v>0</v>
      </c>
      <c r="AZ135" s="12">
        <v>0</v>
      </c>
      <c r="BA135" s="12">
        <v>0</v>
      </c>
      <c r="BB135" s="12">
        <v>0</v>
      </c>
      <c r="BC135" s="12">
        <v>0</v>
      </c>
      <c r="BD135" s="12">
        <v>0</v>
      </c>
      <c r="BE135" s="12">
        <v>0</v>
      </c>
      <c r="BF135" s="12">
        <v>0</v>
      </c>
      <c r="BG135" s="12">
        <v>0</v>
      </c>
      <c r="BH135" s="12">
        <v>0</v>
      </c>
      <c r="BI135" s="12">
        <v>0</v>
      </c>
      <c r="BJ135" s="12">
        <v>0</v>
      </c>
      <c r="BK135" s="12">
        <v>0</v>
      </c>
      <c r="BL135" s="12">
        <v>0</v>
      </c>
      <c r="BM135" s="12">
        <v>0</v>
      </c>
      <c r="BN135" s="12">
        <v>0</v>
      </c>
      <c r="BO135" s="12">
        <v>0</v>
      </c>
      <c r="BP135" s="12">
        <v>0</v>
      </c>
      <c r="BQ135" s="12">
        <v>0</v>
      </c>
      <c r="BR135" s="12">
        <v>0</v>
      </c>
      <c r="BS135" s="12">
        <v>0</v>
      </c>
      <c r="BT135" s="12">
        <v>0</v>
      </c>
      <c r="BU135" s="12">
        <v>0</v>
      </c>
      <c r="BV135" s="12">
        <v>0</v>
      </c>
      <c r="BW135" s="12">
        <v>0</v>
      </c>
      <c r="BX135" s="12">
        <v>0</v>
      </c>
      <c r="BY135" s="12">
        <v>0</v>
      </c>
    </row>
    <row r="136" spans="1:77" x14ac:dyDescent="0.25">
      <c r="A136" s="152" t="s">
        <v>1321</v>
      </c>
      <c r="B136" s="12" t="s">
        <v>1507</v>
      </c>
      <c r="C136" s="12">
        <v>0</v>
      </c>
      <c r="D136" s="12">
        <v>0</v>
      </c>
      <c r="E136" s="12">
        <v>0</v>
      </c>
      <c r="F136" s="12">
        <v>0</v>
      </c>
      <c r="G136" s="12">
        <v>0</v>
      </c>
      <c r="H136" s="12">
        <v>0</v>
      </c>
      <c r="I136" s="12">
        <v>0</v>
      </c>
      <c r="J136" s="12">
        <v>0</v>
      </c>
      <c r="K136" s="12">
        <v>0</v>
      </c>
      <c r="L136" s="12">
        <v>0</v>
      </c>
      <c r="M136" s="12">
        <v>0</v>
      </c>
      <c r="N136" s="12">
        <v>0</v>
      </c>
      <c r="O136" s="12">
        <v>0</v>
      </c>
      <c r="P136" s="12">
        <v>0</v>
      </c>
      <c r="Q136" s="12">
        <v>0</v>
      </c>
      <c r="R136" s="12">
        <v>0</v>
      </c>
      <c r="S136" s="12">
        <v>0</v>
      </c>
      <c r="T136" s="12">
        <v>0</v>
      </c>
      <c r="U136" s="12">
        <v>0</v>
      </c>
      <c r="V136" s="12">
        <v>0</v>
      </c>
      <c r="W136" s="12">
        <v>0</v>
      </c>
      <c r="X136" s="12">
        <v>0</v>
      </c>
      <c r="Y136" s="12">
        <v>0</v>
      </c>
      <c r="Z136" s="12">
        <v>0</v>
      </c>
      <c r="AA136" s="12">
        <v>0</v>
      </c>
      <c r="AB136" s="12">
        <v>0</v>
      </c>
      <c r="AC136" s="12">
        <v>0</v>
      </c>
      <c r="AD136" s="12">
        <v>0</v>
      </c>
      <c r="AE136" s="12">
        <v>0</v>
      </c>
      <c r="AF136" s="12">
        <v>0</v>
      </c>
      <c r="AG136" s="12">
        <v>0</v>
      </c>
      <c r="AH136" s="12">
        <v>0</v>
      </c>
      <c r="AI136" s="12">
        <v>0</v>
      </c>
      <c r="AJ136" s="12">
        <v>0</v>
      </c>
      <c r="AK136" s="12">
        <v>0</v>
      </c>
      <c r="AL136" s="12">
        <v>0</v>
      </c>
      <c r="AM136" s="12">
        <v>0</v>
      </c>
      <c r="AN136" s="12">
        <v>0</v>
      </c>
      <c r="AO136" s="12">
        <v>0</v>
      </c>
      <c r="AP136" s="12">
        <v>0</v>
      </c>
      <c r="AQ136" s="12">
        <v>0</v>
      </c>
      <c r="AR136" s="12">
        <v>0</v>
      </c>
      <c r="AS136" s="12">
        <v>0</v>
      </c>
      <c r="AT136" s="12">
        <v>0</v>
      </c>
      <c r="AU136" s="12">
        <v>0</v>
      </c>
      <c r="AV136" s="12">
        <v>0</v>
      </c>
      <c r="AW136" s="12">
        <v>0</v>
      </c>
      <c r="AX136" s="12">
        <v>0</v>
      </c>
      <c r="AY136" s="12">
        <v>0</v>
      </c>
      <c r="AZ136" s="12">
        <v>0</v>
      </c>
      <c r="BA136" s="12">
        <v>0</v>
      </c>
      <c r="BB136" s="12">
        <v>0</v>
      </c>
      <c r="BC136" s="12">
        <v>0</v>
      </c>
      <c r="BD136" s="12">
        <v>0</v>
      </c>
      <c r="BE136" s="12">
        <v>0</v>
      </c>
      <c r="BF136" s="12">
        <v>0</v>
      </c>
      <c r="BG136" s="12">
        <v>0</v>
      </c>
      <c r="BH136" s="12">
        <v>0</v>
      </c>
      <c r="BI136" s="12">
        <v>0</v>
      </c>
      <c r="BJ136" s="12">
        <v>0</v>
      </c>
      <c r="BK136" s="12">
        <v>0</v>
      </c>
      <c r="BL136" s="12">
        <v>0</v>
      </c>
      <c r="BM136" s="12">
        <v>0</v>
      </c>
      <c r="BN136" s="12">
        <v>0</v>
      </c>
      <c r="BO136" s="12">
        <v>0</v>
      </c>
      <c r="BP136" s="12">
        <v>0</v>
      </c>
      <c r="BQ136" s="12">
        <v>0</v>
      </c>
      <c r="BR136" s="12">
        <v>0</v>
      </c>
      <c r="BS136" s="12">
        <v>0</v>
      </c>
      <c r="BT136" s="12">
        <v>0</v>
      </c>
      <c r="BU136" s="12">
        <v>0</v>
      </c>
      <c r="BV136" s="12">
        <v>0</v>
      </c>
      <c r="BW136" s="12">
        <v>0</v>
      </c>
      <c r="BX136" s="12">
        <v>0</v>
      </c>
      <c r="BY136" s="12">
        <v>0</v>
      </c>
    </row>
    <row r="137" spans="1:77" x14ac:dyDescent="0.25">
      <c r="A137" s="152" t="s">
        <v>1322</v>
      </c>
      <c r="B137" s="12" t="s">
        <v>1507</v>
      </c>
      <c r="C137" s="12">
        <v>0</v>
      </c>
      <c r="D137" s="12">
        <v>0</v>
      </c>
      <c r="E137" s="12">
        <v>0</v>
      </c>
      <c r="F137" s="12">
        <v>0</v>
      </c>
      <c r="G137" s="12">
        <v>0</v>
      </c>
      <c r="H137" s="12">
        <v>0</v>
      </c>
      <c r="I137" s="12">
        <v>0</v>
      </c>
      <c r="J137" s="12">
        <v>0</v>
      </c>
      <c r="K137" s="12">
        <v>0</v>
      </c>
      <c r="L137" s="12">
        <v>0</v>
      </c>
      <c r="M137" s="12">
        <v>0</v>
      </c>
      <c r="N137" s="12">
        <v>0</v>
      </c>
      <c r="O137" s="12">
        <v>0</v>
      </c>
      <c r="P137" s="12">
        <v>0</v>
      </c>
      <c r="Q137" s="12">
        <v>0</v>
      </c>
      <c r="R137" s="12">
        <v>0</v>
      </c>
      <c r="S137" s="12">
        <v>0</v>
      </c>
      <c r="T137" s="12">
        <v>0</v>
      </c>
      <c r="U137" s="12">
        <v>0</v>
      </c>
      <c r="V137" s="12">
        <v>0</v>
      </c>
      <c r="W137" s="12">
        <v>0</v>
      </c>
      <c r="X137" s="12">
        <v>0</v>
      </c>
      <c r="Y137" s="12">
        <v>0</v>
      </c>
      <c r="Z137" s="12">
        <v>0</v>
      </c>
      <c r="AA137" s="12">
        <v>0</v>
      </c>
      <c r="AB137" s="12">
        <v>0</v>
      </c>
      <c r="AC137" s="12">
        <v>0</v>
      </c>
      <c r="AD137" s="12">
        <v>0</v>
      </c>
      <c r="AE137" s="12">
        <v>0</v>
      </c>
      <c r="AF137" s="12">
        <v>0</v>
      </c>
      <c r="AG137" s="12">
        <v>0</v>
      </c>
      <c r="AH137" s="12">
        <v>0</v>
      </c>
      <c r="AI137" s="12">
        <v>0</v>
      </c>
      <c r="AJ137" s="12">
        <v>0</v>
      </c>
      <c r="AK137" s="12">
        <v>0</v>
      </c>
      <c r="AL137" s="12">
        <v>0</v>
      </c>
      <c r="AM137" s="12">
        <v>0</v>
      </c>
      <c r="AN137" s="12">
        <v>0</v>
      </c>
      <c r="AO137" s="12">
        <v>0</v>
      </c>
      <c r="AP137" s="12">
        <v>0</v>
      </c>
      <c r="AQ137" s="12">
        <v>0</v>
      </c>
      <c r="AR137" s="12">
        <v>0</v>
      </c>
      <c r="AS137" s="12">
        <v>0</v>
      </c>
      <c r="AT137" s="12">
        <v>0</v>
      </c>
      <c r="AU137" s="12">
        <v>0</v>
      </c>
      <c r="AV137" s="12">
        <v>0</v>
      </c>
      <c r="AW137" s="12">
        <v>0</v>
      </c>
      <c r="AX137" s="12">
        <v>0</v>
      </c>
      <c r="AY137" s="12">
        <v>0</v>
      </c>
      <c r="AZ137" s="12">
        <v>0</v>
      </c>
      <c r="BA137" s="12">
        <v>0</v>
      </c>
      <c r="BB137" s="12">
        <v>0</v>
      </c>
      <c r="BC137" s="12">
        <v>0</v>
      </c>
      <c r="BD137" s="12">
        <v>0</v>
      </c>
      <c r="BE137" s="12">
        <v>0</v>
      </c>
      <c r="BF137" s="12">
        <v>0</v>
      </c>
      <c r="BG137" s="12">
        <v>0</v>
      </c>
      <c r="BH137" s="12">
        <v>0</v>
      </c>
      <c r="BI137" s="12">
        <v>0</v>
      </c>
      <c r="BJ137" s="12">
        <v>0</v>
      </c>
      <c r="BK137" s="12">
        <v>0</v>
      </c>
      <c r="BL137" s="12">
        <v>0</v>
      </c>
      <c r="BM137" s="12">
        <v>0</v>
      </c>
      <c r="BN137" s="12">
        <v>0</v>
      </c>
      <c r="BO137" s="12">
        <v>0</v>
      </c>
      <c r="BP137" s="12">
        <v>0</v>
      </c>
      <c r="BQ137" s="12">
        <v>0</v>
      </c>
      <c r="BR137" s="12">
        <v>0</v>
      </c>
      <c r="BS137" s="12">
        <v>0</v>
      </c>
      <c r="BT137" s="12">
        <v>0</v>
      </c>
      <c r="BU137" s="12">
        <v>0</v>
      </c>
      <c r="BV137" s="12">
        <v>0</v>
      </c>
      <c r="BW137" s="12">
        <v>0</v>
      </c>
      <c r="BX137" s="12">
        <v>0</v>
      </c>
      <c r="BY137" s="12">
        <v>0</v>
      </c>
    </row>
    <row r="138" spans="1:77" x14ac:dyDescent="0.25">
      <c r="A138" s="152" t="s">
        <v>1323</v>
      </c>
      <c r="B138" s="12" t="s">
        <v>1507</v>
      </c>
      <c r="C138" s="12">
        <v>0</v>
      </c>
      <c r="D138" s="12">
        <v>0</v>
      </c>
      <c r="E138" s="12">
        <v>0</v>
      </c>
      <c r="F138" s="12">
        <v>0</v>
      </c>
      <c r="G138" s="12">
        <v>0</v>
      </c>
      <c r="H138" s="12">
        <v>0</v>
      </c>
      <c r="I138" s="12">
        <v>0</v>
      </c>
      <c r="J138" s="12">
        <v>0</v>
      </c>
      <c r="K138" s="12">
        <v>0</v>
      </c>
      <c r="L138" s="12">
        <v>0</v>
      </c>
      <c r="M138" s="12">
        <v>0</v>
      </c>
      <c r="N138" s="12">
        <v>0</v>
      </c>
      <c r="O138" s="12">
        <v>0</v>
      </c>
      <c r="P138" s="12">
        <v>0</v>
      </c>
      <c r="Q138" s="12">
        <v>0</v>
      </c>
      <c r="R138" s="12">
        <v>0</v>
      </c>
      <c r="S138" s="12">
        <v>0</v>
      </c>
      <c r="T138" s="12">
        <v>0</v>
      </c>
      <c r="U138" s="12">
        <v>0</v>
      </c>
      <c r="V138" s="12">
        <v>0</v>
      </c>
      <c r="W138" s="12">
        <v>0</v>
      </c>
      <c r="X138" s="12">
        <v>0</v>
      </c>
      <c r="Y138" s="12">
        <v>0</v>
      </c>
      <c r="Z138" s="12">
        <v>0</v>
      </c>
      <c r="AA138" s="12">
        <v>0</v>
      </c>
      <c r="AB138" s="12">
        <v>0</v>
      </c>
      <c r="AC138" s="12">
        <v>0</v>
      </c>
      <c r="AD138" s="12">
        <v>0</v>
      </c>
      <c r="AE138" s="12">
        <v>0</v>
      </c>
      <c r="AF138" s="12">
        <v>0</v>
      </c>
      <c r="AG138" s="12">
        <v>0</v>
      </c>
      <c r="AH138" s="12">
        <v>0</v>
      </c>
      <c r="AI138" s="12">
        <v>0</v>
      </c>
      <c r="AJ138" s="12">
        <v>0</v>
      </c>
      <c r="AK138" s="12">
        <v>0</v>
      </c>
      <c r="AL138" s="12">
        <v>0</v>
      </c>
      <c r="AM138" s="12">
        <v>0</v>
      </c>
      <c r="AN138" s="12">
        <v>0</v>
      </c>
      <c r="AO138" s="12">
        <v>0</v>
      </c>
      <c r="AP138" s="12">
        <v>0</v>
      </c>
      <c r="AQ138" s="12">
        <v>0</v>
      </c>
      <c r="AR138" s="12">
        <v>0</v>
      </c>
      <c r="AS138" s="12">
        <v>0</v>
      </c>
      <c r="AT138" s="12">
        <v>0</v>
      </c>
      <c r="AU138" s="12">
        <v>0</v>
      </c>
      <c r="AV138" s="12">
        <v>0</v>
      </c>
      <c r="AW138" s="12">
        <v>0</v>
      </c>
      <c r="AX138" s="12">
        <v>0</v>
      </c>
      <c r="AY138" s="12">
        <v>0</v>
      </c>
      <c r="AZ138" s="12">
        <v>0</v>
      </c>
      <c r="BA138" s="12">
        <v>0</v>
      </c>
      <c r="BB138" s="12">
        <v>0</v>
      </c>
      <c r="BC138" s="12">
        <v>0</v>
      </c>
      <c r="BD138" s="12">
        <v>0</v>
      </c>
      <c r="BE138" s="12">
        <v>0</v>
      </c>
      <c r="BF138" s="12">
        <v>0</v>
      </c>
      <c r="BG138" s="12">
        <v>0</v>
      </c>
      <c r="BH138" s="12">
        <v>0</v>
      </c>
      <c r="BI138" s="12">
        <v>0</v>
      </c>
      <c r="BJ138" s="12">
        <v>0</v>
      </c>
      <c r="BK138" s="12">
        <v>0</v>
      </c>
      <c r="BL138" s="12">
        <v>0</v>
      </c>
      <c r="BM138" s="12">
        <v>0</v>
      </c>
      <c r="BN138" s="12">
        <v>0</v>
      </c>
      <c r="BO138" s="12">
        <v>0</v>
      </c>
      <c r="BP138" s="12">
        <v>0</v>
      </c>
      <c r="BQ138" s="12">
        <v>0</v>
      </c>
      <c r="BR138" s="12">
        <v>0</v>
      </c>
      <c r="BS138" s="12">
        <v>0</v>
      </c>
      <c r="BT138" s="12">
        <v>0</v>
      </c>
      <c r="BU138" s="12">
        <v>0</v>
      </c>
      <c r="BV138" s="12">
        <v>0</v>
      </c>
      <c r="BW138" s="12">
        <v>0</v>
      </c>
      <c r="BX138" s="12">
        <v>0</v>
      </c>
      <c r="BY138" s="12">
        <v>0</v>
      </c>
    </row>
    <row r="139" spans="1:77" x14ac:dyDescent="0.25">
      <c r="A139" s="152" t="s">
        <v>1324</v>
      </c>
      <c r="B139" s="12" t="s">
        <v>1507</v>
      </c>
      <c r="C139" s="12">
        <v>0</v>
      </c>
      <c r="D139" s="12">
        <v>0</v>
      </c>
      <c r="E139" s="12">
        <v>0</v>
      </c>
      <c r="F139" s="12">
        <v>0</v>
      </c>
      <c r="G139" s="12">
        <v>0</v>
      </c>
      <c r="H139" s="12">
        <v>0</v>
      </c>
      <c r="I139" s="12">
        <v>0</v>
      </c>
      <c r="J139" s="12">
        <v>0</v>
      </c>
      <c r="K139" s="12">
        <v>0</v>
      </c>
      <c r="L139" s="12">
        <v>0</v>
      </c>
      <c r="M139" s="12">
        <v>0</v>
      </c>
      <c r="N139" s="12">
        <v>0</v>
      </c>
      <c r="O139" s="12">
        <v>0</v>
      </c>
      <c r="P139" s="12">
        <v>0</v>
      </c>
      <c r="Q139" s="12">
        <v>0</v>
      </c>
      <c r="R139" s="12">
        <v>0</v>
      </c>
      <c r="S139" s="12">
        <v>0</v>
      </c>
      <c r="T139" s="12">
        <v>0</v>
      </c>
      <c r="U139" s="12">
        <v>0</v>
      </c>
      <c r="V139" s="12">
        <v>0</v>
      </c>
      <c r="W139" s="12">
        <v>0</v>
      </c>
      <c r="X139" s="12">
        <v>0</v>
      </c>
      <c r="Y139" s="12">
        <v>0</v>
      </c>
      <c r="Z139" s="12">
        <v>0</v>
      </c>
      <c r="AA139" s="12">
        <v>0</v>
      </c>
      <c r="AB139" s="12">
        <v>0</v>
      </c>
      <c r="AC139" s="12">
        <v>0</v>
      </c>
      <c r="AD139" s="12">
        <v>0</v>
      </c>
      <c r="AE139" s="12">
        <v>0</v>
      </c>
      <c r="AF139" s="12">
        <v>0</v>
      </c>
      <c r="AG139" s="12">
        <v>0</v>
      </c>
      <c r="AH139" s="12">
        <v>0</v>
      </c>
      <c r="AI139" s="12">
        <v>0</v>
      </c>
      <c r="AJ139" s="12">
        <v>0</v>
      </c>
      <c r="AK139" s="12">
        <v>0</v>
      </c>
      <c r="AL139" s="12">
        <v>0</v>
      </c>
      <c r="AM139" s="12">
        <v>0</v>
      </c>
      <c r="AN139" s="12">
        <v>0</v>
      </c>
      <c r="AO139" s="12">
        <v>0</v>
      </c>
      <c r="AP139" s="12">
        <v>0</v>
      </c>
      <c r="AQ139" s="12">
        <v>0</v>
      </c>
      <c r="AR139" s="12">
        <v>0</v>
      </c>
      <c r="AS139" s="12">
        <v>0</v>
      </c>
      <c r="AT139" s="12">
        <v>0</v>
      </c>
      <c r="AU139" s="12">
        <v>0</v>
      </c>
      <c r="AV139" s="12">
        <v>0</v>
      </c>
      <c r="AW139" s="12">
        <v>0</v>
      </c>
      <c r="AX139" s="12">
        <v>0</v>
      </c>
      <c r="AY139" s="12">
        <v>0</v>
      </c>
      <c r="AZ139" s="12">
        <v>0</v>
      </c>
      <c r="BA139" s="12">
        <v>0</v>
      </c>
      <c r="BB139" s="12">
        <v>0</v>
      </c>
      <c r="BC139" s="12">
        <v>0</v>
      </c>
      <c r="BD139" s="12">
        <v>0</v>
      </c>
      <c r="BE139" s="12">
        <v>0</v>
      </c>
      <c r="BF139" s="12">
        <v>0</v>
      </c>
      <c r="BG139" s="12">
        <v>0</v>
      </c>
      <c r="BH139" s="12">
        <v>0</v>
      </c>
      <c r="BI139" s="12">
        <v>0</v>
      </c>
      <c r="BJ139" s="12">
        <v>0</v>
      </c>
      <c r="BK139" s="12">
        <v>0</v>
      </c>
      <c r="BL139" s="12">
        <v>0</v>
      </c>
      <c r="BM139" s="12">
        <v>0</v>
      </c>
      <c r="BN139" s="12">
        <v>0</v>
      </c>
      <c r="BO139" s="12">
        <v>0</v>
      </c>
      <c r="BP139" s="12">
        <v>0</v>
      </c>
      <c r="BQ139" s="12">
        <v>0</v>
      </c>
      <c r="BR139" s="12">
        <v>0</v>
      </c>
      <c r="BS139" s="12">
        <v>0</v>
      </c>
      <c r="BT139" s="12">
        <v>0</v>
      </c>
      <c r="BU139" s="12">
        <v>0</v>
      </c>
      <c r="BV139" s="12">
        <v>0</v>
      </c>
      <c r="BW139" s="12">
        <v>0</v>
      </c>
      <c r="BX139" s="12">
        <v>0</v>
      </c>
      <c r="BY139" s="12">
        <v>0</v>
      </c>
    </row>
    <row r="140" spans="1:77" x14ac:dyDescent="0.25">
      <c r="A140" s="152" t="s">
        <v>1325</v>
      </c>
      <c r="B140" s="12" t="s">
        <v>1507</v>
      </c>
      <c r="C140" s="12">
        <v>0</v>
      </c>
      <c r="D140" s="12">
        <v>0</v>
      </c>
      <c r="E140" s="12">
        <v>0</v>
      </c>
      <c r="F140" s="12">
        <v>0</v>
      </c>
      <c r="G140" s="12">
        <v>0</v>
      </c>
      <c r="H140" s="12">
        <v>0</v>
      </c>
      <c r="I140" s="12">
        <v>0</v>
      </c>
      <c r="J140" s="12">
        <v>0</v>
      </c>
      <c r="K140" s="12">
        <v>0</v>
      </c>
      <c r="L140" s="12">
        <v>0</v>
      </c>
      <c r="M140" s="12">
        <v>0</v>
      </c>
      <c r="N140" s="12">
        <v>0</v>
      </c>
      <c r="O140" s="12">
        <v>0</v>
      </c>
      <c r="P140" s="12">
        <v>0</v>
      </c>
      <c r="Q140" s="12">
        <v>0</v>
      </c>
      <c r="R140" s="12">
        <v>0</v>
      </c>
      <c r="S140" s="12">
        <v>0</v>
      </c>
      <c r="T140" s="12">
        <v>0</v>
      </c>
      <c r="U140" s="12">
        <v>0</v>
      </c>
      <c r="V140" s="12">
        <v>0</v>
      </c>
      <c r="W140" s="12">
        <v>0</v>
      </c>
      <c r="X140" s="12">
        <v>0</v>
      </c>
      <c r="Y140" s="12">
        <v>0</v>
      </c>
      <c r="Z140" s="12">
        <v>0</v>
      </c>
      <c r="AA140" s="12">
        <v>0</v>
      </c>
      <c r="AB140" s="12">
        <v>0</v>
      </c>
      <c r="AC140" s="12">
        <v>0</v>
      </c>
      <c r="AD140" s="12">
        <v>0</v>
      </c>
      <c r="AE140" s="12">
        <v>0</v>
      </c>
      <c r="AF140" s="12">
        <v>0</v>
      </c>
      <c r="AG140" s="12">
        <v>0</v>
      </c>
      <c r="AH140" s="12">
        <v>0</v>
      </c>
      <c r="AI140" s="12">
        <v>0</v>
      </c>
      <c r="AJ140" s="12">
        <v>0</v>
      </c>
      <c r="AK140" s="12">
        <v>0</v>
      </c>
      <c r="AL140" s="12">
        <v>0</v>
      </c>
      <c r="AM140" s="12">
        <v>0</v>
      </c>
      <c r="AN140" s="12">
        <v>0</v>
      </c>
      <c r="AO140" s="12">
        <v>0</v>
      </c>
      <c r="AP140" s="12">
        <v>0</v>
      </c>
      <c r="AQ140" s="12">
        <v>0</v>
      </c>
      <c r="AR140" s="12">
        <v>0</v>
      </c>
      <c r="AS140" s="12">
        <v>0</v>
      </c>
      <c r="AT140" s="12">
        <v>0</v>
      </c>
      <c r="AU140" s="12">
        <v>0</v>
      </c>
      <c r="AV140" s="12">
        <v>0</v>
      </c>
      <c r="AW140" s="12">
        <v>0</v>
      </c>
      <c r="AX140" s="12">
        <v>0</v>
      </c>
      <c r="AY140" s="12">
        <v>0</v>
      </c>
      <c r="AZ140" s="12">
        <v>0</v>
      </c>
      <c r="BA140" s="12">
        <v>0</v>
      </c>
      <c r="BB140" s="12">
        <v>0</v>
      </c>
      <c r="BC140" s="12">
        <v>0</v>
      </c>
      <c r="BD140" s="12">
        <v>0</v>
      </c>
      <c r="BE140" s="12">
        <v>0</v>
      </c>
      <c r="BF140" s="12">
        <v>0</v>
      </c>
      <c r="BG140" s="12">
        <v>0</v>
      </c>
      <c r="BH140" s="12">
        <v>0</v>
      </c>
      <c r="BI140" s="12">
        <v>0</v>
      </c>
      <c r="BJ140" s="12">
        <v>0</v>
      </c>
      <c r="BK140" s="12">
        <v>0</v>
      </c>
      <c r="BL140" s="12">
        <v>0</v>
      </c>
      <c r="BM140" s="12">
        <v>0</v>
      </c>
      <c r="BN140" s="12">
        <v>0</v>
      </c>
      <c r="BO140" s="12">
        <v>0</v>
      </c>
      <c r="BP140" s="12">
        <v>0</v>
      </c>
      <c r="BQ140" s="12">
        <v>0</v>
      </c>
      <c r="BR140" s="12">
        <v>0</v>
      </c>
      <c r="BS140" s="12">
        <v>0</v>
      </c>
      <c r="BT140" s="12">
        <v>0</v>
      </c>
      <c r="BU140" s="12">
        <v>0</v>
      </c>
      <c r="BV140" s="12">
        <v>0</v>
      </c>
      <c r="BW140" s="12">
        <v>0</v>
      </c>
      <c r="BX140" s="12">
        <v>0</v>
      </c>
      <c r="BY140" s="12">
        <v>0</v>
      </c>
    </row>
    <row r="141" spans="1:77" x14ac:dyDescent="0.25">
      <c r="A141" s="152" t="s">
        <v>1326</v>
      </c>
      <c r="B141" s="12" t="s">
        <v>1507</v>
      </c>
      <c r="C141" s="12">
        <v>0</v>
      </c>
      <c r="D141" s="12">
        <v>0</v>
      </c>
      <c r="E141" s="12">
        <v>0</v>
      </c>
      <c r="F141" s="12">
        <v>0</v>
      </c>
      <c r="G141" s="12">
        <v>0</v>
      </c>
      <c r="H141" s="12">
        <v>0</v>
      </c>
      <c r="I141" s="12">
        <v>0</v>
      </c>
      <c r="J141" s="12">
        <v>0</v>
      </c>
      <c r="K141" s="12">
        <v>0</v>
      </c>
      <c r="L141" s="12">
        <v>0</v>
      </c>
      <c r="M141" s="12">
        <v>0</v>
      </c>
      <c r="N141" s="12">
        <v>0</v>
      </c>
      <c r="O141" s="12">
        <v>0</v>
      </c>
      <c r="P141" s="12">
        <v>0</v>
      </c>
      <c r="Q141" s="12">
        <v>0</v>
      </c>
      <c r="R141" s="12">
        <v>0</v>
      </c>
      <c r="S141" s="12">
        <v>0</v>
      </c>
      <c r="T141" s="12">
        <v>0</v>
      </c>
      <c r="U141" s="12">
        <v>0</v>
      </c>
      <c r="V141" s="12">
        <v>0</v>
      </c>
      <c r="W141" s="12">
        <v>0</v>
      </c>
      <c r="X141" s="12">
        <v>0</v>
      </c>
      <c r="Y141" s="12">
        <v>0</v>
      </c>
      <c r="Z141" s="12">
        <v>0</v>
      </c>
      <c r="AA141" s="12">
        <v>0</v>
      </c>
      <c r="AB141" s="12">
        <v>0</v>
      </c>
      <c r="AC141" s="12">
        <v>0</v>
      </c>
      <c r="AD141" s="12">
        <v>0</v>
      </c>
      <c r="AE141" s="12">
        <v>0</v>
      </c>
      <c r="AF141" s="12">
        <v>0</v>
      </c>
      <c r="AG141" s="12">
        <v>0</v>
      </c>
      <c r="AH141" s="12">
        <v>0</v>
      </c>
      <c r="AI141" s="12">
        <v>0</v>
      </c>
      <c r="AJ141" s="12">
        <v>0</v>
      </c>
      <c r="AK141" s="12">
        <v>0</v>
      </c>
      <c r="AL141" s="12">
        <v>0</v>
      </c>
      <c r="AM141" s="12">
        <v>0</v>
      </c>
      <c r="AN141" s="12">
        <v>0</v>
      </c>
      <c r="AO141" s="12">
        <v>0</v>
      </c>
      <c r="AP141" s="12">
        <v>0</v>
      </c>
      <c r="AQ141" s="12">
        <v>0</v>
      </c>
      <c r="AR141" s="12">
        <v>0</v>
      </c>
      <c r="AS141" s="12">
        <v>0</v>
      </c>
      <c r="AT141" s="12">
        <v>0</v>
      </c>
      <c r="AU141" s="12">
        <v>0</v>
      </c>
      <c r="AV141" s="12">
        <v>0</v>
      </c>
      <c r="AW141" s="12">
        <v>0</v>
      </c>
      <c r="AX141" s="12">
        <v>0</v>
      </c>
      <c r="AY141" s="12">
        <v>0</v>
      </c>
      <c r="AZ141" s="12">
        <v>0</v>
      </c>
      <c r="BA141" s="12">
        <v>0</v>
      </c>
      <c r="BB141" s="12">
        <v>0</v>
      </c>
      <c r="BC141" s="12">
        <v>0</v>
      </c>
      <c r="BD141" s="12">
        <v>0</v>
      </c>
      <c r="BE141" s="12">
        <v>0</v>
      </c>
      <c r="BF141" s="12">
        <v>0</v>
      </c>
      <c r="BG141" s="12">
        <v>0</v>
      </c>
      <c r="BH141" s="12">
        <v>0</v>
      </c>
      <c r="BI141" s="12">
        <v>0</v>
      </c>
      <c r="BJ141" s="12">
        <v>0</v>
      </c>
      <c r="BK141" s="12">
        <v>0</v>
      </c>
      <c r="BL141" s="12">
        <v>0</v>
      </c>
      <c r="BM141" s="12">
        <v>0</v>
      </c>
      <c r="BN141" s="12">
        <v>0</v>
      </c>
      <c r="BO141" s="12">
        <v>0</v>
      </c>
      <c r="BP141" s="12">
        <v>0</v>
      </c>
      <c r="BQ141" s="12">
        <v>0</v>
      </c>
      <c r="BR141" s="12">
        <v>0</v>
      </c>
      <c r="BS141" s="12">
        <v>0</v>
      </c>
      <c r="BT141" s="12">
        <v>0</v>
      </c>
      <c r="BU141" s="12">
        <v>0</v>
      </c>
      <c r="BV141" s="12">
        <v>0</v>
      </c>
      <c r="BW141" s="12">
        <v>0</v>
      </c>
      <c r="BX141" s="12">
        <v>0</v>
      </c>
      <c r="BY141" s="12">
        <v>0</v>
      </c>
    </row>
    <row r="142" spans="1:77" x14ac:dyDescent="0.25">
      <c r="A142" s="152" t="s">
        <v>1327</v>
      </c>
      <c r="B142" s="12" t="s">
        <v>1507</v>
      </c>
      <c r="C142" s="12">
        <v>0</v>
      </c>
      <c r="D142" s="12">
        <v>0</v>
      </c>
      <c r="E142" s="12">
        <v>0</v>
      </c>
      <c r="F142" s="12">
        <v>0</v>
      </c>
      <c r="G142" s="12">
        <v>0</v>
      </c>
      <c r="H142" s="12">
        <v>0</v>
      </c>
      <c r="I142" s="12">
        <v>0</v>
      </c>
      <c r="J142" s="12">
        <v>0</v>
      </c>
      <c r="K142" s="12">
        <v>0</v>
      </c>
      <c r="L142" s="12">
        <v>0</v>
      </c>
      <c r="M142" s="12">
        <v>0</v>
      </c>
      <c r="N142" s="12">
        <v>0</v>
      </c>
      <c r="O142" s="12">
        <v>0</v>
      </c>
      <c r="P142" s="12">
        <v>0</v>
      </c>
      <c r="Q142" s="12">
        <v>0</v>
      </c>
      <c r="R142" s="12">
        <v>0</v>
      </c>
      <c r="S142" s="12">
        <v>0</v>
      </c>
      <c r="T142" s="12">
        <v>0</v>
      </c>
      <c r="U142" s="12">
        <v>0</v>
      </c>
      <c r="V142" s="12">
        <v>0</v>
      </c>
      <c r="W142" s="12">
        <v>0</v>
      </c>
      <c r="X142" s="12">
        <v>0</v>
      </c>
      <c r="Y142" s="12">
        <v>0</v>
      </c>
      <c r="Z142" s="12">
        <v>0</v>
      </c>
      <c r="AA142" s="12">
        <v>0</v>
      </c>
      <c r="AB142" s="12">
        <v>0</v>
      </c>
      <c r="AC142" s="12">
        <v>0</v>
      </c>
      <c r="AD142" s="12">
        <v>0</v>
      </c>
      <c r="AE142" s="12">
        <v>0</v>
      </c>
      <c r="AF142" s="12">
        <v>0</v>
      </c>
      <c r="AG142" s="12">
        <v>0</v>
      </c>
      <c r="AH142" s="12">
        <v>0</v>
      </c>
      <c r="AI142" s="12">
        <v>0</v>
      </c>
      <c r="AJ142" s="12">
        <v>0</v>
      </c>
      <c r="AK142" s="12">
        <v>0</v>
      </c>
      <c r="AL142" s="12">
        <v>0</v>
      </c>
      <c r="AM142" s="12">
        <v>0</v>
      </c>
      <c r="AN142" s="12">
        <v>0</v>
      </c>
      <c r="AO142" s="12">
        <v>0</v>
      </c>
      <c r="AP142" s="12">
        <v>0</v>
      </c>
      <c r="AQ142" s="12">
        <v>0</v>
      </c>
      <c r="AR142" s="12">
        <v>0</v>
      </c>
      <c r="AS142" s="12">
        <v>0</v>
      </c>
      <c r="AT142" s="12">
        <v>0</v>
      </c>
      <c r="AU142" s="12">
        <v>0</v>
      </c>
      <c r="AV142" s="12">
        <v>0</v>
      </c>
      <c r="AW142" s="12">
        <v>0</v>
      </c>
      <c r="AX142" s="12">
        <v>0</v>
      </c>
      <c r="AY142" s="12">
        <v>0</v>
      </c>
      <c r="AZ142" s="12">
        <v>0</v>
      </c>
      <c r="BA142" s="12">
        <v>0</v>
      </c>
      <c r="BB142" s="12">
        <v>0</v>
      </c>
      <c r="BC142" s="12">
        <v>0</v>
      </c>
      <c r="BD142" s="12">
        <v>0</v>
      </c>
      <c r="BE142" s="12">
        <v>0</v>
      </c>
      <c r="BF142" s="12">
        <v>0</v>
      </c>
      <c r="BG142" s="12">
        <v>0</v>
      </c>
      <c r="BH142" s="12">
        <v>0</v>
      </c>
      <c r="BI142" s="12">
        <v>0</v>
      </c>
      <c r="BJ142" s="12">
        <v>0</v>
      </c>
      <c r="BK142" s="12">
        <v>0</v>
      </c>
      <c r="BL142" s="12">
        <v>0</v>
      </c>
      <c r="BM142" s="12">
        <v>0</v>
      </c>
      <c r="BN142" s="12">
        <v>0</v>
      </c>
      <c r="BO142" s="12">
        <v>0</v>
      </c>
      <c r="BP142" s="12">
        <v>0</v>
      </c>
      <c r="BQ142" s="12">
        <v>0</v>
      </c>
      <c r="BR142" s="12">
        <v>0</v>
      </c>
      <c r="BS142" s="12">
        <v>0</v>
      </c>
      <c r="BT142" s="12">
        <v>0</v>
      </c>
      <c r="BU142" s="12">
        <v>0</v>
      </c>
      <c r="BV142" s="12">
        <v>0</v>
      </c>
      <c r="BW142" s="12">
        <v>0</v>
      </c>
      <c r="BX142" s="12">
        <v>0</v>
      </c>
      <c r="BY142" s="12">
        <v>0</v>
      </c>
    </row>
    <row r="143" spans="1:77" x14ac:dyDescent="0.25">
      <c r="A143" s="152"/>
      <c r="B143" s="12"/>
    </row>
    <row r="144" spans="1:77" x14ac:dyDescent="0.25">
      <c r="A144" s="152"/>
      <c r="B144" s="12"/>
    </row>
    <row r="145" spans="1:2" x14ac:dyDescent="0.25">
      <c r="A145" s="152"/>
      <c r="B145" s="12"/>
    </row>
    <row r="146" spans="1:2" x14ac:dyDescent="0.25">
      <c r="A146" s="152"/>
      <c r="B146" s="12"/>
    </row>
    <row r="147" spans="1:2" x14ac:dyDescent="0.25">
      <c r="A147" s="152"/>
      <c r="B147" s="12"/>
    </row>
    <row r="148" spans="1:2" x14ac:dyDescent="0.25">
      <c r="A148" s="152"/>
      <c r="B148" s="12"/>
    </row>
    <row r="149" spans="1:2" x14ac:dyDescent="0.25">
      <c r="A149" s="152"/>
      <c r="B149" s="12"/>
    </row>
    <row r="150" spans="1:2" x14ac:dyDescent="0.25">
      <c r="A150" s="152"/>
      <c r="B150" s="12"/>
    </row>
    <row r="151" spans="1:2" x14ac:dyDescent="0.25">
      <c r="A151" s="152"/>
      <c r="B151" s="12"/>
    </row>
    <row r="152" spans="1:2" x14ac:dyDescent="0.25">
      <c r="A152" s="152"/>
      <c r="B152" s="12"/>
    </row>
    <row r="153" spans="1:2" x14ac:dyDescent="0.25">
      <c r="A153" s="152"/>
      <c r="B153" s="12"/>
    </row>
    <row r="154" spans="1:2" x14ac:dyDescent="0.25">
      <c r="A154" s="152"/>
      <c r="B154" s="12"/>
    </row>
    <row r="155" spans="1:2" x14ac:dyDescent="0.25">
      <c r="A155" s="152"/>
      <c r="B155" s="12"/>
    </row>
    <row r="156" spans="1:2" x14ac:dyDescent="0.25">
      <c r="A156" s="152"/>
      <c r="B156" s="12"/>
    </row>
    <row r="157" spans="1:2" x14ac:dyDescent="0.25">
      <c r="A157" s="152"/>
      <c r="B157" s="12"/>
    </row>
    <row r="158" spans="1:2" x14ac:dyDescent="0.25">
      <c r="A158" s="152"/>
      <c r="B158" s="12"/>
    </row>
    <row r="159" spans="1:2" x14ac:dyDescent="0.25">
      <c r="A159" s="152"/>
      <c r="B159" s="12"/>
    </row>
    <row r="160" spans="1:2" x14ac:dyDescent="0.25">
      <c r="A160" s="152"/>
      <c r="B160" s="12"/>
    </row>
    <row r="161" spans="1:18" x14ac:dyDescent="0.25">
      <c r="A161" s="152"/>
      <c r="B161" s="12"/>
    </row>
    <row r="162" spans="1:18" x14ac:dyDescent="0.25">
      <c r="A162" s="152"/>
      <c r="B162" s="12"/>
    </row>
    <row r="163" spans="1:18" x14ac:dyDescent="0.25">
      <c r="A163" s="152"/>
      <c r="B163" s="12"/>
    </row>
    <row r="164" spans="1:18" x14ac:dyDescent="0.25">
      <c r="A164" s="152"/>
      <c r="B164" s="12"/>
    </row>
    <row r="165" spans="1:18" x14ac:dyDescent="0.25">
      <c r="A165" s="152"/>
      <c r="B165" s="12"/>
    </row>
    <row r="166" spans="1:18" x14ac:dyDescent="0.25">
      <c r="A166" s="152"/>
      <c r="B166" s="12"/>
    </row>
    <row r="167" spans="1:18" x14ac:dyDescent="0.25">
      <c r="A167" s="152"/>
      <c r="B167" s="12"/>
    </row>
    <row r="168" spans="1:18" x14ac:dyDescent="0.25">
      <c r="A168" s="152"/>
      <c r="B168" s="12"/>
    </row>
    <row r="169" spans="1:18" x14ac:dyDescent="0.25">
      <c r="A169" s="12"/>
      <c r="B169" s="12"/>
    </row>
    <row r="170" spans="1:18" x14ac:dyDescent="0.25">
      <c r="A170" s="12"/>
      <c r="B170" s="12"/>
    </row>
    <row r="172" spans="1:18" x14ac:dyDescent="0.25">
      <c r="R172" s="134"/>
    </row>
  </sheetData>
  <pageMargins left="0.7" right="0.7" top="0.75" bottom="0.75" header="0.3" footer="0.3"/>
  <pageSetup orientation="portrait" r:id="rId1"/>
  <drawing r:id="rId2"/>
  <legacyDrawing r:id="rId3"/>
  <controls>
    <mc:AlternateContent xmlns:mc="http://schemas.openxmlformats.org/markup-compatibility/2006">
      <mc:Choice Requires="x14">
        <control shapeId="47114" r:id="rId4" name="cmdGetSub">
          <controlPr defaultSize="0" autoLine="0" r:id="rId5">
            <anchor moveWithCells="1">
              <from>
                <xdr:col>1</xdr:col>
                <xdr:colOff>1533525</xdr:colOff>
                <xdr:row>0</xdr:row>
                <xdr:rowOff>257175</xdr:rowOff>
              </from>
              <to>
                <xdr:col>1</xdr:col>
                <xdr:colOff>2552700</xdr:colOff>
                <xdr:row>2</xdr:row>
                <xdr:rowOff>9525</xdr:rowOff>
              </to>
            </anchor>
          </controlPr>
        </control>
      </mc:Choice>
      <mc:Fallback>
        <control shapeId="47114" r:id="rId4" name="cmdGetSub"/>
      </mc:Fallback>
    </mc:AlternateContent>
    <mc:AlternateContent xmlns:mc="http://schemas.openxmlformats.org/markup-compatibility/2006">
      <mc:Choice Requires="x14">
        <control shapeId="47113" r:id="rId6" name="cmbBoxSub">
          <controlPr defaultSize="0" autoLine="0" autoPict="0" linkedCell="B2" r:id="rId7">
            <anchor moveWithCells="1">
              <from>
                <xdr:col>1</xdr:col>
                <xdr:colOff>19050</xdr:colOff>
                <xdr:row>1</xdr:row>
                <xdr:rowOff>19050</xdr:rowOff>
              </from>
              <to>
                <xdr:col>1</xdr:col>
                <xdr:colOff>1476375</xdr:colOff>
                <xdr:row>1</xdr:row>
                <xdr:rowOff>247650</xdr:rowOff>
              </to>
            </anchor>
          </controlPr>
        </control>
      </mc:Choice>
      <mc:Fallback>
        <control shapeId="47113" r:id="rId6" name="cmbBoxSub"/>
      </mc:Fallback>
    </mc:AlternateContent>
    <mc:AlternateContent xmlns:mc="http://schemas.openxmlformats.org/markup-compatibility/2006">
      <mc:Choice Requires="x14">
        <control shapeId="47105" r:id="rId8" name="cmdReadSub">
          <controlPr defaultSize="0" autoLine="0" r:id="rId9">
            <anchor moveWithCells="1">
              <from>
                <xdr:col>1</xdr:col>
                <xdr:colOff>2657475</xdr:colOff>
                <xdr:row>0</xdr:row>
                <xdr:rowOff>257175</xdr:rowOff>
              </from>
              <to>
                <xdr:col>1</xdr:col>
                <xdr:colOff>3705225</xdr:colOff>
                <xdr:row>2</xdr:row>
                <xdr:rowOff>19050</xdr:rowOff>
              </to>
            </anchor>
          </controlPr>
        </control>
      </mc:Choice>
      <mc:Fallback>
        <control shapeId="47105" r:id="rId8" name="cmdReadSub"/>
      </mc:Fallback>
    </mc:AlternateContent>
    <mc:AlternateContent xmlns:mc="http://schemas.openxmlformats.org/markup-compatibility/2006">
      <mc:Choice Requires="x14">
        <control shapeId="47106" r:id="rId10" name="cmdWriteSub">
          <controlPr defaultSize="0" autoLine="0" r:id="rId11">
            <anchor moveWithCells="1">
              <from>
                <xdr:col>1</xdr:col>
                <xdr:colOff>3743325</xdr:colOff>
                <xdr:row>0</xdr:row>
                <xdr:rowOff>257175</xdr:rowOff>
              </from>
              <to>
                <xdr:col>1</xdr:col>
                <xdr:colOff>4791075</xdr:colOff>
                <xdr:row>2</xdr:row>
                <xdr:rowOff>19050</xdr:rowOff>
              </to>
            </anchor>
          </controlPr>
        </control>
      </mc:Choice>
      <mc:Fallback>
        <control shapeId="47106" r:id="rId10" name="cmdWriteSub"/>
      </mc:Fallback>
    </mc:AlternateContent>
    <mc:AlternateContent xmlns:mc="http://schemas.openxmlformats.org/markup-compatibility/2006">
      <mc:Choice Requires="x14">
        <control shapeId="47107" r:id="rId12" name="cmdRun">
          <controlPr defaultSize="0" autoLine="0" r:id="rId13">
            <anchor moveWithCells="1">
              <from>
                <xdr:col>2</xdr:col>
                <xdr:colOff>190500</xdr:colOff>
                <xdr:row>0</xdr:row>
                <xdr:rowOff>257175</xdr:rowOff>
              </from>
              <to>
                <xdr:col>3</xdr:col>
                <xdr:colOff>238125</xdr:colOff>
                <xdr:row>2</xdr:row>
                <xdr:rowOff>19050</xdr:rowOff>
              </to>
            </anchor>
          </controlPr>
        </control>
      </mc:Choice>
      <mc:Fallback>
        <control shapeId="47107" r:id="rId12" name="cmdRu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K16"/>
  <sheetViews>
    <sheetView zoomScaleNormal="100" workbookViewId="0">
      <selection activeCell="C6" sqref="C6"/>
    </sheetView>
  </sheetViews>
  <sheetFormatPr defaultRowHeight="15" x14ac:dyDescent="0.25"/>
  <cols>
    <col min="3" max="3" width="9.140625" style="4"/>
  </cols>
  <sheetData>
    <row r="1" spans="1:11" ht="21" x14ac:dyDescent="0.25">
      <c r="A1" s="129" t="s">
        <v>980</v>
      </c>
    </row>
    <row r="2" spans="1:11" x14ac:dyDescent="0.25">
      <c r="A2" s="3"/>
    </row>
    <row r="4" spans="1:11" s="8" customFormat="1" x14ac:dyDescent="0.25">
      <c r="A4" s="77" t="s">
        <v>28</v>
      </c>
      <c r="B4" s="77" t="s">
        <v>29</v>
      </c>
      <c r="C4" s="78"/>
      <c r="D4" s="80" t="s">
        <v>15</v>
      </c>
    </row>
    <row r="5" spans="1:11" x14ac:dyDescent="0.25">
      <c r="A5">
        <v>1</v>
      </c>
      <c r="B5" t="s">
        <v>616</v>
      </c>
      <c r="C5" s="4">
        <v>20</v>
      </c>
      <c r="D5" t="s">
        <v>1364</v>
      </c>
      <c r="J5" s="4"/>
      <c r="K5" s="4"/>
    </row>
    <row r="6" spans="1:11" x14ac:dyDescent="0.25">
      <c r="A6">
        <v>2</v>
      </c>
      <c r="B6" t="s">
        <v>617</v>
      </c>
      <c r="C6" s="4">
        <v>50</v>
      </c>
      <c r="D6" t="s">
        <v>1365</v>
      </c>
      <c r="J6" s="4"/>
      <c r="K6" s="4"/>
    </row>
    <row r="7" spans="1:11" x14ac:dyDescent="0.25">
      <c r="A7">
        <v>3</v>
      </c>
      <c r="B7" t="s">
        <v>618</v>
      </c>
      <c r="C7" s="4">
        <v>1000</v>
      </c>
      <c r="D7" t="s">
        <v>1366</v>
      </c>
      <c r="J7" s="4"/>
      <c r="K7" s="4"/>
    </row>
    <row r="8" spans="1:11" x14ac:dyDescent="0.25">
      <c r="A8">
        <v>4</v>
      </c>
      <c r="B8" t="s">
        <v>619</v>
      </c>
      <c r="C8" s="4">
        <v>20</v>
      </c>
      <c r="D8" t="s">
        <v>1367</v>
      </c>
      <c r="J8" s="4"/>
      <c r="K8" s="4"/>
    </row>
    <row r="9" spans="1:11" x14ac:dyDescent="0.25">
      <c r="A9">
        <v>5</v>
      </c>
      <c r="B9" t="s">
        <v>620</v>
      </c>
      <c r="C9" s="4">
        <v>10</v>
      </c>
      <c r="D9" t="s">
        <v>1368</v>
      </c>
      <c r="J9" s="4"/>
      <c r="K9" s="4"/>
    </row>
    <row r="10" spans="1:11" x14ac:dyDescent="0.25">
      <c r="A10">
        <v>6</v>
      </c>
      <c r="B10" t="s">
        <v>621</v>
      </c>
      <c r="C10" s="4">
        <v>4</v>
      </c>
      <c r="D10" t="s">
        <v>1369</v>
      </c>
      <c r="J10" s="4"/>
      <c r="K10" s="4"/>
    </row>
    <row r="11" spans="1:11" x14ac:dyDescent="0.25">
      <c r="A11">
        <v>7</v>
      </c>
      <c r="B11" t="s">
        <v>622</v>
      </c>
      <c r="C11" s="4">
        <v>100</v>
      </c>
      <c r="D11" t="s">
        <v>1370</v>
      </c>
      <c r="J11" s="4"/>
      <c r="K11" s="4"/>
    </row>
    <row r="12" spans="1:11" x14ac:dyDescent="0.25">
      <c r="A12">
        <v>8</v>
      </c>
      <c r="B12" t="s">
        <v>623</v>
      </c>
      <c r="C12" s="4">
        <v>5</v>
      </c>
      <c r="D12" t="s">
        <v>1371</v>
      </c>
      <c r="J12" s="4"/>
      <c r="K12" s="4"/>
    </row>
    <row r="13" spans="1:11" x14ac:dyDescent="0.25">
      <c r="A13">
        <v>9</v>
      </c>
      <c r="B13" t="s">
        <v>624</v>
      </c>
      <c r="C13" s="4">
        <v>1</v>
      </c>
      <c r="D13" t="s">
        <v>1372</v>
      </c>
      <c r="J13" s="4"/>
      <c r="K13" s="4"/>
    </row>
    <row r="14" spans="1:11" x14ac:dyDescent="0.25">
      <c r="A14">
        <v>10</v>
      </c>
      <c r="B14" t="s">
        <v>625</v>
      </c>
      <c r="C14" s="4">
        <v>400</v>
      </c>
      <c r="D14" t="s">
        <v>1373</v>
      </c>
      <c r="J14" s="4"/>
      <c r="K14" s="4"/>
    </row>
    <row r="15" spans="1:11" x14ac:dyDescent="0.25">
      <c r="A15">
        <v>11</v>
      </c>
      <c r="B15" t="s">
        <v>556</v>
      </c>
      <c r="C15" s="4">
        <v>250</v>
      </c>
      <c r="D15" t="s">
        <v>1374</v>
      </c>
      <c r="J15" s="4"/>
      <c r="K15" s="4"/>
    </row>
    <row r="16" spans="1:11" x14ac:dyDescent="0.25">
      <c r="A16">
        <v>12</v>
      </c>
      <c r="B16" t="s">
        <v>1558</v>
      </c>
      <c r="C16" s="4">
        <v>1000</v>
      </c>
      <c r="D16" t="s">
        <v>1559</v>
      </c>
      <c r="J16" s="4"/>
    </row>
  </sheetData>
  <pageMargins left="0.7" right="0.7" top="0.75" bottom="0.75" header="0.3" footer="0.3"/>
  <drawing r:id="rId1"/>
  <legacyDrawing r:id="rId2"/>
  <controls>
    <mc:AlternateContent xmlns:mc="http://schemas.openxmlformats.org/markup-compatibility/2006">
      <mc:Choice Requires="x14">
        <control shapeId="11265" r:id="rId3" name="cmdReadDim">
          <controlPr defaultSize="0" autoLine="0" r:id="rId4">
            <anchor moveWithCells="1">
              <from>
                <xdr:col>5</xdr:col>
                <xdr:colOff>47625</xdr:colOff>
                <xdr:row>0</xdr:row>
                <xdr:rowOff>57150</xdr:rowOff>
              </from>
              <to>
                <xdr:col>6</xdr:col>
                <xdr:colOff>457200</xdr:colOff>
                <xdr:row>1</xdr:row>
                <xdr:rowOff>114300</xdr:rowOff>
              </to>
            </anchor>
          </controlPr>
        </control>
      </mc:Choice>
      <mc:Fallback>
        <control shapeId="11265" r:id="rId3" name="cmdReadDim"/>
      </mc:Fallback>
    </mc:AlternateContent>
    <mc:AlternateContent xmlns:mc="http://schemas.openxmlformats.org/markup-compatibility/2006">
      <mc:Choice Requires="x14">
        <control shapeId="11266" r:id="rId5" name="cmdWriteDim">
          <controlPr defaultSize="0" autoLine="0" r:id="rId6">
            <anchor moveWithCells="1">
              <from>
                <xdr:col>6</xdr:col>
                <xdr:colOff>504825</xdr:colOff>
                <xdr:row>0</xdr:row>
                <xdr:rowOff>57150</xdr:rowOff>
              </from>
              <to>
                <xdr:col>8</xdr:col>
                <xdr:colOff>304800</xdr:colOff>
                <xdr:row>1</xdr:row>
                <xdr:rowOff>123825</xdr:rowOff>
              </to>
            </anchor>
          </controlPr>
        </control>
      </mc:Choice>
      <mc:Fallback>
        <control shapeId="11266" r:id="rId5" name="cmdWriteDim"/>
      </mc:Fallback>
    </mc:AlternateContent>
    <mc:AlternateContent xmlns:mc="http://schemas.openxmlformats.org/markup-compatibility/2006">
      <mc:Choice Requires="x14">
        <control shapeId="11267" r:id="rId7" name="cmdRun">
          <controlPr defaultSize="0" autoLine="0" r:id="rId8">
            <anchor moveWithCells="1">
              <from>
                <xdr:col>8</xdr:col>
                <xdr:colOff>361950</xdr:colOff>
                <xdr:row>0</xdr:row>
                <xdr:rowOff>57150</xdr:rowOff>
              </from>
              <to>
                <xdr:col>10</xdr:col>
                <xdr:colOff>161925</xdr:colOff>
                <xdr:row>1</xdr:row>
                <xdr:rowOff>123825</xdr:rowOff>
              </to>
            </anchor>
          </controlPr>
        </control>
      </mc:Choice>
      <mc:Fallback>
        <control shapeId="11267" r:id="rId7" name="cmdRu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XFD268"/>
  <sheetViews>
    <sheetView zoomScaleNormal="100" workbookViewId="0">
      <pane ySplit="3" topLeftCell="A143" activePane="bottomLeft" state="frozen"/>
      <selection pane="bottomLeft" activeCell="C145" sqref="C145"/>
    </sheetView>
  </sheetViews>
  <sheetFormatPr defaultColWidth="8.85546875" defaultRowHeight="15" x14ac:dyDescent="0.25"/>
  <cols>
    <col min="1" max="1" width="12.28515625" style="9" customWidth="1"/>
    <col min="2" max="2" width="9.7109375" style="9" customWidth="1"/>
    <col min="3" max="3" width="9.7109375" style="155" customWidth="1"/>
    <col min="4" max="4" width="8.85546875" style="9" customWidth="1"/>
    <col min="5" max="5" width="8.85546875" style="109"/>
    <col min="6" max="16" width="8.85546875" style="9"/>
    <col min="17" max="18" width="8.85546875" style="9" customWidth="1"/>
    <col min="19" max="21" width="8.85546875" style="9"/>
    <col min="35" max="35" width="8.85546875" style="9"/>
    <col min="39" max="16380" width="8.85546875" style="9"/>
    <col min="16381" max="16381" width="4" style="9" bestFit="1" customWidth="1"/>
    <col min="16382" max="16382" width="40" style="9" bestFit="1" customWidth="1"/>
    <col min="16383" max="16383" width="4" style="9" bestFit="1" customWidth="1"/>
    <col min="16384" max="16384" width="27" style="9" bestFit="1" customWidth="1"/>
  </cols>
  <sheetData>
    <row r="1" spans="1:48 16381:16384" ht="25.35" customHeight="1" x14ac:dyDescent="0.25">
      <c r="A1" s="129" t="s">
        <v>1143</v>
      </c>
      <c r="XFA1" s="8" t="s">
        <v>135</v>
      </c>
      <c r="XFB1" s="8" t="s">
        <v>986</v>
      </c>
      <c r="XFC1" s="8" t="s">
        <v>182</v>
      </c>
      <c r="XFD1" s="99" t="s">
        <v>987</v>
      </c>
    </row>
    <row r="2" spans="1:48 16381:16384" ht="19.899999999999999" customHeight="1" x14ac:dyDescent="0.25">
      <c r="A2" s="32" t="s">
        <v>1033</v>
      </c>
      <c r="B2" s="114" t="s">
        <v>3202</v>
      </c>
      <c r="C2" s="156"/>
      <c r="D2" s="32"/>
      <c r="E2" s="115"/>
      <c r="XFA2">
        <v>0</v>
      </c>
      <c r="XFB2" t="s">
        <v>988</v>
      </c>
      <c r="XFC2">
        <v>1</v>
      </c>
      <c r="XFD2" t="s">
        <v>989</v>
      </c>
    </row>
    <row r="3" spans="1:48 16381:16384" ht="15.6" customHeight="1" x14ac:dyDescent="0.25">
      <c r="A3" s="123" t="s">
        <v>984</v>
      </c>
      <c r="B3" s="124"/>
      <c r="C3" s="157"/>
      <c r="D3" s="114"/>
      <c r="XFA3">
        <v>1</v>
      </c>
      <c r="XFB3" t="s">
        <v>990</v>
      </c>
      <c r="XFC3">
        <v>2</v>
      </c>
      <c r="XFD3" t="s">
        <v>991</v>
      </c>
    </row>
    <row r="4" spans="1:48 16381:16384" s="3" customFormat="1" x14ac:dyDescent="0.25">
      <c r="A4" s="22" t="s">
        <v>664</v>
      </c>
      <c r="C4" s="158"/>
      <c r="D4" s="3" t="s">
        <v>1034</v>
      </c>
      <c r="E4" s="21"/>
      <c r="XFA4">
        <v>2</v>
      </c>
      <c r="XFB4" t="s">
        <v>992</v>
      </c>
      <c r="XFC4">
        <v>3</v>
      </c>
      <c r="XFD4" t="s">
        <v>993</v>
      </c>
    </row>
    <row r="5" spans="1:48 16381:16384" s="3" customFormat="1" x14ac:dyDescent="0.25">
      <c r="B5" s="14" t="s">
        <v>665</v>
      </c>
      <c r="C5" s="14" t="s">
        <v>1483</v>
      </c>
      <c r="D5" s="3" t="s">
        <v>1035</v>
      </c>
      <c r="E5" s="110"/>
      <c r="AU5" s="3" t="s">
        <v>812</v>
      </c>
      <c r="AV5" s="9" t="s">
        <v>804</v>
      </c>
      <c r="XFA5">
        <v>3</v>
      </c>
      <c r="XFB5" t="s">
        <v>994</v>
      </c>
      <c r="XFC5">
        <v>4</v>
      </c>
      <c r="XFD5" t="s">
        <v>995</v>
      </c>
    </row>
    <row r="6" spans="1:48 16381:16384" x14ac:dyDescent="0.25">
      <c r="A6" s="19" t="s">
        <v>663</v>
      </c>
      <c r="B6" s="42">
        <v>90.05</v>
      </c>
      <c r="C6" s="42">
        <v>99.95</v>
      </c>
      <c r="D6" s="9" t="s">
        <v>1036</v>
      </c>
      <c r="E6" s="42"/>
      <c r="F6" s="42"/>
      <c r="G6" s="42"/>
      <c r="H6" s="23"/>
      <c r="I6" s="23"/>
      <c r="J6" s="23"/>
      <c r="K6" s="23"/>
      <c r="L6" s="23"/>
      <c r="M6" s="23"/>
      <c r="N6" s="23"/>
      <c r="O6" s="23"/>
      <c r="P6" s="23"/>
      <c r="Q6" s="23"/>
      <c r="R6" s="23"/>
      <c r="S6" s="23"/>
      <c r="T6" s="23"/>
      <c r="AM6" s="40" t="s">
        <v>814</v>
      </c>
      <c r="AN6" s="41">
        <v>4.3</v>
      </c>
      <c r="AR6" s="37" t="s">
        <v>805</v>
      </c>
      <c r="AS6" s="38">
        <f>INT(AN6)</f>
        <v>4</v>
      </c>
      <c r="AU6" s="9">
        <f>0*($AS$13/20)</f>
        <v>0</v>
      </c>
      <c r="AV6" s="39">
        <f>AU6/(AU6+EXP($AS$12-$AS$11*AU6))</f>
        <v>0</v>
      </c>
      <c r="XFA6">
        <v>4</v>
      </c>
      <c r="XFB6" t="s">
        <v>996</v>
      </c>
      <c r="XFC6">
        <v>5</v>
      </c>
      <c r="XFD6" t="s">
        <v>997</v>
      </c>
    </row>
    <row r="7" spans="1:48 16381:16384" x14ac:dyDescent="0.25">
      <c r="A7" s="19" t="s">
        <v>662</v>
      </c>
      <c r="B7" s="43">
        <v>10.5</v>
      </c>
      <c r="C7" s="43">
        <v>100.95</v>
      </c>
      <c r="D7" s="9" t="s">
        <v>1037</v>
      </c>
      <c r="E7" s="43"/>
      <c r="F7" s="43"/>
      <c r="G7" s="43"/>
      <c r="H7" s="23"/>
      <c r="I7" s="23"/>
      <c r="J7" s="23"/>
      <c r="K7" s="23"/>
      <c r="L7" s="23"/>
      <c r="M7" s="23"/>
      <c r="N7" s="23"/>
      <c r="O7" s="23"/>
      <c r="P7" s="23"/>
      <c r="Q7" s="23"/>
      <c r="R7" s="23"/>
      <c r="S7" s="23"/>
      <c r="T7" s="23"/>
      <c r="AM7" s="40" t="s">
        <v>815</v>
      </c>
      <c r="AN7" s="41">
        <v>7.77</v>
      </c>
      <c r="AR7" s="37" t="s">
        <v>806</v>
      </c>
      <c r="AS7" s="38">
        <f>INT(AN7)</f>
        <v>7</v>
      </c>
      <c r="AU7" s="9">
        <f>1*($AS$13/20)</f>
        <v>0.7</v>
      </c>
      <c r="AV7" s="39">
        <f>AU7/(AU7+EXP($AS$12-$AS$11*AU7))</f>
        <v>1.4261046436132766E-2</v>
      </c>
      <c r="XFA7">
        <v>5</v>
      </c>
      <c r="XFB7" t="s">
        <v>998</v>
      </c>
      <c r="XFC7">
        <v>6</v>
      </c>
      <c r="XFD7" t="s">
        <v>999</v>
      </c>
    </row>
    <row r="8" spans="1:48 16381:16384" x14ac:dyDescent="0.25">
      <c r="A8" s="19" t="s">
        <v>661</v>
      </c>
      <c r="B8" s="43">
        <v>50.1</v>
      </c>
      <c r="C8" s="43">
        <v>95.95</v>
      </c>
      <c r="D8" s="9" t="s">
        <v>1038</v>
      </c>
      <c r="E8" s="43"/>
      <c r="F8" s="43"/>
      <c r="G8" s="43"/>
      <c r="H8" s="23"/>
      <c r="I8" s="23"/>
      <c r="J8" s="23"/>
      <c r="K8" s="23"/>
      <c r="L8" s="23"/>
      <c r="M8" s="23"/>
      <c r="N8" s="23"/>
      <c r="O8" s="23"/>
      <c r="P8" s="23"/>
      <c r="Q8" s="23"/>
      <c r="R8" s="23"/>
      <c r="S8" s="23"/>
      <c r="T8" s="23"/>
      <c r="AR8" s="37" t="s">
        <v>807</v>
      </c>
      <c r="AS8" s="38">
        <f>AN6-AS6</f>
        <v>0.29999999999999982</v>
      </c>
      <c r="AU8" s="9">
        <f>2*($AS$13/20)</f>
        <v>1.4</v>
      </c>
      <c r="AV8" s="39">
        <f>AU8/(AU8+EXP($AS$12-$AS$11*AU8))</f>
        <v>3.9405479951089575E-2</v>
      </c>
      <c r="XFA8">
        <v>6</v>
      </c>
      <c r="XFB8" t="s">
        <v>1000</v>
      </c>
      <c r="XFC8">
        <v>7</v>
      </c>
      <c r="XFD8" t="s">
        <v>1001</v>
      </c>
    </row>
    <row r="9" spans="1:48 16381:16384" x14ac:dyDescent="0.25">
      <c r="A9" s="19" t="s">
        <v>660</v>
      </c>
      <c r="B9" s="43">
        <v>0</v>
      </c>
      <c r="C9" s="43">
        <v>0</v>
      </c>
      <c r="D9" s="9" t="s">
        <v>1039</v>
      </c>
      <c r="E9" s="43"/>
      <c r="F9" s="43"/>
      <c r="G9" s="43"/>
      <c r="H9" s="23"/>
      <c r="I9" s="23"/>
      <c r="J9" s="23"/>
      <c r="K9" s="23"/>
      <c r="L9" s="23"/>
      <c r="M9" s="23"/>
      <c r="N9" s="23"/>
      <c r="O9" s="23"/>
      <c r="P9" s="23"/>
      <c r="Q9" s="23"/>
      <c r="R9" s="23"/>
      <c r="S9" s="23"/>
      <c r="T9" s="23"/>
      <c r="AR9" s="37" t="s">
        <v>808</v>
      </c>
      <c r="AS9" s="38">
        <f>AN7-AS7</f>
        <v>0.76999999999999957</v>
      </c>
      <c r="AU9" s="9">
        <f>3*($AS$13/20)</f>
        <v>2.0999999999999996</v>
      </c>
      <c r="AV9" s="39">
        <f>AU9/(AU9+EXP($AS$12-$AS$11*AU9))</f>
        <v>8.0238032205428966E-2</v>
      </c>
      <c r="XFA9">
        <v>7</v>
      </c>
      <c r="XFB9" t="s">
        <v>1002</v>
      </c>
      <c r="XFC9">
        <v>8</v>
      </c>
      <c r="XFD9" t="s">
        <v>1003</v>
      </c>
    </row>
    <row r="10" spans="1:48 16381:16384" x14ac:dyDescent="0.25">
      <c r="A10" s="19" t="s">
        <v>659</v>
      </c>
      <c r="B10" s="43">
        <v>1.2</v>
      </c>
      <c r="C10" s="43">
        <v>6.95</v>
      </c>
      <c r="D10" s="9" t="s">
        <v>1040</v>
      </c>
      <c r="E10" s="43"/>
      <c r="F10" s="43"/>
      <c r="G10" s="43"/>
      <c r="H10" s="23"/>
      <c r="I10" s="23"/>
      <c r="J10" s="23">
        <f>C10-G10</f>
        <v>6.95</v>
      </c>
      <c r="K10" s="23"/>
      <c r="L10" s="23"/>
      <c r="M10" s="23"/>
      <c r="N10" s="23"/>
      <c r="O10" s="23"/>
      <c r="P10" s="23"/>
      <c r="Q10" s="23"/>
      <c r="R10" s="23"/>
      <c r="S10" s="23"/>
      <c r="T10" s="23"/>
      <c r="AR10" s="37" t="s">
        <v>809</v>
      </c>
      <c r="AS10" s="38">
        <f>LN(AS6/AS8-AS6)</f>
        <v>2.2335922215070951</v>
      </c>
      <c r="AU10" s="9">
        <f>4*($AS$13/20)</f>
        <v>2.8</v>
      </c>
      <c r="AV10" s="39">
        <f>AU10/(AU10+EXP($AS$12-$AS$11*AU10))</f>
        <v>0.14156279711511155</v>
      </c>
      <c r="XFA10">
        <v>8</v>
      </c>
      <c r="XFB10" t="s">
        <v>1004</v>
      </c>
      <c r="XFC10">
        <v>9</v>
      </c>
      <c r="XFD10" t="s">
        <v>1005</v>
      </c>
    </row>
    <row r="11" spans="1:48 16381:16384" x14ac:dyDescent="0.25">
      <c r="A11" s="19" t="s">
        <v>658</v>
      </c>
      <c r="B11" s="43">
        <v>5.0999999999999996</v>
      </c>
      <c r="C11" s="43">
        <v>100.95</v>
      </c>
      <c r="D11" s="9" t="s">
        <v>1041</v>
      </c>
      <c r="E11" s="43"/>
      <c r="F11" s="43"/>
      <c r="G11" s="43"/>
      <c r="H11" s="23"/>
      <c r="I11" s="23"/>
      <c r="J11" s="23"/>
      <c r="K11" s="23"/>
      <c r="L11" s="23"/>
      <c r="M11" s="23"/>
      <c r="N11" s="23"/>
      <c r="O11" s="23"/>
      <c r="P11" s="23"/>
      <c r="Q11" s="23"/>
      <c r="R11" s="23"/>
      <c r="S11" s="23"/>
      <c r="T11" s="23"/>
      <c r="AR11" s="37" t="s">
        <v>810</v>
      </c>
      <c r="AS11" s="38">
        <f>(AS10-LN(AS7/AS9-AS7))/(AS7-AS6)</f>
        <v>0.49866442612543799</v>
      </c>
      <c r="AU11" s="9">
        <f>5*($AS$13/20)</f>
        <v>3.5</v>
      </c>
      <c r="AV11" s="39">
        <f>AU11/(AU11+EXP($AS$12-$AS$11*AU11))</f>
        <v>0.22615316664055121</v>
      </c>
      <c r="XFA11">
        <v>9</v>
      </c>
      <c r="XFB11" t="s">
        <v>1006</v>
      </c>
      <c r="XFC11">
        <v>10</v>
      </c>
      <c r="XFD11" t="s">
        <v>1007</v>
      </c>
    </row>
    <row r="12" spans="1:48 16381:16384" x14ac:dyDescent="0.25">
      <c r="A12" s="19" t="s">
        <v>657</v>
      </c>
      <c r="B12" s="43">
        <v>5.25</v>
      </c>
      <c r="C12" s="43">
        <v>50.95</v>
      </c>
      <c r="D12" s="9" t="s">
        <v>1042</v>
      </c>
      <c r="E12" s="43"/>
      <c r="F12" s="43"/>
      <c r="G12" s="43"/>
      <c r="H12" s="23"/>
      <c r="I12" s="23"/>
      <c r="J12" s="23"/>
      <c r="K12" s="23"/>
      <c r="L12" s="23"/>
      <c r="M12" s="23"/>
      <c r="N12" s="23"/>
      <c r="O12" s="23"/>
      <c r="P12" s="23"/>
      <c r="Q12" s="23"/>
      <c r="R12" s="23"/>
      <c r="S12" s="23"/>
      <c r="T12" s="23"/>
      <c r="AR12" s="37" t="s">
        <v>811</v>
      </c>
      <c r="AS12" s="38">
        <f>AS10+AS6*AS11</f>
        <v>4.2282499260088473</v>
      </c>
      <c r="AU12" s="9">
        <f>6*($AS$13/20)</f>
        <v>4.1999999999999993</v>
      </c>
      <c r="AV12" s="39">
        <f>AU12/(AU12+EXP($AS$12-$AS$11*AU12))</f>
        <v>0.33208392395918168</v>
      </c>
      <c r="XFA12">
        <v>10</v>
      </c>
      <c r="XFB12" t="s">
        <v>1008</v>
      </c>
      <c r="XFC12">
        <v>11</v>
      </c>
      <c r="XFD12" t="s">
        <v>1009</v>
      </c>
    </row>
    <row r="13" spans="1:48 16381:16384" x14ac:dyDescent="0.25">
      <c r="A13" s="19" t="s">
        <v>656</v>
      </c>
      <c r="B13" s="43">
        <v>20.5</v>
      </c>
      <c r="C13" s="43">
        <v>80.989999999999995</v>
      </c>
      <c r="D13" s="9" t="s">
        <v>1043</v>
      </c>
      <c r="E13" s="43"/>
      <c r="F13" s="43"/>
      <c r="G13" s="43"/>
      <c r="H13" s="23"/>
      <c r="I13" s="23"/>
      <c r="J13" s="23"/>
      <c r="K13" s="23"/>
      <c r="L13" s="23"/>
      <c r="M13" s="23"/>
      <c r="N13" s="23"/>
      <c r="O13" s="23"/>
      <c r="P13" s="23"/>
      <c r="Q13" s="23"/>
      <c r="R13" s="23"/>
      <c r="S13" s="23"/>
      <c r="T13" s="23"/>
      <c r="AR13" s="3" t="s">
        <v>813</v>
      </c>
      <c r="AS13" s="3">
        <f>AS7*2</f>
        <v>14</v>
      </c>
      <c r="AU13" s="9">
        <f>7*($AS$13/20)</f>
        <v>4.8999999999999995</v>
      </c>
      <c r="AV13" s="39">
        <f>AU13/(AU13+EXP($AS$12-$AS$11*AU13))</f>
        <v>0.45126545716373684</v>
      </c>
      <c r="XFA13">
        <v>11</v>
      </c>
      <c r="XFB13" t="s">
        <v>1010</v>
      </c>
      <c r="XFC13"/>
      <c r="XFD13" s="93"/>
    </row>
    <row r="14" spans="1:48 16381:16384" x14ac:dyDescent="0.25">
      <c r="A14" s="19" t="s">
        <v>655</v>
      </c>
      <c r="B14" s="43">
        <v>1.1000000000000001</v>
      </c>
      <c r="C14" s="43">
        <v>10.99</v>
      </c>
      <c r="D14" s="9" t="s">
        <v>1044</v>
      </c>
      <c r="E14" s="43"/>
      <c r="F14" s="43"/>
      <c r="G14" s="43"/>
      <c r="H14" s="23"/>
      <c r="I14" s="23"/>
      <c r="J14" s="23"/>
      <c r="K14" s="23"/>
      <c r="L14" s="23"/>
      <c r="M14" s="23"/>
      <c r="N14" s="23"/>
      <c r="O14" s="23"/>
      <c r="P14" s="23"/>
      <c r="Q14" s="23"/>
      <c r="R14" s="23"/>
      <c r="S14" s="23"/>
      <c r="T14" s="23"/>
      <c r="AU14" s="9">
        <f>8*($AS$13/20)</f>
        <v>5.6</v>
      </c>
      <c r="AV14" s="39">
        <f>AU14/(AU14+EXP($AS$12-$AS$11*AU14))</f>
        <v>0.57127069940979536</v>
      </c>
      <c r="XFA14">
        <v>12</v>
      </c>
      <c r="XFB14" t="s">
        <v>1011</v>
      </c>
      <c r="XFC14"/>
      <c r="XFD14" s="93"/>
    </row>
    <row r="15" spans="1:48 16381:16384" x14ac:dyDescent="0.25">
      <c r="A15" s="19" t="s">
        <v>654</v>
      </c>
      <c r="B15" s="43">
        <v>10.050000000000001</v>
      </c>
      <c r="C15" s="43">
        <v>100.9</v>
      </c>
      <c r="D15" s="9" t="s">
        <v>1045</v>
      </c>
      <c r="E15" s="43"/>
      <c r="F15" s="43"/>
      <c r="G15" s="43"/>
      <c r="H15" s="23"/>
      <c r="I15" s="23"/>
      <c r="J15" s="23"/>
      <c r="K15" s="23"/>
      <c r="L15" s="23"/>
      <c r="M15" s="23"/>
      <c r="N15" s="23"/>
      <c r="O15" s="23"/>
      <c r="P15" s="23"/>
      <c r="Q15" s="23"/>
      <c r="R15" s="23"/>
      <c r="S15" s="23"/>
      <c r="T15" s="23"/>
      <c r="AU15" s="9">
        <f>9*($AS$13/20)</f>
        <v>6.3</v>
      </c>
      <c r="AV15" s="39">
        <f>AU15/(AU15+EXP($AS$12-$AS$11*AU15))</f>
        <v>0.68002476011034163</v>
      </c>
      <c r="XFA15">
        <v>13</v>
      </c>
      <c r="XFB15" t="s">
        <v>1012</v>
      </c>
      <c r="XFC15"/>
      <c r="XFD15" s="93"/>
    </row>
    <row r="16" spans="1:48 16381:16384" x14ac:dyDescent="0.25">
      <c r="A16" s="19" t="s">
        <v>653</v>
      </c>
      <c r="B16" s="43">
        <v>5.01</v>
      </c>
      <c r="C16" s="43">
        <v>20.9</v>
      </c>
      <c r="D16" s="9" t="s">
        <v>1046</v>
      </c>
      <c r="E16" s="43"/>
      <c r="F16" s="43"/>
      <c r="G16" s="43"/>
      <c r="H16" s="23"/>
      <c r="I16" s="23"/>
      <c r="J16" s="23"/>
      <c r="K16" s="23"/>
      <c r="L16" s="23"/>
      <c r="M16" s="23"/>
      <c r="N16" s="23"/>
      <c r="O16" s="23"/>
      <c r="P16" s="23"/>
      <c r="Q16" s="23"/>
      <c r="R16" s="23"/>
      <c r="S16" s="23"/>
      <c r="T16" s="23"/>
      <c r="AU16" s="36">
        <f>10*($AS$13/20)</f>
        <v>7</v>
      </c>
      <c r="AV16" s="45">
        <f>AU16/(AU16+EXP($AS$12-$AS$11*AU16))</f>
        <v>0.76999999999999968</v>
      </c>
      <c r="XFA16">
        <v>14</v>
      </c>
      <c r="XFB16" t="s">
        <v>1013</v>
      </c>
      <c r="XFC16"/>
      <c r="XFD16" s="100"/>
    </row>
    <row r="17" spans="1:48 16381:16384" x14ac:dyDescent="0.25">
      <c r="A17" s="19" t="s">
        <v>652</v>
      </c>
      <c r="B17" s="43">
        <v>5.05</v>
      </c>
      <c r="C17" s="43">
        <v>100.5</v>
      </c>
      <c r="D17" s="9" t="s">
        <v>1047</v>
      </c>
      <c r="E17" s="43"/>
      <c r="F17" s="43"/>
      <c r="G17" s="43"/>
      <c r="H17" s="23"/>
      <c r="I17" s="23"/>
      <c r="J17" s="23"/>
      <c r="K17" s="23"/>
      <c r="L17" s="23"/>
      <c r="M17" s="23"/>
      <c r="N17" s="23"/>
      <c r="O17" s="23"/>
      <c r="P17" s="23"/>
      <c r="Q17" s="23"/>
      <c r="R17" s="23"/>
      <c r="S17" s="23"/>
      <c r="T17" s="23"/>
      <c r="AU17" s="36">
        <f>11*($AS$13/20)</f>
        <v>7.6999999999999993</v>
      </c>
      <c r="AV17" s="45">
        <f>AU17/(AU17+EXP($AS$12-$AS$11*AU17))</f>
        <v>0.8392538059307143</v>
      </c>
      <c r="XFA17">
        <v>15</v>
      </c>
      <c r="XFB17" t="s">
        <v>1014</v>
      </c>
      <c r="XFC17"/>
      <c r="XFD17" s="93"/>
    </row>
    <row r="18" spans="1:48 16381:16384" x14ac:dyDescent="0.25">
      <c r="A18" s="19" t="s">
        <v>651</v>
      </c>
      <c r="B18" s="43">
        <v>1.8</v>
      </c>
      <c r="C18" s="43">
        <v>3.99</v>
      </c>
      <c r="D18" s="9" t="s">
        <v>1048</v>
      </c>
      <c r="E18" s="43"/>
      <c r="F18" s="43"/>
      <c r="G18" s="43"/>
      <c r="H18" s="23"/>
      <c r="I18" s="23"/>
      <c r="J18" s="23"/>
      <c r="K18" s="23"/>
      <c r="L18" s="23"/>
      <c r="M18" s="23"/>
      <c r="N18" s="23"/>
      <c r="O18" s="23"/>
      <c r="P18" s="23"/>
      <c r="Q18" s="23"/>
      <c r="R18" s="23"/>
      <c r="S18" s="23"/>
      <c r="T18" s="23"/>
      <c r="AU18" s="36">
        <f>12*($AS$13/20)</f>
        <v>8.3999999999999986</v>
      </c>
      <c r="AV18" s="45">
        <f>AU18/(AU18+EXP($AS$12-$AS$11*AU18))</f>
        <v>0.88980619086963175</v>
      </c>
      <c r="XFA18">
        <v>16</v>
      </c>
      <c r="XFB18" t="s">
        <v>1015</v>
      </c>
      <c r="XFC18"/>
      <c r="XFD18" s="93"/>
    </row>
    <row r="19" spans="1:48 16381:16384" x14ac:dyDescent="0.25">
      <c r="A19" s="19" t="s">
        <v>650</v>
      </c>
      <c r="B19" s="43">
        <v>5.0999999999999996</v>
      </c>
      <c r="C19" s="43">
        <v>20.95</v>
      </c>
      <c r="D19" s="9" t="s">
        <v>1049</v>
      </c>
      <c r="E19" s="43"/>
      <c r="F19" s="43"/>
      <c r="G19" s="43"/>
      <c r="H19" s="23"/>
      <c r="I19" s="23"/>
      <c r="J19" s="23"/>
      <c r="K19" s="23"/>
      <c r="L19" s="23"/>
      <c r="M19" s="23"/>
      <c r="N19" s="23"/>
      <c r="O19" s="23"/>
      <c r="P19" s="23"/>
      <c r="Q19" s="23"/>
      <c r="R19" s="23"/>
      <c r="S19" s="23"/>
      <c r="T19" s="23"/>
      <c r="AU19" s="36">
        <f>13*($AS$13/20)</f>
        <v>9.1</v>
      </c>
      <c r="AV19" s="45">
        <f>AU19/(AU19+EXP($AS$12-$AS$11*AU19))</f>
        <v>0.92538516968459239</v>
      </c>
      <c r="XFA19">
        <v>17</v>
      </c>
      <c r="XFB19" t="s">
        <v>1016</v>
      </c>
      <c r="XFC19"/>
      <c r="XFD19" s="93"/>
    </row>
    <row r="20" spans="1:48 16381:16384" x14ac:dyDescent="0.25">
      <c r="A20" s="19" t="s">
        <v>649</v>
      </c>
      <c r="B20" s="43">
        <v>10.1</v>
      </c>
      <c r="C20" s="43">
        <v>100.95</v>
      </c>
      <c r="D20" s="9" t="s">
        <v>1050</v>
      </c>
      <c r="E20" s="43"/>
      <c r="F20" s="43"/>
      <c r="G20" s="43"/>
      <c r="H20" s="23"/>
      <c r="I20" s="23"/>
      <c r="J20" s="23"/>
      <c r="K20" s="23"/>
      <c r="L20" s="23"/>
      <c r="M20" s="23"/>
      <c r="N20" s="23"/>
      <c r="O20" s="23"/>
      <c r="P20" s="23"/>
      <c r="Q20" s="23"/>
      <c r="R20" s="23"/>
      <c r="S20" s="23"/>
      <c r="T20" s="23"/>
      <c r="AU20" s="36">
        <f>14*($AS$13/20)</f>
        <v>9.7999999999999989</v>
      </c>
      <c r="AV20" s="45">
        <f>AU20/(AU20+EXP($AS$12-$AS$11*AU20))</f>
        <v>0.94983848407396587</v>
      </c>
      <c r="XFA20">
        <v>18</v>
      </c>
      <c r="XFB20" t="s">
        <v>1017</v>
      </c>
      <c r="XFC20"/>
      <c r="XFD20" s="93"/>
    </row>
    <row r="21" spans="1:48 16381:16384" x14ac:dyDescent="0.25">
      <c r="A21" s="19" t="s">
        <v>648</v>
      </c>
      <c r="B21" s="43">
        <v>10.050000000000001</v>
      </c>
      <c r="C21" s="43">
        <v>50.6</v>
      </c>
      <c r="D21" s="9" t="s">
        <v>1051</v>
      </c>
      <c r="E21" s="43"/>
      <c r="F21" s="43"/>
      <c r="G21" s="43"/>
      <c r="H21" s="23"/>
      <c r="I21" s="23"/>
      <c r="J21" s="23"/>
      <c r="K21" s="23"/>
      <c r="L21" s="23"/>
      <c r="M21" s="23"/>
      <c r="N21" s="23"/>
      <c r="O21" s="23"/>
      <c r="P21" s="23"/>
      <c r="Q21" s="23"/>
      <c r="R21" s="23"/>
      <c r="S21" s="23"/>
      <c r="T21" s="23"/>
      <c r="AU21" s="36">
        <f>15*($AS$13/20)</f>
        <v>10.5</v>
      </c>
      <c r="AV21" s="45">
        <f>AU21/(AU21+EXP($AS$12-$AS$11*AU21))</f>
        <v>0.96640162498372095</v>
      </c>
      <c r="XFA21">
        <v>19</v>
      </c>
      <c r="XFB21" t="s">
        <v>1018</v>
      </c>
      <c r="XFC21"/>
      <c r="XFD21" s="93"/>
    </row>
    <row r="22" spans="1:48 16381:16384" x14ac:dyDescent="0.25">
      <c r="A22" s="19" t="s">
        <v>647</v>
      </c>
      <c r="B22" s="43">
        <v>20.100000000000001</v>
      </c>
      <c r="C22" s="43">
        <v>50.95</v>
      </c>
      <c r="D22" s="9" t="s">
        <v>1052</v>
      </c>
      <c r="E22" s="43"/>
      <c r="F22" s="43"/>
      <c r="G22" s="43"/>
      <c r="H22" s="23"/>
      <c r="I22" s="23"/>
      <c r="J22" s="23"/>
      <c r="K22" s="23"/>
      <c r="L22" s="23"/>
      <c r="M22" s="23"/>
      <c r="N22" s="23"/>
      <c r="O22" s="23"/>
      <c r="P22" s="23"/>
      <c r="Q22" s="23"/>
      <c r="R22" s="23"/>
      <c r="S22" s="23"/>
      <c r="T22" s="23"/>
      <c r="AU22" s="36">
        <f>16*($AS$13/20)</f>
        <v>11.2</v>
      </c>
      <c r="AV22" s="45">
        <f>AU22/(AU22+EXP($AS$12-$AS$11*AU22))</f>
        <v>0.97752687040115716</v>
      </c>
      <c r="XFA22">
        <v>20</v>
      </c>
      <c r="XFB22" t="s">
        <v>1019</v>
      </c>
      <c r="XFC22"/>
      <c r="XFD22" s="93"/>
    </row>
    <row r="23" spans="1:48 16381:16384" x14ac:dyDescent="0.25">
      <c r="A23" s="19" t="s">
        <v>646</v>
      </c>
      <c r="B23" s="43">
        <v>5.0999999999999996</v>
      </c>
      <c r="C23" s="43">
        <v>50.3</v>
      </c>
      <c r="D23" s="9" t="s">
        <v>1053</v>
      </c>
      <c r="E23" s="43"/>
      <c r="F23" s="43"/>
      <c r="G23" s="43"/>
      <c r="H23" s="23"/>
      <c r="I23" s="23"/>
      <c r="J23" s="23"/>
      <c r="K23" s="23"/>
      <c r="L23" s="23"/>
      <c r="M23" s="23"/>
      <c r="N23" s="23"/>
      <c r="O23" s="23"/>
      <c r="P23" s="23"/>
      <c r="Q23" s="23"/>
      <c r="R23" s="23"/>
      <c r="S23" s="23"/>
      <c r="T23" s="23"/>
      <c r="AU23" s="36">
        <f>17*($AS$13/20)</f>
        <v>11.899999999999999</v>
      </c>
      <c r="AV23" s="45">
        <f>AU23/(AU23+EXP($AS$12-$AS$11*AU23))</f>
        <v>0.98496751515045788</v>
      </c>
      <c r="XFA23">
        <v>21</v>
      </c>
      <c r="XFB23" t="s">
        <v>1020</v>
      </c>
      <c r="XFC23"/>
      <c r="XFD23" s="93"/>
    </row>
    <row r="24" spans="1:48 16381:16384" x14ac:dyDescent="0.25">
      <c r="A24" s="19" t="s">
        <v>645</v>
      </c>
      <c r="B24" s="43">
        <v>10.01</v>
      </c>
      <c r="C24" s="43">
        <v>25.95</v>
      </c>
      <c r="D24" s="9" t="s">
        <v>1054</v>
      </c>
      <c r="E24" s="43"/>
      <c r="F24" s="43"/>
      <c r="G24" s="43"/>
      <c r="H24" s="23"/>
      <c r="I24" s="23"/>
      <c r="J24" s="23"/>
      <c r="K24" s="23"/>
      <c r="L24" s="23"/>
      <c r="M24" s="23"/>
      <c r="N24" s="23"/>
      <c r="O24" s="23"/>
      <c r="P24" s="23"/>
      <c r="Q24" s="23"/>
      <c r="R24" s="23"/>
      <c r="S24" s="23"/>
      <c r="T24" s="23"/>
      <c r="AU24" s="36">
        <f>18*($AS$13/20)</f>
        <v>12.6</v>
      </c>
      <c r="AV24" s="45">
        <f>AU24/(AU24+EXP($AS$12-$AS$11*AU24))</f>
        <v>0.98993543273216722</v>
      </c>
      <c r="XFA24">
        <v>22</v>
      </c>
      <c r="XFB24" t="s">
        <v>1021</v>
      </c>
      <c r="XFC24"/>
      <c r="XFD24" s="93"/>
    </row>
    <row r="25" spans="1:48 16381:16384" x14ac:dyDescent="0.25">
      <c r="A25" s="19" t="s">
        <v>644</v>
      </c>
      <c r="B25" s="43">
        <v>400.05</v>
      </c>
      <c r="C25" s="43">
        <v>600.9</v>
      </c>
      <c r="D25" s="9" t="s">
        <v>1055</v>
      </c>
      <c r="E25" s="43"/>
      <c r="F25" s="43"/>
      <c r="G25" s="43"/>
      <c r="H25" s="23"/>
      <c r="I25" s="23"/>
      <c r="J25" s="23"/>
      <c r="K25" s="23"/>
      <c r="L25" s="23"/>
      <c r="M25" s="23"/>
      <c r="N25" s="23"/>
      <c r="O25" s="23"/>
      <c r="P25" s="23"/>
      <c r="Q25" s="23"/>
      <c r="R25" s="23"/>
      <c r="S25" s="23"/>
      <c r="T25" s="23"/>
      <c r="AU25" s="36">
        <f>19*($AS$13/20)</f>
        <v>13.299999999999999</v>
      </c>
      <c r="AV25" s="45">
        <f>AU25/(AU25+EXP($AS$12-$AS$11*AU25))</f>
        <v>0.99325208534252396</v>
      </c>
      <c r="XFA25">
        <v>23</v>
      </c>
      <c r="XFB25" t="s">
        <v>1022</v>
      </c>
      <c r="XFC25"/>
      <c r="XFD25" s="93"/>
    </row>
    <row r="26" spans="1:48 16381:16384" x14ac:dyDescent="0.25">
      <c r="A26" s="19" t="s">
        <v>643</v>
      </c>
      <c r="B26" s="43">
        <v>10.5</v>
      </c>
      <c r="C26" s="43">
        <v>100.9</v>
      </c>
      <c r="D26" s="9" t="s">
        <v>1056</v>
      </c>
      <c r="E26" s="43"/>
      <c r="F26" s="43"/>
      <c r="G26" s="43"/>
      <c r="H26" s="23"/>
      <c r="I26" s="23"/>
      <c r="J26" s="23"/>
      <c r="K26" s="23"/>
      <c r="L26" s="23"/>
      <c r="M26" s="23"/>
      <c r="N26" s="23"/>
      <c r="O26" s="23"/>
      <c r="P26" s="23"/>
      <c r="Q26" s="23"/>
      <c r="R26" s="23"/>
      <c r="S26" s="23"/>
      <c r="T26" s="23"/>
      <c r="AU26" s="36">
        <f>20*($AS$13/20)</f>
        <v>14</v>
      </c>
      <c r="AV26" s="45">
        <f>AU26/(AU26+EXP($AS$12-$AS$11*AU26))</f>
        <v>0.99546826948049871</v>
      </c>
      <c r="XFA26">
        <v>24</v>
      </c>
      <c r="XFB26" t="s">
        <v>1023</v>
      </c>
      <c r="XFC26"/>
      <c r="XFD26" s="93"/>
    </row>
    <row r="27" spans="1:48 16381:16384" x14ac:dyDescent="0.25">
      <c r="A27" s="19" t="s">
        <v>642</v>
      </c>
      <c r="B27" s="43">
        <v>100.01</v>
      </c>
      <c r="C27" s="43">
        <v>1000.9</v>
      </c>
      <c r="D27" s="9" t="s">
        <v>1057</v>
      </c>
      <c r="E27" s="43"/>
      <c r="F27" s="43"/>
      <c r="G27" s="43"/>
      <c r="H27" s="23"/>
      <c r="I27" s="23"/>
      <c r="J27" s="23"/>
      <c r="K27" s="23"/>
      <c r="L27" s="23"/>
      <c r="M27" s="23"/>
      <c r="N27" s="23"/>
      <c r="O27" s="23"/>
      <c r="P27" s="23"/>
      <c r="Q27" s="23"/>
      <c r="R27" s="23"/>
      <c r="S27" s="23"/>
      <c r="T27" s="23"/>
      <c r="AU27" s="36"/>
      <c r="AV27" s="36"/>
      <c r="XFA27">
        <v>25</v>
      </c>
      <c r="XFB27" t="s">
        <v>1024</v>
      </c>
      <c r="XFC27"/>
      <c r="XFD27" s="93"/>
    </row>
    <row r="28" spans="1:48 16381:16384" x14ac:dyDescent="0.25">
      <c r="A28" s="19" t="s">
        <v>641</v>
      </c>
      <c r="B28" s="43">
        <v>1.5</v>
      </c>
      <c r="C28" s="43">
        <v>3.99</v>
      </c>
      <c r="D28" s="9" t="s">
        <v>1058</v>
      </c>
      <c r="E28" s="43"/>
      <c r="F28" s="43"/>
      <c r="G28" s="43"/>
      <c r="H28" s="23"/>
      <c r="I28" s="23"/>
      <c r="J28" s="23"/>
      <c r="K28" s="23"/>
      <c r="L28" s="23"/>
      <c r="M28" s="23"/>
      <c r="N28" s="23"/>
      <c r="O28" s="23"/>
      <c r="P28" s="23"/>
      <c r="Q28" s="23"/>
      <c r="R28" s="23"/>
      <c r="S28" s="23"/>
      <c r="T28" s="23"/>
      <c r="XFA28">
        <v>26</v>
      </c>
      <c r="XFB28" t="s">
        <v>1025</v>
      </c>
      <c r="XFC28"/>
      <c r="XFD28" s="93"/>
    </row>
    <row r="29" spans="1:48 16381:16384" x14ac:dyDescent="0.25">
      <c r="A29" s="19" t="s">
        <v>640</v>
      </c>
      <c r="B29" s="43">
        <v>3.25</v>
      </c>
      <c r="C29" s="43">
        <v>15.95</v>
      </c>
      <c r="D29" s="9" t="s">
        <v>1059</v>
      </c>
      <c r="E29" s="43"/>
      <c r="K29" s="23"/>
      <c r="L29" s="23"/>
      <c r="M29" s="23"/>
      <c r="N29" s="23"/>
      <c r="O29" s="23"/>
      <c r="P29" s="23"/>
      <c r="Q29" s="23"/>
      <c r="R29" s="23"/>
      <c r="S29" s="23"/>
      <c r="T29" s="23"/>
      <c r="XFA29">
        <v>27</v>
      </c>
      <c r="XFB29" t="s">
        <v>1026</v>
      </c>
      <c r="XFC29"/>
      <c r="XFD29" s="93"/>
    </row>
    <row r="30" spans="1:48 16381:16384" x14ac:dyDescent="0.25">
      <c r="A30" s="19" t="s">
        <v>639</v>
      </c>
      <c r="B30" s="43">
        <v>10.1</v>
      </c>
      <c r="C30" s="43">
        <v>55.9</v>
      </c>
      <c r="D30" s="9" t="s">
        <v>1060</v>
      </c>
      <c r="E30" s="43"/>
      <c r="K30" s="23"/>
      <c r="L30" s="23"/>
      <c r="M30" s="23"/>
      <c r="N30" s="23"/>
      <c r="O30" s="23"/>
      <c r="P30" s="23"/>
      <c r="Q30" s="23"/>
      <c r="R30" s="23"/>
      <c r="S30" s="23"/>
      <c r="T30" s="23"/>
    </row>
    <row r="31" spans="1:48 16381:16384" x14ac:dyDescent="0.25">
      <c r="A31" s="19" t="s">
        <v>638</v>
      </c>
      <c r="B31" s="43">
        <v>10.1</v>
      </c>
      <c r="C31" s="43">
        <v>75.95</v>
      </c>
      <c r="D31" s="9" t="s">
        <v>1590</v>
      </c>
      <c r="E31" s="44"/>
      <c r="H31" s="23"/>
      <c r="I31" s="23"/>
      <c r="J31" s="23"/>
      <c r="K31" s="23"/>
      <c r="L31" s="23"/>
      <c r="M31" s="23"/>
      <c r="N31" s="23"/>
      <c r="O31" s="23"/>
      <c r="P31" s="23"/>
      <c r="Q31" s="23"/>
      <c r="R31" s="23"/>
      <c r="S31" s="23"/>
      <c r="T31" s="23"/>
    </row>
    <row r="32" spans="1:48 16381:16384" x14ac:dyDescent="0.25">
      <c r="A32" s="19" t="s">
        <v>637</v>
      </c>
      <c r="B32" s="43">
        <v>5.01</v>
      </c>
      <c r="C32" s="43">
        <v>50.99</v>
      </c>
      <c r="D32" s="9" t="s">
        <v>1591</v>
      </c>
      <c r="E32" s="44"/>
      <c r="H32" s="23"/>
      <c r="I32" s="23"/>
      <c r="J32" s="23"/>
      <c r="K32" s="23"/>
      <c r="L32" s="23"/>
      <c r="M32" s="23"/>
      <c r="N32" s="23"/>
      <c r="O32" s="23"/>
      <c r="P32" s="23"/>
      <c r="Q32" s="23"/>
      <c r="R32" s="23"/>
      <c r="S32" s="23"/>
      <c r="T32" s="23"/>
    </row>
    <row r="33" spans="1:20" x14ac:dyDescent="0.25">
      <c r="A33" s="19" t="s">
        <v>636</v>
      </c>
      <c r="B33" s="44">
        <v>0</v>
      </c>
      <c r="C33" s="44">
        <v>0</v>
      </c>
      <c r="D33" s="9" t="s">
        <v>1061</v>
      </c>
      <c r="E33" s="44"/>
      <c r="H33" s="23"/>
      <c r="I33" s="23"/>
      <c r="J33" s="23"/>
      <c r="K33" s="23"/>
      <c r="L33" s="23"/>
      <c r="M33" s="23"/>
      <c r="N33" s="23"/>
      <c r="O33" s="23"/>
      <c r="P33" s="23"/>
      <c r="Q33" s="23"/>
      <c r="R33" s="23"/>
      <c r="S33" s="23"/>
      <c r="T33" s="23"/>
    </row>
    <row r="34" spans="1:20" x14ac:dyDescent="0.25">
      <c r="A34" s="19" t="s">
        <v>635</v>
      </c>
      <c r="B34" s="44">
        <v>0</v>
      </c>
      <c r="C34" s="44">
        <v>0</v>
      </c>
      <c r="D34" s="9" t="s">
        <v>1061</v>
      </c>
      <c r="E34" s="44"/>
      <c r="F34" s="44"/>
      <c r="G34" s="44"/>
      <c r="H34" s="23"/>
      <c r="I34" s="23"/>
      <c r="J34" s="23"/>
      <c r="K34" s="23"/>
      <c r="L34" s="23"/>
      <c r="M34" s="23"/>
      <c r="N34" s="23"/>
      <c r="O34" s="23"/>
      <c r="P34" s="23"/>
      <c r="Q34" s="23"/>
      <c r="R34" s="23"/>
      <c r="S34" s="23"/>
      <c r="T34" s="23"/>
    </row>
    <row r="35" spans="1:20" x14ac:dyDescent="0.25">
      <c r="A35" s="19" t="s">
        <v>633</v>
      </c>
      <c r="B35" s="43">
        <v>10.1</v>
      </c>
      <c r="C35" s="43">
        <v>55.9</v>
      </c>
      <c r="D35" s="9" t="s">
        <v>1062</v>
      </c>
      <c r="E35" s="43"/>
      <c r="H35" s="23"/>
      <c r="I35" s="23"/>
      <c r="J35" s="23"/>
      <c r="K35" s="23"/>
      <c r="L35" s="23"/>
      <c r="M35" s="23"/>
      <c r="N35" s="23"/>
      <c r="O35" s="23"/>
      <c r="P35" s="23"/>
      <c r="Q35" s="23"/>
      <c r="R35" s="23"/>
      <c r="S35" s="23"/>
      <c r="T35" s="23"/>
    </row>
    <row r="36" spans="1:20" x14ac:dyDescent="0.25">
      <c r="A36" s="19"/>
      <c r="B36" s="10"/>
      <c r="C36" s="159"/>
      <c r="E36" s="20"/>
      <c r="F36" s="3"/>
    </row>
    <row r="37" spans="1:20" x14ac:dyDescent="0.25">
      <c r="A37" s="22" t="s">
        <v>666</v>
      </c>
      <c r="B37" s="18"/>
      <c r="C37" s="160"/>
      <c r="F37" s="3"/>
    </row>
    <row r="38" spans="1:20" x14ac:dyDescent="0.25">
      <c r="A38" s="19" t="s">
        <v>684</v>
      </c>
      <c r="B38" s="18"/>
      <c r="C38" s="160"/>
      <c r="F38" s="3"/>
    </row>
    <row r="39" spans="1:20" x14ac:dyDescent="0.25">
      <c r="A39" s="19" t="s">
        <v>683</v>
      </c>
      <c r="B39" s="18"/>
      <c r="C39" s="160"/>
      <c r="F39" s="3"/>
    </row>
    <row r="40" spans="1:20" ht="17.100000000000001" customHeight="1" x14ac:dyDescent="0.25">
      <c r="A40" s="19" t="s">
        <v>28</v>
      </c>
      <c r="B40" s="27" t="s">
        <v>667</v>
      </c>
      <c r="C40" s="159"/>
      <c r="D40" s="9" t="s">
        <v>1063</v>
      </c>
      <c r="E40" s="20"/>
      <c r="F40" s="3"/>
      <c r="H40" s="10"/>
    </row>
    <row r="41" spans="1:20" ht="17.100000000000001" customHeight="1" x14ac:dyDescent="0.25">
      <c r="A41" s="19" t="s">
        <v>668</v>
      </c>
      <c r="B41" s="20"/>
      <c r="C41" s="159"/>
      <c r="D41" s="20"/>
      <c r="F41" s="3"/>
      <c r="H41" s="10"/>
    </row>
    <row r="42" spans="1:20" s="12" customFormat="1" ht="17.100000000000001" customHeight="1" x14ac:dyDescent="0.25">
      <c r="A42" s="107">
        <v>1</v>
      </c>
      <c r="B42" s="108">
        <v>1</v>
      </c>
      <c r="C42" s="161">
        <v>10.1</v>
      </c>
      <c r="D42" s="164" t="s">
        <v>1411</v>
      </c>
      <c r="E42" s="163"/>
      <c r="F42" s="3"/>
      <c r="G42" s="161"/>
      <c r="J42" s="161"/>
    </row>
    <row r="43" spans="1:20" ht="17.100000000000001" customHeight="1" x14ac:dyDescent="0.25">
      <c r="A43" s="107">
        <v>2</v>
      </c>
      <c r="B43" s="108">
        <v>2</v>
      </c>
      <c r="C43" s="161">
        <v>55.9</v>
      </c>
      <c r="D43" s="164" t="s">
        <v>1410</v>
      </c>
      <c r="E43" s="163"/>
      <c r="F43" s="3"/>
      <c r="G43" s="161"/>
      <c r="H43" s="12"/>
      <c r="J43" s="161"/>
      <c r="K43" s="12"/>
    </row>
    <row r="44" spans="1:20" ht="17.100000000000001" customHeight="1" x14ac:dyDescent="0.25">
      <c r="A44" s="107">
        <v>3</v>
      </c>
      <c r="B44" s="108">
        <v>3</v>
      </c>
      <c r="C44" s="161"/>
      <c r="D44" s="164" t="s">
        <v>1412</v>
      </c>
      <c r="E44" s="163"/>
      <c r="F44" s="3"/>
      <c r="G44" s="161"/>
      <c r="H44" s="12"/>
      <c r="J44" s="161"/>
      <c r="K44" s="12"/>
    </row>
    <row r="45" spans="1:20" ht="17.100000000000001" customHeight="1" x14ac:dyDescent="0.25">
      <c r="A45" s="107">
        <v>4</v>
      </c>
      <c r="B45" s="108">
        <v>4</v>
      </c>
      <c r="C45" s="161"/>
      <c r="D45" s="164" t="s">
        <v>1064</v>
      </c>
      <c r="E45" s="163"/>
      <c r="F45" s="3"/>
      <c r="G45" s="161"/>
      <c r="H45" s="12"/>
      <c r="J45" s="161"/>
      <c r="K45" s="12"/>
    </row>
    <row r="46" spans="1:20" ht="17.100000000000001" customHeight="1" x14ac:dyDescent="0.25">
      <c r="A46" s="107">
        <v>5</v>
      </c>
      <c r="B46" s="108">
        <v>5</v>
      </c>
      <c r="C46" s="161"/>
      <c r="D46" s="164" t="s">
        <v>1065</v>
      </c>
      <c r="E46" s="163"/>
      <c r="F46" s="3"/>
      <c r="G46" s="161"/>
      <c r="H46" s="12"/>
      <c r="J46" s="161"/>
      <c r="K46" s="12"/>
    </row>
    <row r="47" spans="1:20" ht="17.100000000000001" customHeight="1" x14ac:dyDescent="0.25">
      <c r="A47" s="107">
        <v>6</v>
      </c>
      <c r="B47" s="108">
        <v>6</v>
      </c>
      <c r="C47" s="161"/>
      <c r="D47" s="164" t="s">
        <v>1409</v>
      </c>
      <c r="E47" s="163"/>
      <c r="F47" s="3"/>
      <c r="G47" s="161"/>
      <c r="H47" s="12"/>
      <c r="J47" s="161"/>
      <c r="K47" s="12"/>
    </row>
    <row r="48" spans="1:20" ht="17.100000000000001" customHeight="1" x14ac:dyDescent="0.25">
      <c r="A48" s="107">
        <v>7</v>
      </c>
      <c r="B48" s="108">
        <v>7</v>
      </c>
      <c r="C48" s="161"/>
      <c r="D48" s="164" t="s">
        <v>1066</v>
      </c>
      <c r="E48" s="163"/>
      <c r="F48" s="3"/>
      <c r="G48" s="161"/>
      <c r="H48" s="12"/>
      <c r="J48" s="161"/>
      <c r="K48" s="12"/>
    </row>
    <row r="49" spans="1:11" ht="17.100000000000001" customHeight="1" x14ac:dyDescent="0.25">
      <c r="A49" s="107">
        <v>8</v>
      </c>
      <c r="B49" s="108">
        <v>8</v>
      </c>
      <c r="C49" s="161"/>
      <c r="D49" s="164" t="s">
        <v>1067</v>
      </c>
      <c r="E49" s="163"/>
      <c r="F49" s="3"/>
      <c r="G49" s="161"/>
      <c r="H49" s="12"/>
      <c r="J49" s="161"/>
      <c r="K49" s="12"/>
    </row>
    <row r="50" spans="1:11" s="12" customFormat="1" ht="17.100000000000001" customHeight="1" x14ac:dyDescent="0.25">
      <c r="A50" s="107">
        <v>9</v>
      </c>
      <c r="B50" s="108">
        <v>9</v>
      </c>
      <c r="C50" s="165"/>
      <c r="D50" s="186" t="s">
        <v>1068</v>
      </c>
      <c r="E50" s="188"/>
      <c r="F50" s="134"/>
      <c r="G50" s="187"/>
      <c r="J50" s="187"/>
    </row>
    <row r="51" spans="1:11" s="12" customFormat="1" ht="17.100000000000001" customHeight="1" x14ac:dyDescent="0.25">
      <c r="A51" s="107">
        <v>10</v>
      </c>
      <c r="B51" s="108">
        <v>10</v>
      </c>
      <c r="C51" s="165"/>
      <c r="D51" s="186" t="s">
        <v>1413</v>
      </c>
      <c r="E51" s="188"/>
      <c r="F51" s="134"/>
      <c r="G51" s="187"/>
      <c r="J51" s="187"/>
    </row>
    <row r="52" spans="1:11" ht="17.100000000000001" customHeight="1" x14ac:dyDescent="0.25">
      <c r="A52" s="189" t="s">
        <v>669</v>
      </c>
      <c r="B52" s="190"/>
      <c r="C52" s="165"/>
      <c r="D52" s="164"/>
      <c r="F52" s="3"/>
      <c r="G52" s="165"/>
      <c r="H52" s="12"/>
      <c r="J52" s="165"/>
      <c r="K52" s="12"/>
    </row>
    <row r="53" spans="1:11" ht="17.100000000000001" customHeight="1" x14ac:dyDescent="0.25">
      <c r="A53" s="107">
        <v>1</v>
      </c>
      <c r="B53" s="108">
        <v>11</v>
      </c>
      <c r="C53" s="161">
        <v>10.1</v>
      </c>
      <c r="D53" s="164" t="s">
        <v>1414</v>
      </c>
      <c r="E53" s="163"/>
      <c r="F53" s="3"/>
      <c r="G53" s="161"/>
      <c r="H53" s="12"/>
      <c r="J53" s="161"/>
      <c r="K53" s="12"/>
    </row>
    <row r="54" spans="1:11" ht="17.100000000000001" customHeight="1" x14ac:dyDescent="0.25">
      <c r="A54" s="107">
        <v>2</v>
      </c>
      <c r="B54" s="108">
        <v>12</v>
      </c>
      <c r="C54" s="161">
        <v>55.9</v>
      </c>
      <c r="D54" s="164" t="s">
        <v>1415</v>
      </c>
      <c r="E54" s="163"/>
      <c r="F54" s="3"/>
      <c r="G54" s="161"/>
      <c r="H54" s="12"/>
      <c r="J54" s="161"/>
      <c r="K54" s="12"/>
    </row>
    <row r="55" spans="1:11" ht="17.100000000000001" customHeight="1" x14ac:dyDescent="0.25">
      <c r="A55" s="107">
        <v>3</v>
      </c>
      <c r="B55" s="108">
        <v>13</v>
      </c>
      <c r="C55" s="161"/>
      <c r="D55" s="164" t="s">
        <v>1416</v>
      </c>
      <c r="E55" s="163"/>
      <c r="F55" s="3"/>
      <c r="G55" s="161"/>
      <c r="H55" s="12"/>
      <c r="J55" s="161"/>
      <c r="K55" s="12"/>
    </row>
    <row r="56" spans="1:11" ht="17.100000000000001" customHeight="1" x14ac:dyDescent="0.25">
      <c r="A56" s="107">
        <v>4</v>
      </c>
      <c r="B56" s="108">
        <v>14</v>
      </c>
      <c r="C56" s="161"/>
      <c r="D56" s="164" t="s">
        <v>1417</v>
      </c>
      <c r="E56" s="163"/>
      <c r="F56" s="3"/>
      <c r="G56" s="161"/>
      <c r="H56" s="12"/>
      <c r="J56" s="161"/>
      <c r="K56" s="12"/>
    </row>
    <row r="57" spans="1:11" ht="17.100000000000001" customHeight="1" x14ac:dyDescent="0.25">
      <c r="A57" s="107">
        <v>5</v>
      </c>
      <c r="B57" s="108">
        <v>15</v>
      </c>
      <c r="C57" s="161"/>
      <c r="D57" s="164" t="s">
        <v>1418</v>
      </c>
      <c r="E57" s="163"/>
      <c r="F57" s="3"/>
      <c r="G57" s="161"/>
      <c r="H57" s="12"/>
      <c r="J57" s="161"/>
      <c r="K57" s="12"/>
    </row>
    <row r="58" spans="1:11" ht="17.100000000000001" customHeight="1" x14ac:dyDescent="0.25">
      <c r="A58" s="107">
        <v>6</v>
      </c>
      <c r="B58" s="108">
        <v>16</v>
      </c>
      <c r="C58" s="161"/>
      <c r="D58" s="164" t="s">
        <v>1419</v>
      </c>
      <c r="E58" s="163"/>
      <c r="F58" s="3"/>
      <c r="G58" s="161"/>
      <c r="H58" s="12"/>
      <c r="J58" s="161"/>
      <c r="K58" s="12"/>
    </row>
    <row r="59" spans="1:11" ht="17.100000000000001" customHeight="1" x14ac:dyDescent="0.25">
      <c r="A59" s="107">
        <v>7</v>
      </c>
      <c r="B59" s="108">
        <v>17</v>
      </c>
      <c r="C59" s="161"/>
      <c r="D59" s="164" t="s">
        <v>1420</v>
      </c>
      <c r="E59" s="163"/>
      <c r="F59" s="3"/>
      <c r="G59" s="161"/>
      <c r="H59" s="12"/>
      <c r="J59" s="161"/>
      <c r="K59" s="12"/>
    </row>
    <row r="60" spans="1:11" ht="17.100000000000001" customHeight="1" x14ac:dyDescent="0.25">
      <c r="A60" s="107">
        <v>8</v>
      </c>
      <c r="B60" s="108">
        <v>18</v>
      </c>
      <c r="C60" s="161"/>
      <c r="D60" s="164" t="s">
        <v>1421</v>
      </c>
      <c r="E60" s="163"/>
      <c r="F60" s="3"/>
      <c r="G60" s="161"/>
      <c r="H60" s="12"/>
      <c r="J60" s="161"/>
      <c r="K60" s="12"/>
    </row>
    <row r="61" spans="1:11" ht="17.100000000000001" customHeight="1" x14ac:dyDescent="0.25">
      <c r="A61" s="107">
        <v>9</v>
      </c>
      <c r="B61" s="108">
        <v>19</v>
      </c>
      <c r="C61" s="161"/>
      <c r="D61" s="164" t="s">
        <v>1422</v>
      </c>
      <c r="E61" s="163"/>
      <c r="F61" s="3"/>
      <c r="G61" s="161"/>
      <c r="H61" s="12"/>
      <c r="J61" s="161"/>
      <c r="K61" s="12"/>
    </row>
    <row r="62" spans="1:11" ht="17.100000000000001" customHeight="1" x14ac:dyDescent="0.25">
      <c r="A62" s="107">
        <v>10</v>
      </c>
      <c r="B62" s="108">
        <v>20</v>
      </c>
      <c r="C62" s="161"/>
      <c r="D62" s="164" t="s">
        <v>1423</v>
      </c>
      <c r="E62" s="163"/>
      <c r="F62" s="3"/>
      <c r="G62" s="161"/>
      <c r="H62" s="12"/>
      <c r="J62" s="161"/>
      <c r="K62" s="12"/>
    </row>
    <row r="63" spans="1:11" ht="17.100000000000001" customHeight="1" x14ac:dyDescent="0.25">
      <c r="A63" s="189" t="s">
        <v>670</v>
      </c>
      <c r="B63" s="190"/>
      <c r="C63" s="161"/>
      <c r="D63" s="164"/>
      <c r="F63" s="3"/>
      <c r="G63" s="161"/>
      <c r="H63" s="12"/>
      <c r="J63" s="161"/>
      <c r="K63" s="12"/>
    </row>
    <row r="64" spans="1:11" ht="17.100000000000001" customHeight="1" x14ac:dyDescent="0.25">
      <c r="A64" s="107">
        <v>1</v>
      </c>
      <c r="B64" s="108">
        <v>21</v>
      </c>
      <c r="C64" s="161">
        <v>10.1</v>
      </c>
      <c r="D64" s="164" t="s">
        <v>1424</v>
      </c>
      <c r="E64" s="163"/>
      <c r="F64" s="3"/>
      <c r="G64" s="161"/>
      <c r="H64" s="12"/>
      <c r="J64" s="161"/>
      <c r="K64" s="12"/>
    </row>
    <row r="65" spans="1:11" ht="17.100000000000001" customHeight="1" x14ac:dyDescent="0.25">
      <c r="A65" s="107">
        <v>2</v>
      </c>
      <c r="B65" s="108">
        <v>22</v>
      </c>
      <c r="C65" s="161">
        <v>55.9</v>
      </c>
      <c r="D65" s="164" t="s">
        <v>1425</v>
      </c>
      <c r="E65" s="163"/>
      <c r="F65" s="3"/>
      <c r="G65" s="161"/>
      <c r="H65" s="12"/>
      <c r="J65" s="161"/>
      <c r="K65" s="12"/>
    </row>
    <row r="66" spans="1:11" ht="17.100000000000001" customHeight="1" x14ac:dyDescent="0.25">
      <c r="A66" s="107">
        <v>3</v>
      </c>
      <c r="B66" s="108">
        <v>23</v>
      </c>
      <c r="C66" s="161"/>
      <c r="D66" s="164" t="s">
        <v>1426</v>
      </c>
      <c r="E66" s="163"/>
      <c r="F66" s="3"/>
      <c r="G66" s="161"/>
      <c r="H66" s="12"/>
      <c r="J66" s="161"/>
      <c r="K66" s="12"/>
    </row>
    <row r="67" spans="1:11" ht="17.100000000000001" customHeight="1" x14ac:dyDescent="0.25">
      <c r="A67" s="107">
        <v>4</v>
      </c>
      <c r="B67" s="108">
        <v>24</v>
      </c>
      <c r="C67" s="161"/>
      <c r="D67" s="164" t="s">
        <v>1427</v>
      </c>
      <c r="E67" s="163"/>
      <c r="F67" s="3"/>
      <c r="G67" s="161"/>
      <c r="H67" s="12"/>
      <c r="J67" s="161"/>
      <c r="K67" s="12"/>
    </row>
    <row r="68" spans="1:11" ht="17.100000000000001" customHeight="1" x14ac:dyDescent="0.25">
      <c r="A68" s="107">
        <v>5</v>
      </c>
      <c r="B68" s="108">
        <v>25</v>
      </c>
      <c r="C68" s="161"/>
      <c r="D68" s="164" t="s">
        <v>1069</v>
      </c>
      <c r="E68" s="163"/>
      <c r="F68" s="3"/>
      <c r="G68" s="161"/>
      <c r="H68" s="12"/>
      <c r="J68" s="161"/>
      <c r="K68" s="12"/>
    </row>
    <row r="69" spans="1:11" ht="17.100000000000001" customHeight="1" x14ac:dyDescent="0.25">
      <c r="A69" s="107">
        <v>6</v>
      </c>
      <c r="B69" s="108">
        <v>26</v>
      </c>
      <c r="C69" s="161"/>
      <c r="D69" s="164" t="s">
        <v>1428</v>
      </c>
      <c r="E69" s="163"/>
      <c r="F69" s="3"/>
      <c r="G69" s="161"/>
      <c r="H69" s="12"/>
      <c r="J69" s="161"/>
      <c r="K69" s="12"/>
    </row>
    <row r="70" spans="1:11" ht="17.100000000000001" customHeight="1" x14ac:dyDescent="0.25">
      <c r="A70" s="107">
        <v>7</v>
      </c>
      <c r="B70" s="108">
        <v>27</v>
      </c>
      <c r="C70" s="161"/>
      <c r="D70" s="164" t="s">
        <v>1429</v>
      </c>
      <c r="E70" s="163"/>
      <c r="F70" s="3"/>
      <c r="G70" s="161"/>
      <c r="H70" s="12"/>
      <c r="J70" s="161"/>
      <c r="K70" s="12"/>
    </row>
    <row r="71" spans="1:11" ht="17.100000000000001" customHeight="1" x14ac:dyDescent="0.25">
      <c r="A71" s="107">
        <v>8</v>
      </c>
      <c r="B71" s="108">
        <v>28</v>
      </c>
      <c r="C71" s="161"/>
      <c r="D71" s="164" t="s">
        <v>1430</v>
      </c>
      <c r="E71" s="163"/>
      <c r="F71" s="3"/>
      <c r="G71" s="161"/>
      <c r="H71" s="12"/>
      <c r="J71" s="161"/>
      <c r="K71" s="12"/>
    </row>
    <row r="72" spans="1:11" ht="17.100000000000001" customHeight="1" x14ac:dyDescent="0.25">
      <c r="A72" s="107">
        <v>9</v>
      </c>
      <c r="B72" s="108">
        <v>29</v>
      </c>
      <c r="C72" s="161"/>
      <c r="D72" s="164" t="s">
        <v>1431</v>
      </c>
      <c r="E72" s="163"/>
      <c r="F72" s="3"/>
      <c r="G72" s="161"/>
      <c r="H72" s="12"/>
      <c r="J72" s="161"/>
      <c r="K72" s="12"/>
    </row>
    <row r="73" spans="1:11" s="169" customFormat="1" ht="17.100000000000001" customHeight="1" x14ac:dyDescent="0.25">
      <c r="A73" s="107">
        <v>10</v>
      </c>
      <c r="B73" s="108">
        <v>30</v>
      </c>
      <c r="C73" s="161"/>
      <c r="D73" s="166" t="s">
        <v>1593</v>
      </c>
      <c r="E73" s="167"/>
      <c r="F73" s="168"/>
      <c r="G73" s="161"/>
      <c r="H73" s="12"/>
      <c r="J73" s="171"/>
      <c r="K73" s="12"/>
    </row>
    <row r="74" spans="1:11" ht="17.100000000000001" customHeight="1" x14ac:dyDescent="0.25">
      <c r="A74" s="189" t="s">
        <v>671</v>
      </c>
      <c r="B74" s="190"/>
      <c r="C74" s="161"/>
      <c r="D74" s="164"/>
      <c r="F74" s="3"/>
      <c r="G74" s="161"/>
      <c r="H74" s="12"/>
      <c r="J74" s="161"/>
      <c r="K74" s="12"/>
    </row>
    <row r="75" spans="1:11" ht="17.100000000000001" customHeight="1" x14ac:dyDescent="0.25">
      <c r="A75" s="107">
        <v>1</v>
      </c>
      <c r="B75" s="108">
        <v>31</v>
      </c>
      <c r="C75" s="161">
        <v>10.1</v>
      </c>
      <c r="D75" s="164" t="s">
        <v>1432</v>
      </c>
      <c r="E75" s="163"/>
      <c r="F75" s="3"/>
      <c r="G75" s="161"/>
      <c r="H75" s="12"/>
      <c r="J75" s="161"/>
      <c r="K75" s="12"/>
    </row>
    <row r="76" spans="1:11" ht="17.100000000000001" customHeight="1" x14ac:dyDescent="0.25">
      <c r="A76" s="107">
        <v>2</v>
      </c>
      <c r="B76" s="108">
        <v>32</v>
      </c>
      <c r="C76" s="161">
        <v>55.9</v>
      </c>
      <c r="D76" s="164" t="s">
        <v>1433</v>
      </c>
      <c r="E76" s="163"/>
      <c r="F76" s="3"/>
      <c r="G76" s="161"/>
      <c r="H76" s="12"/>
      <c r="J76" s="161"/>
      <c r="K76" s="12"/>
    </row>
    <row r="77" spans="1:11" ht="17.100000000000001" customHeight="1" x14ac:dyDescent="0.25">
      <c r="A77" s="107">
        <v>3</v>
      </c>
      <c r="B77" s="108">
        <v>33</v>
      </c>
      <c r="C77" s="161"/>
      <c r="D77" s="164" t="s">
        <v>1434</v>
      </c>
      <c r="E77" s="163"/>
      <c r="F77" s="3"/>
      <c r="G77" s="161"/>
      <c r="H77" s="12"/>
      <c r="J77" s="161"/>
      <c r="K77" s="12"/>
    </row>
    <row r="78" spans="1:11" ht="17.100000000000001" customHeight="1" x14ac:dyDescent="0.25">
      <c r="A78" s="107">
        <v>4</v>
      </c>
      <c r="B78" s="108">
        <v>34</v>
      </c>
      <c r="C78" s="161"/>
      <c r="D78" s="164" t="s">
        <v>1435</v>
      </c>
      <c r="E78" s="163"/>
      <c r="F78" s="3"/>
      <c r="G78" s="161"/>
      <c r="H78" s="12"/>
      <c r="J78" s="161"/>
      <c r="K78" s="12"/>
    </row>
    <row r="79" spans="1:11" s="169" customFormat="1" ht="17.100000000000001" customHeight="1" x14ac:dyDescent="0.25">
      <c r="A79" s="107">
        <v>5</v>
      </c>
      <c r="B79" s="108">
        <v>35</v>
      </c>
      <c r="C79" s="161"/>
      <c r="D79" s="166" t="s">
        <v>1592</v>
      </c>
      <c r="E79" s="167"/>
      <c r="F79" s="168"/>
      <c r="G79" s="161"/>
      <c r="H79" s="12"/>
      <c r="J79" s="171"/>
      <c r="K79" s="12"/>
    </row>
    <row r="80" spans="1:11" ht="17.100000000000001" customHeight="1" x14ac:dyDescent="0.25">
      <c r="A80" s="107">
        <v>6</v>
      </c>
      <c r="B80" s="108">
        <v>36</v>
      </c>
      <c r="C80" s="161"/>
      <c r="D80" s="164" t="s">
        <v>1436</v>
      </c>
      <c r="E80" s="163"/>
      <c r="F80" s="3"/>
      <c r="G80" s="161"/>
      <c r="H80" s="12"/>
      <c r="J80" s="161"/>
      <c r="K80" s="12"/>
    </row>
    <row r="81" spans="1:11" ht="17.100000000000001" customHeight="1" x14ac:dyDescent="0.25">
      <c r="A81" s="107">
        <v>7</v>
      </c>
      <c r="B81" s="108">
        <v>37</v>
      </c>
      <c r="C81" s="161"/>
      <c r="D81" s="164" t="s">
        <v>1437</v>
      </c>
      <c r="E81" s="163"/>
      <c r="F81" s="3"/>
      <c r="G81" s="161"/>
      <c r="H81" s="12"/>
      <c r="J81" s="161"/>
      <c r="K81" s="12"/>
    </row>
    <row r="82" spans="1:11" s="106" customFormat="1" ht="17.100000000000001" customHeight="1" x14ac:dyDescent="0.25">
      <c r="A82" s="107">
        <v>8</v>
      </c>
      <c r="B82" s="108">
        <v>38</v>
      </c>
      <c r="C82" s="161"/>
      <c r="D82" s="164" t="s">
        <v>1438</v>
      </c>
      <c r="E82" s="163"/>
      <c r="F82" s="3"/>
      <c r="G82" s="161"/>
      <c r="H82" s="12"/>
      <c r="J82" s="161"/>
      <c r="K82" s="12"/>
    </row>
    <row r="83" spans="1:11" ht="17.100000000000001" customHeight="1" x14ac:dyDescent="0.25">
      <c r="A83" s="107">
        <v>9</v>
      </c>
      <c r="B83" s="108">
        <v>39</v>
      </c>
      <c r="C83" s="161"/>
      <c r="D83" s="164" t="s">
        <v>1439</v>
      </c>
      <c r="E83" s="163"/>
      <c r="F83" s="3"/>
      <c r="G83" s="161"/>
      <c r="H83" s="12"/>
      <c r="J83" s="161"/>
      <c r="K83" s="12"/>
    </row>
    <row r="84" spans="1:11" ht="17.100000000000001" customHeight="1" x14ac:dyDescent="0.25">
      <c r="A84" s="107">
        <v>10</v>
      </c>
      <c r="B84" s="108">
        <v>40</v>
      </c>
      <c r="C84" s="161"/>
      <c r="D84" s="164" t="s">
        <v>1440</v>
      </c>
      <c r="E84" s="163"/>
      <c r="F84" s="3"/>
      <c r="G84" s="161"/>
      <c r="H84" s="12"/>
      <c r="J84" s="161"/>
      <c r="K84" s="12"/>
    </row>
    <row r="85" spans="1:11" ht="17.100000000000001" customHeight="1" x14ac:dyDescent="0.25">
      <c r="A85" s="189" t="s">
        <v>672</v>
      </c>
      <c r="B85" s="190"/>
      <c r="C85" s="161"/>
      <c r="D85" s="164"/>
      <c r="F85" s="3"/>
      <c r="G85" s="161"/>
      <c r="H85" s="12"/>
      <c r="J85" s="161"/>
      <c r="K85" s="12"/>
    </row>
    <row r="86" spans="1:11" ht="17.100000000000001" customHeight="1" x14ac:dyDescent="0.25">
      <c r="A86" s="107">
        <v>1</v>
      </c>
      <c r="B86" s="108">
        <v>41</v>
      </c>
      <c r="C86" s="161">
        <v>50</v>
      </c>
      <c r="D86" s="164" t="s">
        <v>1441</v>
      </c>
      <c r="E86" s="163"/>
      <c r="F86" s="3"/>
      <c r="G86" s="161"/>
      <c r="H86" s="12"/>
      <c r="J86" s="161"/>
      <c r="K86" s="12"/>
    </row>
    <row r="87" spans="1:11" ht="17.100000000000001" customHeight="1" x14ac:dyDescent="0.25">
      <c r="A87" s="107">
        <v>2</v>
      </c>
      <c r="B87" s="108">
        <v>42</v>
      </c>
      <c r="C87" s="161">
        <v>10</v>
      </c>
      <c r="D87" s="164" t="s">
        <v>1442</v>
      </c>
      <c r="E87" s="163"/>
      <c r="F87" s="3"/>
      <c r="G87" s="161"/>
      <c r="H87" s="12"/>
      <c r="J87" s="161"/>
      <c r="K87" s="12"/>
    </row>
    <row r="88" spans="1:11" ht="17.100000000000001" customHeight="1" x14ac:dyDescent="0.25">
      <c r="A88" s="107">
        <v>3</v>
      </c>
      <c r="B88" s="108">
        <v>43</v>
      </c>
      <c r="C88" s="161"/>
      <c r="D88" s="164" t="s">
        <v>1443</v>
      </c>
      <c r="E88" s="163"/>
      <c r="F88" s="3"/>
      <c r="G88" s="161"/>
      <c r="H88" s="12"/>
      <c r="J88" s="161"/>
      <c r="K88" s="12"/>
    </row>
    <row r="89" spans="1:11" ht="17.100000000000001" customHeight="1" x14ac:dyDescent="0.25">
      <c r="A89" s="107">
        <v>4</v>
      </c>
      <c r="B89" s="108">
        <v>44</v>
      </c>
      <c r="C89" s="161"/>
      <c r="D89" s="164" t="s">
        <v>1444</v>
      </c>
      <c r="E89" s="163"/>
      <c r="F89" s="3"/>
      <c r="G89" s="161"/>
      <c r="H89" s="12"/>
      <c r="J89" s="161"/>
      <c r="K89" s="12"/>
    </row>
    <row r="90" spans="1:11" ht="17.100000000000001" customHeight="1" x14ac:dyDescent="0.25">
      <c r="A90" s="107">
        <v>5</v>
      </c>
      <c r="B90" s="108">
        <v>45</v>
      </c>
      <c r="C90" s="161"/>
      <c r="D90" s="164" t="s">
        <v>1070</v>
      </c>
      <c r="E90" s="163"/>
      <c r="F90" s="3"/>
      <c r="G90" s="161"/>
      <c r="H90" s="12"/>
      <c r="J90" s="161"/>
      <c r="K90" s="12"/>
    </row>
    <row r="91" spans="1:11" ht="17.100000000000001" customHeight="1" x14ac:dyDescent="0.25">
      <c r="A91" s="107">
        <v>6</v>
      </c>
      <c r="B91" s="108">
        <v>46</v>
      </c>
      <c r="C91" s="161"/>
      <c r="D91" s="164" t="s">
        <v>1445</v>
      </c>
      <c r="E91" s="163"/>
      <c r="F91" s="3"/>
      <c r="G91" s="161"/>
      <c r="H91" s="12"/>
      <c r="J91" s="161"/>
      <c r="K91" s="12"/>
    </row>
    <row r="92" spans="1:11" ht="17.100000000000001" customHeight="1" x14ac:dyDescent="0.25">
      <c r="A92" s="107">
        <v>7</v>
      </c>
      <c r="B92" s="108">
        <v>47</v>
      </c>
      <c r="C92" s="161"/>
      <c r="D92" s="164" t="s">
        <v>1446</v>
      </c>
      <c r="E92" s="163"/>
      <c r="F92" s="3"/>
      <c r="G92" s="161"/>
      <c r="H92" s="12"/>
      <c r="J92" s="161"/>
      <c r="K92" s="12"/>
    </row>
    <row r="93" spans="1:11" s="169" customFormat="1" ht="17.100000000000001" customHeight="1" x14ac:dyDescent="0.25">
      <c r="A93" s="107">
        <v>8</v>
      </c>
      <c r="B93" s="108">
        <v>48</v>
      </c>
      <c r="C93" s="161"/>
      <c r="D93" s="186" t="s">
        <v>1594</v>
      </c>
      <c r="E93" s="167"/>
      <c r="F93" s="168"/>
      <c r="G93" s="161"/>
      <c r="H93" s="12"/>
      <c r="J93" s="171"/>
      <c r="K93" s="12"/>
    </row>
    <row r="94" spans="1:11" ht="17.100000000000001" customHeight="1" x14ac:dyDescent="0.25">
      <c r="A94" s="107">
        <v>9</v>
      </c>
      <c r="B94" s="108">
        <v>49</v>
      </c>
      <c r="C94" s="161"/>
      <c r="D94" s="164" t="s">
        <v>1447</v>
      </c>
      <c r="E94" s="163"/>
      <c r="F94" s="3"/>
      <c r="G94" s="161"/>
      <c r="H94" s="12"/>
      <c r="J94" s="161"/>
      <c r="K94" s="12"/>
    </row>
    <row r="95" spans="1:11" ht="17.100000000000001" customHeight="1" x14ac:dyDescent="0.25">
      <c r="A95" s="107">
        <v>10</v>
      </c>
      <c r="B95" s="108">
        <v>50</v>
      </c>
      <c r="C95" s="161"/>
      <c r="D95" s="164" t="s">
        <v>1448</v>
      </c>
      <c r="E95" s="163"/>
      <c r="F95" s="3"/>
      <c r="G95" s="161"/>
      <c r="H95" s="12"/>
      <c r="J95" s="161"/>
      <c r="K95" s="12"/>
    </row>
    <row r="96" spans="1:11" ht="17.100000000000001" customHeight="1" x14ac:dyDescent="0.25">
      <c r="A96" s="189" t="s">
        <v>673</v>
      </c>
      <c r="B96" s="190"/>
      <c r="C96" s="161"/>
      <c r="D96" s="164"/>
      <c r="F96" s="3"/>
      <c r="G96" s="161"/>
      <c r="H96" s="12"/>
      <c r="J96" s="161"/>
      <c r="K96" s="12"/>
    </row>
    <row r="97" spans="1:11" ht="17.100000000000001" customHeight="1" x14ac:dyDescent="0.25">
      <c r="A97" s="107">
        <v>1</v>
      </c>
      <c r="B97" s="108">
        <v>51</v>
      </c>
      <c r="C97" s="161">
        <v>1.5</v>
      </c>
      <c r="D97" s="164" t="s">
        <v>1449</v>
      </c>
      <c r="E97" s="163"/>
      <c r="F97" s="3"/>
      <c r="G97" s="161"/>
      <c r="H97" s="12"/>
      <c r="J97" s="161"/>
      <c r="K97" s="12"/>
    </row>
    <row r="98" spans="1:11" ht="17.100000000000001" customHeight="1" x14ac:dyDescent="0.25">
      <c r="A98" s="107">
        <v>2</v>
      </c>
      <c r="B98" s="108">
        <v>52</v>
      </c>
      <c r="C98" s="161">
        <v>2</v>
      </c>
      <c r="D98" s="164" t="s">
        <v>1450</v>
      </c>
      <c r="E98" s="163"/>
      <c r="F98" s="3"/>
      <c r="G98" s="161"/>
      <c r="H98" s="12"/>
      <c r="J98" s="161"/>
      <c r="K98" s="12"/>
    </row>
    <row r="99" spans="1:11" ht="17.100000000000001" customHeight="1" x14ac:dyDescent="0.25">
      <c r="A99" s="107">
        <v>3</v>
      </c>
      <c r="B99" s="108">
        <v>53</v>
      </c>
      <c r="C99" s="161">
        <v>0.5</v>
      </c>
      <c r="D99" s="164" t="s">
        <v>1451</v>
      </c>
      <c r="E99" s="163"/>
      <c r="F99" s="3"/>
      <c r="G99" s="161"/>
      <c r="H99" s="12"/>
      <c r="J99" s="161"/>
      <c r="K99" s="12"/>
    </row>
    <row r="100" spans="1:11" ht="17.100000000000001" customHeight="1" x14ac:dyDescent="0.25">
      <c r="A100" s="107">
        <v>4</v>
      </c>
      <c r="B100" s="108">
        <v>54</v>
      </c>
      <c r="C100" s="161">
        <v>0.9</v>
      </c>
      <c r="D100" s="164" t="s">
        <v>1452</v>
      </c>
      <c r="E100" s="163"/>
      <c r="F100" s="3"/>
      <c r="G100" s="161"/>
      <c r="H100" s="12"/>
      <c r="J100" s="161"/>
      <c r="K100" s="12"/>
    </row>
    <row r="101" spans="1:11" ht="17.100000000000001" customHeight="1" x14ac:dyDescent="0.25">
      <c r="A101" s="107">
        <v>5</v>
      </c>
      <c r="B101" s="108">
        <v>55</v>
      </c>
      <c r="C101" s="161">
        <v>0.5</v>
      </c>
      <c r="D101" s="164" t="s">
        <v>1453</v>
      </c>
      <c r="E101" s="163"/>
      <c r="F101" s="3"/>
      <c r="G101" s="161"/>
      <c r="H101" s="12"/>
      <c r="J101" s="161"/>
      <c r="K101" s="12"/>
    </row>
    <row r="102" spans="1:11" ht="17.100000000000001" customHeight="1" x14ac:dyDescent="0.25">
      <c r="A102" s="107">
        <v>6</v>
      </c>
      <c r="B102" s="108">
        <v>56</v>
      </c>
      <c r="C102" s="161">
        <v>0.5</v>
      </c>
      <c r="D102" s="164" t="s">
        <v>1454</v>
      </c>
      <c r="E102" s="163"/>
      <c r="F102" s="3"/>
      <c r="G102" s="161"/>
      <c r="H102" s="12"/>
      <c r="J102" s="161"/>
      <c r="K102" s="12"/>
    </row>
    <row r="103" spans="1:11" ht="17.100000000000001" customHeight="1" x14ac:dyDescent="0.25">
      <c r="A103" s="107">
        <v>7</v>
      </c>
      <c r="B103" s="108">
        <v>57</v>
      </c>
      <c r="C103" s="161">
        <v>0.99</v>
      </c>
      <c r="D103" s="164" t="s">
        <v>1455</v>
      </c>
      <c r="E103" s="163"/>
      <c r="F103" s="3"/>
      <c r="G103" s="161"/>
      <c r="H103" s="12"/>
      <c r="J103" s="161"/>
      <c r="K103" s="12"/>
    </row>
    <row r="104" spans="1:11" ht="17.100000000000001" customHeight="1" x14ac:dyDescent="0.25">
      <c r="A104" s="107">
        <v>8</v>
      </c>
      <c r="B104" s="108">
        <v>58</v>
      </c>
      <c r="C104" s="161">
        <v>20</v>
      </c>
      <c r="D104" s="164" t="s">
        <v>1456</v>
      </c>
      <c r="E104" s="163"/>
      <c r="F104" s="3"/>
      <c r="G104" s="161"/>
      <c r="H104" s="12"/>
      <c r="J104" s="161"/>
      <c r="K104" s="12"/>
    </row>
    <row r="105" spans="1:11" ht="17.100000000000001" customHeight="1" x14ac:dyDescent="0.25">
      <c r="A105" s="107">
        <v>9</v>
      </c>
      <c r="B105" s="108">
        <v>59</v>
      </c>
      <c r="C105" s="161">
        <v>20</v>
      </c>
      <c r="D105" s="164" t="s">
        <v>1457</v>
      </c>
      <c r="E105" s="163"/>
      <c r="F105" s="3"/>
      <c r="G105" s="161"/>
      <c r="H105" s="12"/>
      <c r="J105" s="161"/>
      <c r="K105" s="12"/>
    </row>
    <row r="106" spans="1:11" ht="17.100000000000001" customHeight="1" x14ac:dyDescent="0.25">
      <c r="A106" s="107">
        <v>10</v>
      </c>
      <c r="B106" s="108">
        <v>60</v>
      </c>
      <c r="C106" s="161">
        <v>20</v>
      </c>
      <c r="D106" s="164" t="s">
        <v>1458</v>
      </c>
      <c r="E106" s="163"/>
      <c r="F106" s="3"/>
      <c r="G106" s="161"/>
      <c r="H106" s="12"/>
      <c r="J106" s="161"/>
      <c r="K106" s="12"/>
    </row>
    <row r="107" spans="1:11" ht="17.100000000000001" customHeight="1" x14ac:dyDescent="0.25">
      <c r="A107" s="189" t="s">
        <v>674</v>
      </c>
      <c r="B107" s="190"/>
      <c r="C107" s="161"/>
      <c r="D107" s="164"/>
      <c r="F107" s="3"/>
      <c r="G107" s="161"/>
      <c r="H107" s="12"/>
      <c r="J107" s="161"/>
      <c r="K107" s="12"/>
    </row>
    <row r="108" spans="1:11" ht="17.100000000000001" customHeight="1" x14ac:dyDescent="0.25">
      <c r="A108" s="107">
        <v>1</v>
      </c>
      <c r="B108" s="108">
        <v>61</v>
      </c>
      <c r="C108" s="161">
        <v>-100</v>
      </c>
      <c r="D108" s="164" t="s">
        <v>1408</v>
      </c>
      <c r="E108" s="163"/>
      <c r="F108" s="3"/>
      <c r="G108" s="161"/>
      <c r="H108" s="12"/>
      <c r="J108" s="161"/>
      <c r="K108" s="12"/>
    </row>
    <row r="109" spans="1:11" ht="17.100000000000001" customHeight="1" x14ac:dyDescent="0.25">
      <c r="A109" s="107">
        <v>2</v>
      </c>
      <c r="B109" s="108">
        <v>62</v>
      </c>
      <c r="C109" s="161">
        <v>2.5</v>
      </c>
      <c r="D109" s="164" t="s">
        <v>1459</v>
      </c>
      <c r="E109" s="163"/>
      <c r="F109" s="3"/>
      <c r="G109" s="161"/>
      <c r="H109" s="12"/>
      <c r="J109" s="161"/>
      <c r="K109" s="12"/>
    </row>
    <row r="110" spans="1:11" ht="17.100000000000001" customHeight="1" x14ac:dyDescent="0.25">
      <c r="A110" s="107">
        <v>3</v>
      </c>
      <c r="B110" s="108">
        <v>63</v>
      </c>
      <c r="C110" s="161">
        <v>2</v>
      </c>
      <c r="D110" s="164" t="s">
        <v>1460</v>
      </c>
      <c r="E110" s="163"/>
      <c r="F110" s="3"/>
      <c r="G110" s="161"/>
      <c r="H110" s="12"/>
      <c r="J110" s="161"/>
      <c r="K110" s="12"/>
    </row>
    <row r="111" spans="1:11" ht="17.100000000000001" customHeight="1" x14ac:dyDescent="0.25">
      <c r="A111" s="107">
        <v>4</v>
      </c>
      <c r="B111" s="108">
        <v>64</v>
      </c>
      <c r="C111" s="161">
        <v>1</v>
      </c>
      <c r="D111" s="164" t="s">
        <v>1461</v>
      </c>
      <c r="E111" s="163"/>
      <c r="F111" s="3"/>
      <c r="G111" s="161"/>
      <c r="H111" s="12"/>
      <c r="J111" s="161"/>
      <c r="K111" s="12"/>
    </row>
    <row r="112" spans="1:11" ht="17.100000000000001" customHeight="1" x14ac:dyDescent="0.25">
      <c r="A112" s="107">
        <v>5</v>
      </c>
      <c r="B112" s="108">
        <v>65</v>
      </c>
      <c r="C112" s="161">
        <v>0</v>
      </c>
      <c r="D112" s="164" t="s">
        <v>1462</v>
      </c>
      <c r="E112" s="163"/>
      <c r="F112" s="3"/>
      <c r="G112" s="161"/>
      <c r="H112" s="12"/>
      <c r="J112" s="161"/>
      <c r="K112" s="12"/>
    </row>
    <row r="113" spans="1:11" ht="17.100000000000001" customHeight="1" x14ac:dyDescent="0.25">
      <c r="A113" s="107">
        <v>6</v>
      </c>
      <c r="B113" s="108">
        <v>66</v>
      </c>
      <c r="C113" s="161">
        <v>1.5</v>
      </c>
      <c r="D113" s="164" t="s">
        <v>1463</v>
      </c>
      <c r="E113" s="163"/>
      <c r="F113" s="3"/>
      <c r="G113" s="161"/>
      <c r="H113" s="12"/>
      <c r="J113" s="161"/>
      <c r="K113" s="12"/>
    </row>
    <row r="114" spans="1:11" ht="17.100000000000001" customHeight="1" x14ac:dyDescent="0.25">
      <c r="A114" s="107">
        <v>7</v>
      </c>
      <c r="B114" s="108">
        <v>67</v>
      </c>
      <c r="C114" s="161">
        <v>0.5</v>
      </c>
      <c r="D114" s="164" t="s">
        <v>1464</v>
      </c>
      <c r="E114" s="163"/>
      <c r="F114" s="3"/>
      <c r="G114" s="161"/>
      <c r="H114" s="12"/>
      <c r="J114" s="161"/>
      <c r="K114" s="12"/>
    </row>
    <row r="115" spans="1:11" ht="17.100000000000001" customHeight="1" x14ac:dyDescent="0.25">
      <c r="A115" s="107">
        <v>8</v>
      </c>
      <c r="B115" s="108">
        <v>68</v>
      </c>
      <c r="C115" s="161">
        <v>1.5</v>
      </c>
      <c r="D115" s="164" t="s">
        <v>1465</v>
      </c>
      <c r="E115" s="163"/>
      <c r="F115" s="3"/>
      <c r="G115" s="161"/>
      <c r="H115" s="12"/>
      <c r="J115" s="161"/>
      <c r="K115" s="12"/>
    </row>
    <row r="116" spans="1:11" s="12" customFormat="1" ht="17.100000000000001" customHeight="1" x14ac:dyDescent="0.25">
      <c r="A116" s="107">
        <v>9</v>
      </c>
      <c r="B116" s="108">
        <v>69</v>
      </c>
      <c r="C116" s="161">
        <v>3.0000000000000001E-3</v>
      </c>
      <c r="D116" s="164" t="s">
        <v>1407</v>
      </c>
      <c r="E116" s="163"/>
      <c r="F116" s="3"/>
      <c r="G116" s="161"/>
      <c r="J116" s="161"/>
    </row>
    <row r="117" spans="1:11" ht="17.100000000000001" customHeight="1" x14ac:dyDescent="0.25">
      <c r="A117" s="107">
        <v>10</v>
      </c>
      <c r="B117" s="108">
        <v>70</v>
      </c>
      <c r="C117" s="161">
        <v>0.4</v>
      </c>
      <c r="D117" s="164" t="s">
        <v>1406</v>
      </c>
      <c r="E117" s="163"/>
      <c r="F117" s="3"/>
      <c r="G117" s="161"/>
      <c r="H117" s="12"/>
      <c r="J117" s="161"/>
      <c r="K117" s="12"/>
    </row>
    <row r="118" spans="1:11" ht="17.100000000000001" customHeight="1" x14ac:dyDescent="0.25">
      <c r="A118" s="189" t="s">
        <v>675</v>
      </c>
      <c r="B118" s="190"/>
      <c r="C118" s="161"/>
      <c r="D118" s="164"/>
      <c r="F118" s="3"/>
      <c r="G118" s="161"/>
      <c r="H118" s="12"/>
      <c r="J118" s="161"/>
      <c r="K118" s="12"/>
    </row>
    <row r="119" spans="1:11" ht="17.100000000000001" customHeight="1" x14ac:dyDescent="0.25">
      <c r="A119" s="107">
        <v>1</v>
      </c>
      <c r="B119" s="108">
        <v>71</v>
      </c>
      <c r="C119" s="161">
        <v>10</v>
      </c>
      <c r="D119" s="164" t="s">
        <v>1466</v>
      </c>
      <c r="E119" s="163"/>
      <c r="F119" s="3"/>
      <c r="G119" s="161"/>
      <c r="H119" s="12"/>
      <c r="J119" s="161"/>
      <c r="K119" s="12"/>
    </row>
    <row r="120" spans="1:11" ht="17.100000000000001" customHeight="1" x14ac:dyDescent="0.25">
      <c r="A120" s="107">
        <v>2</v>
      </c>
      <c r="B120" s="108">
        <v>72</v>
      </c>
      <c r="C120" s="161">
        <v>0.9</v>
      </c>
      <c r="D120" s="164" t="s">
        <v>1405</v>
      </c>
      <c r="E120" s="163"/>
      <c r="F120" s="3"/>
      <c r="G120" s="161"/>
      <c r="H120" s="12"/>
      <c r="J120" s="161"/>
      <c r="K120" s="12"/>
    </row>
    <row r="121" spans="1:11" s="169" customFormat="1" ht="17.100000000000001" customHeight="1" x14ac:dyDescent="0.25">
      <c r="A121" s="107">
        <v>3</v>
      </c>
      <c r="B121" s="108">
        <v>73</v>
      </c>
      <c r="C121" s="161">
        <v>3.2000000000000002E-3</v>
      </c>
      <c r="D121" s="166" t="s">
        <v>1593</v>
      </c>
      <c r="E121" s="167"/>
      <c r="F121" s="168"/>
      <c r="G121" s="161"/>
      <c r="H121" s="12"/>
      <c r="J121" s="171"/>
      <c r="K121" s="12"/>
    </row>
    <row r="122" spans="1:11" ht="17.100000000000001" customHeight="1" x14ac:dyDescent="0.25">
      <c r="A122" s="107">
        <v>4</v>
      </c>
      <c r="B122" s="108">
        <v>74</v>
      </c>
      <c r="C122" s="161">
        <v>0.1</v>
      </c>
      <c r="D122" s="164" t="s">
        <v>1404</v>
      </c>
      <c r="E122" s="163"/>
      <c r="F122" s="3"/>
      <c r="G122" s="161"/>
      <c r="H122" s="12"/>
      <c r="J122" s="161"/>
      <c r="K122" s="12"/>
    </row>
    <row r="123" spans="1:11" ht="17.100000000000001" customHeight="1" x14ac:dyDescent="0.25">
      <c r="A123" s="107">
        <v>5</v>
      </c>
      <c r="B123" s="108">
        <v>75</v>
      </c>
      <c r="C123" s="161">
        <v>0</v>
      </c>
      <c r="D123" s="164" t="s">
        <v>1467</v>
      </c>
      <c r="E123" s="163"/>
      <c r="F123" s="3"/>
      <c r="G123" s="161"/>
      <c r="H123" s="12"/>
      <c r="J123" s="161"/>
      <c r="K123" s="12"/>
    </row>
    <row r="124" spans="1:11" ht="17.100000000000001" customHeight="1" x14ac:dyDescent="0.25">
      <c r="A124" s="107">
        <v>6</v>
      </c>
      <c r="B124" s="108">
        <v>76</v>
      </c>
      <c r="C124" s="161">
        <v>0</v>
      </c>
      <c r="D124" s="164" t="s">
        <v>1468</v>
      </c>
      <c r="E124" s="163"/>
      <c r="F124" s="3"/>
      <c r="G124" s="161"/>
      <c r="H124" s="12"/>
      <c r="J124" s="161"/>
      <c r="K124" s="12"/>
    </row>
    <row r="125" spans="1:11" ht="17.100000000000001" customHeight="1" x14ac:dyDescent="0.25">
      <c r="A125" s="107">
        <v>7</v>
      </c>
      <c r="B125" s="108">
        <v>77</v>
      </c>
      <c r="C125" s="161">
        <v>0.3</v>
      </c>
      <c r="D125" s="164" t="s">
        <v>1469</v>
      </c>
      <c r="E125" s="163"/>
      <c r="F125" s="3"/>
      <c r="G125" s="161"/>
      <c r="H125" s="12"/>
      <c r="J125" s="161"/>
      <c r="K125" s="12"/>
    </row>
    <row r="126" spans="1:11" ht="17.100000000000001" customHeight="1" x14ac:dyDescent="0.25">
      <c r="A126" s="107">
        <v>8</v>
      </c>
      <c r="B126" s="108">
        <v>78</v>
      </c>
      <c r="C126" s="161">
        <v>5</v>
      </c>
      <c r="D126" s="164" t="s">
        <v>1470</v>
      </c>
      <c r="E126" s="163"/>
      <c r="F126" s="3"/>
      <c r="G126" s="161"/>
      <c r="H126" s="12"/>
      <c r="J126" s="161"/>
      <c r="K126" s="12"/>
    </row>
    <row r="127" spans="1:11" ht="17.100000000000001" customHeight="1" x14ac:dyDescent="0.25">
      <c r="A127" s="107">
        <v>9</v>
      </c>
      <c r="B127" s="108">
        <v>79</v>
      </c>
      <c r="C127" s="161">
        <v>0.01</v>
      </c>
      <c r="D127" s="164" t="s">
        <v>1471</v>
      </c>
      <c r="E127" s="163"/>
      <c r="F127" s="3"/>
      <c r="G127" s="161"/>
      <c r="H127" s="12"/>
      <c r="J127" s="161"/>
      <c r="K127" s="12"/>
    </row>
    <row r="128" spans="1:11" ht="17.100000000000001" customHeight="1" x14ac:dyDescent="0.25">
      <c r="A128" s="107">
        <v>10</v>
      </c>
      <c r="B128" s="108">
        <v>80</v>
      </c>
      <c r="C128" s="161">
        <v>1.1000000000000001</v>
      </c>
      <c r="D128" s="164" t="s">
        <v>1472</v>
      </c>
      <c r="E128" s="163"/>
      <c r="F128" s="3"/>
      <c r="G128" s="161"/>
      <c r="H128" s="12"/>
      <c r="J128" s="161"/>
      <c r="K128" s="12"/>
    </row>
    <row r="129" spans="1:11" ht="17.100000000000001" customHeight="1" x14ac:dyDescent="0.25">
      <c r="A129" s="189" t="s">
        <v>676</v>
      </c>
      <c r="B129" s="190"/>
      <c r="C129" s="161"/>
      <c r="D129" s="164"/>
      <c r="F129" s="3"/>
      <c r="G129" s="161"/>
      <c r="H129" s="12"/>
      <c r="J129" s="161"/>
      <c r="K129" s="12"/>
    </row>
    <row r="130" spans="1:11" ht="17.100000000000001" customHeight="1" x14ac:dyDescent="0.25">
      <c r="A130" s="107">
        <v>1</v>
      </c>
      <c r="B130" s="108">
        <v>81</v>
      </c>
      <c r="C130" s="161">
        <v>0.3</v>
      </c>
      <c r="D130" s="164" t="s">
        <v>1473</v>
      </c>
      <c r="E130" s="163"/>
      <c r="F130" s="10"/>
      <c r="G130" s="161"/>
      <c r="H130" s="12"/>
      <c r="J130" s="161"/>
      <c r="K130" s="12"/>
    </row>
    <row r="131" spans="1:11" ht="17.100000000000001" customHeight="1" x14ac:dyDescent="0.25">
      <c r="A131" s="107">
        <v>2</v>
      </c>
      <c r="B131" s="108">
        <v>82</v>
      </c>
      <c r="C131" s="161">
        <v>1</v>
      </c>
      <c r="D131" s="164" t="s">
        <v>1474</v>
      </c>
      <c r="E131" s="163"/>
      <c r="F131" s="3"/>
      <c r="G131" s="161"/>
      <c r="H131" s="12"/>
      <c r="J131" s="161"/>
      <c r="K131" s="12"/>
    </row>
    <row r="132" spans="1:11" ht="17.100000000000001" customHeight="1" x14ac:dyDescent="0.25">
      <c r="A132" s="107">
        <v>3</v>
      </c>
      <c r="B132" s="108">
        <v>83</v>
      </c>
      <c r="C132" s="161">
        <v>2.5</v>
      </c>
      <c r="D132" s="164" t="s">
        <v>1071</v>
      </c>
      <c r="E132" s="163"/>
      <c r="F132" s="3"/>
      <c r="G132" s="161"/>
      <c r="H132" s="12"/>
      <c r="J132" s="161"/>
      <c r="K132" s="12"/>
    </row>
    <row r="133" spans="1:11" ht="17.100000000000001" customHeight="1" x14ac:dyDescent="0.25">
      <c r="A133" s="107">
        <v>4</v>
      </c>
      <c r="B133" s="108">
        <v>84</v>
      </c>
      <c r="C133" s="161">
        <v>0</v>
      </c>
      <c r="D133" s="164" t="s">
        <v>1072</v>
      </c>
      <c r="E133" s="163"/>
      <c r="F133" s="3"/>
      <c r="G133" s="161"/>
      <c r="H133" s="12"/>
      <c r="J133" s="161"/>
      <c r="K133" s="12"/>
    </row>
    <row r="134" spans="1:11" ht="17.100000000000001" customHeight="1" x14ac:dyDescent="0.25">
      <c r="A134" s="107">
        <v>5</v>
      </c>
      <c r="B134" s="108">
        <v>85</v>
      </c>
      <c r="C134" s="161">
        <v>0.99</v>
      </c>
      <c r="D134" s="164" t="s">
        <v>1073</v>
      </c>
      <c r="E134" s="163"/>
      <c r="F134" s="3"/>
      <c r="G134" s="161"/>
      <c r="H134" s="12"/>
      <c r="J134" s="161"/>
      <c r="K134" s="12"/>
    </row>
    <row r="135" spans="1:11" ht="17.100000000000001" customHeight="1" x14ac:dyDescent="0.25">
      <c r="A135" s="107">
        <v>6</v>
      </c>
      <c r="B135" s="108">
        <v>86</v>
      </c>
      <c r="C135" s="161">
        <v>0</v>
      </c>
      <c r="D135" s="164" t="s">
        <v>1401</v>
      </c>
      <c r="E135" s="163"/>
      <c r="F135" s="3"/>
      <c r="G135" s="161"/>
      <c r="H135" s="12"/>
      <c r="J135" s="161"/>
      <c r="K135" s="12"/>
    </row>
    <row r="136" spans="1:11" ht="17.100000000000001" customHeight="1" x14ac:dyDescent="0.25">
      <c r="A136" s="107">
        <v>7</v>
      </c>
      <c r="B136" s="108">
        <v>87</v>
      </c>
      <c r="C136" s="161">
        <v>0.2</v>
      </c>
      <c r="D136" s="164" t="s">
        <v>1402</v>
      </c>
      <c r="E136" s="163"/>
      <c r="F136" s="3"/>
      <c r="G136" s="161"/>
      <c r="H136" s="12"/>
      <c r="J136" s="161"/>
      <c r="K136" s="12"/>
    </row>
    <row r="137" spans="1:11" ht="17.100000000000001" customHeight="1" x14ac:dyDescent="0.25">
      <c r="A137" s="107">
        <v>8</v>
      </c>
      <c r="B137" s="108">
        <v>88</v>
      </c>
      <c r="C137" s="161">
        <v>1</v>
      </c>
      <c r="D137" s="164" t="s">
        <v>1475</v>
      </c>
      <c r="E137" s="163"/>
      <c r="F137" s="3"/>
      <c r="G137" s="161"/>
      <c r="H137" s="12"/>
      <c r="J137" s="161"/>
      <c r="K137" s="12"/>
    </row>
    <row r="138" spans="1:11" ht="17.100000000000001" customHeight="1" x14ac:dyDescent="0.25">
      <c r="A138" s="107">
        <v>9</v>
      </c>
      <c r="B138" s="108">
        <v>89</v>
      </c>
      <c r="C138" s="161">
        <v>0.01</v>
      </c>
      <c r="D138" s="164" t="s">
        <v>1476</v>
      </c>
      <c r="E138" s="163"/>
      <c r="F138" s="3"/>
      <c r="G138" s="161"/>
      <c r="H138" s="12"/>
      <c r="J138" s="161"/>
      <c r="K138" s="12"/>
    </row>
    <row r="139" spans="1:11" ht="17.100000000000001" customHeight="1" x14ac:dyDescent="0.25">
      <c r="A139" s="107">
        <v>10</v>
      </c>
      <c r="B139" s="108">
        <v>90</v>
      </c>
      <c r="C139" s="161">
        <v>0.99</v>
      </c>
      <c r="D139" s="164" t="s">
        <v>1403</v>
      </c>
      <c r="E139" s="163"/>
      <c r="F139" s="3"/>
      <c r="G139" s="161"/>
      <c r="H139" s="12"/>
      <c r="J139" s="161"/>
      <c r="K139" s="12"/>
    </row>
    <row r="140" spans="1:11" ht="17.100000000000001" customHeight="1" x14ac:dyDescent="0.25">
      <c r="A140" s="189" t="s">
        <v>677</v>
      </c>
      <c r="B140" s="190"/>
      <c r="C140" s="161"/>
      <c r="D140" s="164"/>
      <c r="F140" s="3"/>
      <c r="G140" s="161"/>
      <c r="H140" s="12"/>
      <c r="J140" s="161"/>
      <c r="K140" s="12"/>
    </row>
    <row r="141" spans="1:11" ht="17.100000000000001" customHeight="1" x14ac:dyDescent="0.25">
      <c r="A141" s="107">
        <v>1</v>
      </c>
      <c r="B141" s="108">
        <v>91</v>
      </c>
      <c r="C141" s="161">
        <v>0.5</v>
      </c>
      <c r="D141" s="164" t="s">
        <v>1400</v>
      </c>
      <c r="E141" s="163"/>
      <c r="F141" s="3"/>
      <c r="G141" s="161"/>
      <c r="H141" s="12"/>
      <c r="J141" s="161"/>
      <c r="K141" s="12"/>
    </row>
    <row r="142" spans="1:11" ht="17.100000000000001" customHeight="1" x14ac:dyDescent="0.25">
      <c r="A142" s="107">
        <v>2</v>
      </c>
      <c r="B142" s="108">
        <v>92</v>
      </c>
      <c r="C142" s="161">
        <v>0.4</v>
      </c>
      <c r="D142" s="164" t="s">
        <v>1399</v>
      </c>
      <c r="E142" s="163"/>
      <c r="F142" s="3"/>
      <c r="G142" s="161"/>
      <c r="H142" s="12"/>
      <c r="J142" s="161"/>
      <c r="K142" s="12"/>
    </row>
    <row r="143" spans="1:11" ht="17.100000000000001" customHeight="1" x14ac:dyDescent="0.25">
      <c r="A143" s="28">
        <v>3</v>
      </c>
      <c r="B143" s="27">
        <v>93</v>
      </c>
      <c r="C143" s="161">
        <v>0.15</v>
      </c>
      <c r="D143" s="164" t="s">
        <v>1477</v>
      </c>
      <c r="E143" s="163"/>
      <c r="F143" s="3"/>
      <c r="G143" s="161"/>
      <c r="H143" s="12"/>
      <c r="J143" s="161"/>
      <c r="K143" s="12"/>
    </row>
    <row r="144" spans="1:11" ht="17.100000000000001" customHeight="1" x14ac:dyDescent="0.25">
      <c r="A144" s="28">
        <v>4</v>
      </c>
      <c r="B144" s="27">
        <v>94</v>
      </c>
      <c r="C144" s="161">
        <v>2</v>
      </c>
      <c r="D144" s="164" t="s">
        <v>1478</v>
      </c>
      <c r="E144" s="163"/>
      <c r="F144" s="3"/>
      <c r="G144" s="161"/>
      <c r="H144" s="12"/>
      <c r="J144" s="161"/>
      <c r="K144" s="12"/>
    </row>
    <row r="145" spans="1:11" ht="17.100000000000001" customHeight="1" x14ac:dyDescent="0.25">
      <c r="A145" s="28">
        <v>5</v>
      </c>
      <c r="B145" s="27">
        <v>95</v>
      </c>
      <c r="C145" s="161">
        <v>3</v>
      </c>
      <c r="D145" s="164" t="s">
        <v>1074</v>
      </c>
      <c r="E145" s="163"/>
      <c r="F145" s="3"/>
      <c r="G145" s="161"/>
      <c r="H145" s="12"/>
      <c r="J145" s="161"/>
      <c r="K145" s="12"/>
    </row>
    <row r="146" spans="1:11" ht="17.100000000000001" customHeight="1" x14ac:dyDescent="0.25">
      <c r="A146" s="28">
        <v>6</v>
      </c>
      <c r="B146" s="27">
        <v>96</v>
      </c>
      <c r="C146" s="161">
        <v>0.5</v>
      </c>
      <c r="D146" s="164" t="s">
        <v>1397</v>
      </c>
      <c r="E146" s="163"/>
      <c r="F146" s="3"/>
      <c r="G146" s="161"/>
      <c r="H146" s="12"/>
      <c r="J146" s="161"/>
      <c r="K146" s="12"/>
    </row>
    <row r="147" spans="1:11" ht="17.100000000000001" customHeight="1" x14ac:dyDescent="0.25">
      <c r="A147" s="28">
        <v>7</v>
      </c>
      <c r="B147" s="27">
        <v>97</v>
      </c>
      <c r="C147" s="161">
        <v>1</v>
      </c>
      <c r="D147" s="164" t="s">
        <v>1398</v>
      </c>
      <c r="E147" s="163"/>
      <c r="F147" s="3"/>
      <c r="G147" s="161"/>
      <c r="H147" s="12"/>
      <c r="J147" s="161"/>
      <c r="K147" s="12"/>
    </row>
    <row r="148" spans="1:11" ht="17.100000000000001" customHeight="1" x14ac:dyDescent="0.25">
      <c r="A148" s="28">
        <v>8</v>
      </c>
      <c r="B148" s="27">
        <v>98</v>
      </c>
      <c r="C148" s="161">
        <v>0</v>
      </c>
      <c r="D148" s="164" t="s">
        <v>1343</v>
      </c>
      <c r="E148" s="163"/>
      <c r="F148" s="3"/>
      <c r="G148" s="161"/>
      <c r="H148" s="12"/>
      <c r="J148" s="161"/>
      <c r="K148" s="12"/>
    </row>
    <row r="149" spans="1:11" ht="17.100000000000001" customHeight="1" x14ac:dyDescent="0.25">
      <c r="A149" s="28">
        <v>9</v>
      </c>
      <c r="B149" s="27">
        <v>99</v>
      </c>
      <c r="C149" s="161">
        <v>0</v>
      </c>
      <c r="D149" s="164" t="s">
        <v>1344</v>
      </c>
      <c r="E149" s="163"/>
      <c r="F149" s="3"/>
      <c r="G149" s="161"/>
      <c r="H149" s="12"/>
      <c r="J149" s="161"/>
      <c r="K149" s="12"/>
    </row>
    <row r="150" spans="1:11" ht="17.100000000000001" customHeight="1" x14ac:dyDescent="0.25">
      <c r="A150" s="28">
        <v>10</v>
      </c>
      <c r="B150" s="27">
        <v>100</v>
      </c>
      <c r="C150" s="161">
        <v>0.1</v>
      </c>
      <c r="D150" s="164" t="s">
        <v>1345</v>
      </c>
      <c r="E150" s="163"/>
      <c r="F150" s="3"/>
      <c r="G150" s="161"/>
      <c r="H150" s="12"/>
      <c r="J150" s="161"/>
      <c r="K150" s="12"/>
    </row>
    <row r="151" spans="1:11" ht="17.100000000000001" customHeight="1" x14ac:dyDescent="0.25">
      <c r="A151" s="19" t="s">
        <v>678</v>
      </c>
      <c r="C151" s="161"/>
      <c r="D151" s="164"/>
      <c r="F151" s="3"/>
      <c r="G151" s="161"/>
      <c r="H151" s="12"/>
      <c r="J151" s="161"/>
      <c r="K151" s="12"/>
    </row>
    <row r="152" spans="1:11" ht="17.100000000000001" customHeight="1" x14ac:dyDescent="0.25">
      <c r="A152" s="28">
        <v>1</v>
      </c>
      <c r="B152" s="27">
        <v>101</v>
      </c>
      <c r="C152" s="161">
        <v>0</v>
      </c>
      <c r="D152" s="164" t="s">
        <v>1346</v>
      </c>
      <c r="E152" s="163"/>
      <c r="F152" s="3"/>
      <c r="G152" s="161"/>
      <c r="H152" s="12"/>
      <c r="I152" s="27"/>
      <c r="J152" s="161"/>
      <c r="K152" s="12"/>
    </row>
    <row r="153" spans="1:11" ht="17.100000000000001" customHeight="1" x14ac:dyDescent="0.25">
      <c r="A153" s="28">
        <v>2</v>
      </c>
      <c r="B153" s="27">
        <v>102</v>
      </c>
      <c r="C153" s="161">
        <v>10</v>
      </c>
      <c r="D153" s="164" t="s">
        <v>1347</v>
      </c>
      <c r="E153" s="163"/>
      <c r="F153" s="3"/>
      <c r="G153" s="161"/>
      <c r="H153" s="12"/>
      <c r="I153" s="27"/>
      <c r="J153" s="161"/>
      <c r="K153" s="12"/>
    </row>
    <row r="154" spans="1:11" ht="17.100000000000001" customHeight="1" x14ac:dyDescent="0.25">
      <c r="A154" s="28">
        <v>3</v>
      </c>
      <c r="B154" s="27">
        <v>103</v>
      </c>
      <c r="C154" s="161">
        <v>0.9</v>
      </c>
      <c r="D154" s="164" t="s">
        <v>1348</v>
      </c>
      <c r="E154" s="163"/>
      <c r="F154" s="3"/>
      <c r="G154" s="161"/>
      <c r="H154" s="12"/>
      <c r="I154" s="27"/>
      <c r="J154" s="161"/>
      <c r="K154" s="12"/>
    </row>
    <row r="155" spans="1:11" ht="17.100000000000001" customHeight="1" x14ac:dyDescent="0.25">
      <c r="A155" s="28">
        <v>4</v>
      </c>
      <c r="B155" s="27">
        <v>104</v>
      </c>
      <c r="C155" s="161">
        <v>0.6</v>
      </c>
      <c r="D155" s="164" t="s">
        <v>1349</v>
      </c>
      <c r="E155" s="163"/>
      <c r="F155" s="3"/>
      <c r="G155" s="161"/>
      <c r="H155" s="12"/>
      <c r="I155" s="27"/>
      <c r="J155" s="161"/>
      <c r="K155" s="12"/>
    </row>
    <row r="156" spans="1:11" ht="17.100000000000001" customHeight="1" x14ac:dyDescent="0.25">
      <c r="A156" s="28">
        <v>5</v>
      </c>
      <c r="B156" s="27">
        <v>105</v>
      </c>
      <c r="C156" s="161">
        <v>0.2</v>
      </c>
      <c r="D156" s="164" t="s">
        <v>1350</v>
      </c>
      <c r="E156" s="163"/>
      <c r="F156" s="3"/>
      <c r="G156" s="161"/>
      <c r="H156" s="12"/>
      <c r="J156" s="161"/>
      <c r="K156" s="12"/>
    </row>
    <row r="157" spans="1:11" ht="17.100000000000001" customHeight="1" x14ac:dyDescent="0.25">
      <c r="A157" s="28">
        <v>6</v>
      </c>
      <c r="B157" s="27">
        <v>106</v>
      </c>
      <c r="C157" s="161">
        <v>0.9</v>
      </c>
      <c r="D157" s="164" t="s">
        <v>1351</v>
      </c>
      <c r="E157" s="163"/>
      <c r="F157" s="3"/>
      <c r="G157" s="161"/>
      <c r="H157" s="12"/>
      <c r="J157" s="161"/>
      <c r="K157" s="12"/>
    </row>
    <row r="158" spans="1:11" ht="17.100000000000001" customHeight="1" x14ac:dyDescent="0.25">
      <c r="A158" s="28">
        <v>7</v>
      </c>
      <c r="B158" s="27">
        <v>107</v>
      </c>
      <c r="C158" s="161">
        <v>1</v>
      </c>
      <c r="D158" s="164" t="s">
        <v>1352</v>
      </c>
      <c r="E158" s="163"/>
      <c r="F158" s="3"/>
      <c r="G158" s="161"/>
      <c r="H158" s="12"/>
      <c r="J158" s="161"/>
      <c r="K158" s="12"/>
    </row>
    <row r="159" spans="1:11" ht="17.100000000000001" customHeight="1" x14ac:dyDescent="0.25">
      <c r="A159" s="28">
        <v>8</v>
      </c>
      <c r="B159" s="27">
        <v>108</v>
      </c>
      <c r="C159" s="161">
        <v>0.6</v>
      </c>
      <c r="D159" s="164" t="s">
        <v>1353</v>
      </c>
      <c r="E159" s="163"/>
      <c r="F159" s="3"/>
      <c r="G159" s="161"/>
      <c r="H159" s="12"/>
      <c r="J159" s="161"/>
      <c r="K159" s="12"/>
    </row>
    <row r="160" spans="1:11" ht="17.100000000000001" customHeight="1" x14ac:dyDescent="0.25">
      <c r="A160" s="28">
        <v>9</v>
      </c>
      <c r="B160" s="27">
        <v>109</v>
      </c>
      <c r="C160" s="161">
        <v>0.1</v>
      </c>
      <c r="D160" s="164" t="s">
        <v>1354</v>
      </c>
      <c r="E160" s="163"/>
      <c r="F160" s="3"/>
      <c r="G160" s="161"/>
      <c r="H160" s="12"/>
      <c r="J160" s="161"/>
      <c r="K160" s="12"/>
    </row>
    <row r="161" spans="1:11" ht="17.100000000000001" customHeight="1" x14ac:dyDescent="0.25">
      <c r="A161" s="28">
        <v>10</v>
      </c>
      <c r="B161" s="27">
        <v>110</v>
      </c>
      <c r="C161" s="161">
        <v>7</v>
      </c>
      <c r="D161" s="164" t="s">
        <v>1355</v>
      </c>
      <c r="E161" s="163"/>
      <c r="F161" s="3"/>
      <c r="G161" s="161"/>
      <c r="H161" s="12"/>
      <c r="J161" s="161"/>
      <c r="K161" s="12"/>
    </row>
    <row r="162" spans="1:11" ht="17.100000000000001" customHeight="1" x14ac:dyDescent="0.25">
      <c r="A162" s="19" t="s">
        <v>1338</v>
      </c>
      <c r="C162" s="161"/>
      <c r="D162" s="164"/>
      <c r="E162" s="9"/>
      <c r="F162" s="3"/>
      <c r="G162" s="161"/>
      <c r="H162" s="12"/>
      <c r="J162" s="161"/>
      <c r="K162" s="12"/>
    </row>
    <row r="163" spans="1:11" ht="17.100000000000001" customHeight="1" x14ac:dyDescent="0.25">
      <c r="A163" s="28">
        <v>1</v>
      </c>
      <c r="B163" s="27" t="s">
        <v>679</v>
      </c>
      <c r="C163" s="161">
        <v>0.2</v>
      </c>
      <c r="D163" s="164" t="s">
        <v>1479</v>
      </c>
      <c r="E163" s="9"/>
      <c r="F163" s="3"/>
      <c r="G163" s="161"/>
      <c r="H163" s="12"/>
      <c r="J163" s="161"/>
      <c r="K163" s="12"/>
    </row>
    <row r="164" spans="1:11" ht="17.100000000000001" customHeight="1" x14ac:dyDescent="0.25">
      <c r="A164" s="28">
        <v>2</v>
      </c>
      <c r="B164" s="27" t="s">
        <v>680</v>
      </c>
      <c r="C164" s="161">
        <v>0.25</v>
      </c>
      <c r="D164" s="164" t="s">
        <v>1480</v>
      </c>
      <c r="E164" s="9"/>
      <c r="F164" s="3"/>
      <c r="G164" s="161"/>
      <c r="H164" s="12"/>
      <c r="J164" s="161"/>
      <c r="K164" s="12"/>
    </row>
    <row r="165" spans="1:11" ht="17.100000000000001" customHeight="1" x14ac:dyDescent="0.25">
      <c r="A165" s="28">
        <v>3</v>
      </c>
      <c r="B165" s="27" t="s">
        <v>681</v>
      </c>
      <c r="C165" s="161">
        <v>1.1000000000000001</v>
      </c>
      <c r="D165" s="164" t="s">
        <v>1481</v>
      </c>
      <c r="E165" s="9"/>
      <c r="F165" s="3"/>
      <c r="G165" s="161"/>
      <c r="H165" s="12"/>
      <c r="J165" s="161"/>
      <c r="K165" s="12"/>
    </row>
    <row r="166" spans="1:11" ht="17.100000000000001" customHeight="1" x14ac:dyDescent="0.25">
      <c r="A166" s="28">
        <v>4</v>
      </c>
      <c r="B166" s="27" t="s">
        <v>682</v>
      </c>
      <c r="C166" s="161">
        <v>1</v>
      </c>
      <c r="D166" s="164" t="s">
        <v>1482</v>
      </c>
      <c r="E166" s="9"/>
      <c r="F166" s="3"/>
      <c r="G166" s="161"/>
      <c r="H166" s="12"/>
      <c r="J166" s="161"/>
      <c r="K166" s="12"/>
    </row>
    <row r="167" spans="1:11" s="178" customFormat="1" ht="17.100000000000001" customHeight="1" x14ac:dyDescent="0.25">
      <c r="A167" s="180">
        <v>5</v>
      </c>
      <c r="B167" s="181"/>
      <c r="C167" s="161">
        <v>1E-3</v>
      </c>
      <c r="D167" s="183"/>
      <c r="F167" s="184"/>
      <c r="G167" s="182"/>
      <c r="J167" s="182"/>
    </row>
    <row r="168" spans="1:11" s="178" customFormat="1" ht="17.100000000000001" customHeight="1" x14ac:dyDescent="0.25">
      <c r="A168" s="180">
        <v>6</v>
      </c>
      <c r="B168" s="181"/>
      <c r="C168" s="161">
        <v>3</v>
      </c>
      <c r="D168" s="183"/>
      <c r="F168" s="184"/>
      <c r="G168" s="182"/>
      <c r="J168" s="182"/>
    </row>
    <row r="169" spans="1:11" s="178" customFormat="1" ht="17.100000000000001" customHeight="1" x14ac:dyDescent="0.25">
      <c r="A169" s="180">
        <v>7</v>
      </c>
      <c r="B169" s="181"/>
      <c r="C169" s="161">
        <v>10</v>
      </c>
      <c r="D169" s="183"/>
      <c r="F169" s="184"/>
      <c r="G169" s="182"/>
      <c r="J169" s="182"/>
    </row>
    <row r="170" spans="1:11" s="178" customFormat="1" ht="17.100000000000001" customHeight="1" x14ac:dyDescent="0.25">
      <c r="A170" s="180">
        <v>8</v>
      </c>
      <c r="B170" s="181"/>
      <c r="C170" s="161">
        <v>0.5</v>
      </c>
      <c r="D170" s="183"/>
      <c r="E170" s="185"/>
      <c r="F170" s="184"/>
      <c r="G170" s="182"/>
      <c r="J170" s="182"/>
    </row>
    <row r="171" spans="1:11" s="178" customFormat="1" ht="17.100000000000001" customHeight="1" x14ac:dyDescent="0.25">
      <c r="A171" s="180">
        <v>9</v>
      </c>
      <c r="B171" s="181"/>
      <c r="C171" s="161">
        <v>0.5</v>
      </c>
      <c r="D171" s="183"/>
      <c r="E171" s="185"/>
      <c r="F171" s="184"/>
      <c r="G171" s="182"/>
      <c r="J171" s="182"/>
    </row>
    <row r="172" spans="1:11" s="178" customFormat="1" ht="17.100000000000001" customHeight="1" x14ac:dyDescent="0.25">
      <c r="A172" s="180">
        <v>10</v>
      </c>
      <c r="B172" s="181"/>
      <c r="C172" s="161">
        <v>1</v>
      </c>
      <c r="D172" s="183"/>
      <c r="E172" s="185"/>
      <c r="F172" s="184"/>
      <c r="G172" s="182"/>
      <c r="J172" s="182"/>
    </row>
    <row r="173" spans="1:11" ht="17.100000000000001" customHeight="1" x14ac:dyDescent="0.25">
      <c r="A173" s="19" t="s">
        <v>1337</v>
      </c>
      <c r="B173" s="20"/>
      <c r="C173" s="161"/>
      <c r="D173" s="164"/>
      <c r="F173" s="3"/>
      <c r="G173" s="161"/>
      <c r="H173" s="12"/>
      <c r="J173" s="161"/>
      <c r="K173" s="12"/>
    </row>
    <row r="174" spans="1:11" ht="17.100000000000001" customHeight="1" x14ac:dyDescent="0.25">
      <c r="A174" s="28">
        <v>1</v>
      </c>
      <c r="B174" s="27" t="s">
        <v>1339</v>
      </c>
      <c r="C174" s="159">
        <v>5</v>
      </c>
      <c r="D174" s="164" t="s">
        <v>1356</v>
      </c>
      <c r="F174" s="3"/>
      <c r="G174" s="159"/>
      <c r="H174" s="12"/>
      <c r="J174" s="159"/>
      <c r="K174" s="12"/>
    </row>
    <row r="175" spans="1:11" ht="17.100000000000001" customHeight="1" x14ac:dyDescent="0.25">
      <c r="A175" s="28">
        <v>2</v>
      </c>
      <c r="B175" s="27" t="s">
        <v>1340</v>
      </c>
      <c r="C175" s="159">
        <v>0.5</v>
      </c>
      <c r="D175" s="164" t="s">
        <v>1357</v>
      </c>
      <c r="F175" s="3"/>
      <c r="G175" s="159"/>
      <c r="H175" s="12"/>
      <c r="J175" s="159"/>
      <c r="K175" s="12"/>
    </row>
    <row r="176" spans="1:11" ht="17.100000000000001" customHeight="1" x14ac:dyDescent="0.25">
      <c r="A176" s="28">
        <v>3</v>
      </c>
      <c r="B176" s="27" t="s">
        <v>1341</v>
      </c>
      <c r="C176" s="159">
        <v>0.01</v>
      </c>
      <c r="D176" s="164" t="s">
        <v>1358</v>
      </c>
      <c r="F176" s="3"/>
      <c r="G176" s="159"/>
      <c r="H176" s="12"/>
      <c r="J176" s="159"/>
      <c r="K176" s="12"/>
    </row>
    <row r="177" spans="1:11" ht="17.100000000000001" customHeight="1" x14ac:dyDescent="0.25">
      <c r="A177" s="28">
        <v>4</v>
      </c>
      <c r="B177" s="27" t="s">
        <v>1342</v>
      </c>
      <c r="C177" s="159">
        <v>0.01</v>
      </c>
      <c r="D177" s="164" t="s">
        <v>1359</v>
      </c>
      <c r="F177" s="3"/>
      <c r="G177" s="159"/>
      <c r="H177" s="12"/>
      <c r="J177" s="159"/>
      <c r="K177" s="12"/>
    </row>
    <row r="178" spans="1:11" ht="17.100000000000001" customHeight="1" x14ac:dyDescent="0.25">
      <c r="A178" s="154">
        <v>5</v>
      </c>
      <c r="B178" s="27"/>
      <c r="C178" s="159"/>
      <c r="F178" s="3"/>
      <c r="G178" s="159"/>
      <c r="H178" s="12"/>
      <c r="J178" s="159"/>
      <c r="K178" s="12"/>
    </row>
    <row r="179" spans="1:11" ht="17.100000000000001" customHeight="1" x14ac:dyDescent="0.25">
      <c r="A179" s="154">
        <v>6</v>
      </c>
      <c r="B179" s="27"/>
      <c r="C179" s="159"/>
      <c r="F179" s="3"/>
      <c r="G179" s="159"/>
      <c r="H179" s="12"/>
      <c r="J179" s="159"/>
      <c r="K179" s="12"/>
    </row>
    <row r="180" spans="1:11" ht="17.100000000000001" customHeight="1" x14ac:dyDescent="0.25">
      <c r="A180" s="154">
        <v>7</v>
      </c>
      <c r="B180" s="27"/>
      <c r="C180" s="159"/>
      <c r="F180" s="3"/>
      <c r="G180" s="170"/>
      <c r="H180" s="12"/>
      <c r="J180" s="170"/>
      <c r="K180" s="12"/>
    </row>
    <row r="181" spans="1:11" ht="17.100000000000001" customHeight="1" x14ac:dyDescent="0.25">
      <c r="A181" s="154">
        <v>8</v>
      </c>
      <c r="B181" s="27"/>
      <c r="C181" s="159"/>
      <c r="F181" s="3"/>
      <c r="G181" s="170"/>
      <c r="H181" s="12"/>
      <c r="J181" s="170"/>
      <c r="K181" s="12"/>
    </row>
    <row r="182" spans="1:11" ht="17.100000000000001" customHeight="1" x14ac:dyDescent="0.25">
      <c r="A182" s="154">
        <v>9</v>
      </c>
      <c r="B182" s="27"/>
      <c r="C182" s="159"/>
      <c r="F182" s="3"/>
      <c r="G182" s="159"/>
      <c r="H182" s="12"/>
      <c r="J182" s="159"/>
      <c r="K182" s="12"/>
    </row>
    <row r="183" spans="1:11" ht="17.100000000000001" customHeight="1" x14ac:dyDescent="0.25">
      <c r="A183" s="154">
        <v>10</v>
      </c>
      <c r="B183" s="27"/>
      <c r="C183" s="159"/>
      <c r="F183" s="3"/>
      <c r="G183" s="159"/>
      <c r="H183" s="12"/>
      <c r="J183" s="159"/>
      <c r="K183" s="12"/>
    </row>
    <row r="184" spans="1:11" x14ac:dyDescent="0.25">
      <c r="A184" s="19"/>
      <c r="B184" s="20"/>
      <c r="C184" s="159"/>
      <c r="D184" s="20"/>
      <c r="F184" s="3"/>
      <c r="G184" s="159"/>
      <c r="H184" s="12"/>
      <c r="J184" s="159"/>
      <c r="K184" s="12"/>
    </row>
    <row r="185" spans="1:11" x14ac:dyDescent="0.25">
      <c r="A185" s="19"/>
      <c r="B185" s="18"/>
      <c r="C185" s="159"/>
      <c r="D185" s="18"/>
      <c r="F185" s="3"/>
      <c r="G185" s="159"/>
      <c r="H185" s="12"/>
      <c r="J185" s="159"/>
      <c r="K185" s="12"/>
    </row>
    <row r="186" spans="1:11" x14ac:dyDescent="0.25">
      <c r="A186" s="19"/>
      <c r="B186" s="27"/>
      <c r="C186" s="159"/>
      <c r="D186" s="20"/>
      <c r="F186" s="3"/>
      <c r="G186" s="159"/>
      <c r="H186" s="12"/>
      <c r="J186" s="159"/>
      <c r="K186" s="12"/>
    </row>
    <row r="187" spans="1:11" x14ac:dyDescent="0.25">
      <c r="A187" s="19"/>
      <c r="B187" s="27"/>
      <c r="C187" s="159"/>
      <c r="D187" s="20"/>
      <c r="F187" s="3"/>
      <c r="G187" s="159"/>
      <c r="H187" s="12"/>
      <c r="J187" s="159"/>
      <c r="K187" s="12"/>
    </row>
    <row r="188" spans="1:11" x14ac:dyDescent="0.25">
      <c r="A188" s="19"/>
      <c r="B188" s="27"/>
      <c r="C188" s="159"/>
      <c r="D188" s="20"/>
      <c r="F188" s="3"/>
      <c r="G188" s="159"/>
      <c r="H188" s="12"/>
      <c r="J188" s="159"/>
      <c r="K188" s="12"/>
    </row>
    <row r="189" spans="1:11" x14ac:dyDescent="0.25">
      <c r="A189" s="23"/>
      <c r="B189" s="24"/>
      <c r="C189" s="159"/>
      <c r="D189" s="20"/>
      <c r="F189" s="3"/>
      <c r="G189" s="159"/>
      <c r="H189" s="12"/>
      <c r="K189" s="12"/>
    </row>
    <row r="190" spans="1:11" x14ac:dyDescent="0.25">
      <c r="A190" s="19"/>
      <c r="B190" s="27"/>
      <c r="C190" s="159"/>
      <c r="D190" s="20"/>
      <c r="F190" s="3"/>
      <c r="G190" s="159"/>
      <c r="H190" s="12"/>
      <c r="K190" s="12"/>
    </row>
    <row r="191" spans="1:11" x14ac:dyDescent="0.25">
      <c r="A191" s="19"/>
      <c r="B191" s="27"/>
      <c r="C191" s="159"/>
      <c r="D191" s="20"/>
      <c r="F191" s="3"/>
      <c r="G191" s="159"/>
      <c r="H191" s="12"/>
      <c r="K191" s="12"/>
    </row>
    <row r="192" spans="1:11" x14ac:dyDescent="0.25">
      <c r="A192" s="19"/>
      <c r="B192" s="27"/>
      <c r="C192" s="159"/>
      <c r="D192" s="20"/>
      <c r="F192" s="3"/>
      <c r="G192" s="159"/>
      <c r="H192" s="12"/>
      <c r="K192" s="12"/>
    </row>
    <row r="193" spans="1:11" x14ac:dyDescent="0.25">
      <c r="A193" s="19"/>
      <c r="B193" s="27"/>
      <c r="C193" s="159"/>
      <c r="D193" s="20"/>
      <c r="F193" s="3"/>
      <c r="G193" s="159"/>
      <c r="H193" s="12"/>
      <c r="K193" s="12"/>
    </row>
    <row r="194" spans="1:11" x14ac:dyDescent="0.25">
      <c r="A194" s="19"/>
      <c r="B194" s="27"/>
      <c r="C194" s="159"/>
      <c r="D194" s="20"/>
      <c r="F194" s="3"/>
      <c r="G194" s="159"/>
      <c r="H194" s="12"/>
      <c r="K194" s="12"/>
    </row>
    <row r="195" spans="1:11" x14ac:dyDescent="0.25">
      <c r="A195" s="19"/>
      <c r="B195" s="27"/>
      <c r="C195" s="159"/>
      <c r="D195" s="20"/>
      <c r="F195" s="3"/>
      <c r="G195" s="159"/>
      <c r="H195" s="12"/>
      <c r="K195" s="12"/>
    </row>
    <row r="196" spans="1:11" x14ac:dyDescent="0.25">
      <c r="A196" s="19"/>
      <c r="B196" s="27"/>
      <c r="C196" s="159"/>
      <c r="D196" s="20"/>
      <c r="F196" s="3"/>
      <c r="G196" s="159"/>
      <c r="H196" s="12"/>
      <c r="K196" s="12"/>
    </row>
    <row r="197" spans="1:11" x14ac:dyDescent="0.25">
      <c r="A197" s="19"/>
      <c r="B197" s="27"/>
      <c r="C197" s="159"/>
      <c r="D197" s="20"/>
      <c r="F197" s="3"/>
      <c r="G197" s="159"/>
      <c r="H197" s="12"/>
      <c r="K197" s="12"/>
    </row>
    <row r="198" spans="1:11" x14ac:dyDescent="0.25">
      <c r="A198" s="19"/>
      <c r="B198" s="27"/>
      <c r="C198" s="159"/>
      <c r="D198" s="20"/>
      <c r="F198" s="3"/>
      <c r="G198" s="159"/>
      <c r="H198" s="12"/>
      <c r="K198" s="12"/>
    </row>
    <row r="199" spans="1:11" x14ac:dyDescent="0.25">
      <c r="A199" s="19"/>
      <c r="B199" s="27"/>
      <c r="C199" s="159"/>
      <c r="D199" s="20"/>
      <c r="F199" s="3"/>
      <c r="G199" s="159"/>
      <c r="H199" s="12"/>
      <c r="K199" s="12"/>
    </row>
    <row r="200" spans="1:11" x14ac:dyDescent="0.25">
      <c r="A200" s="19"/>
      <c r="B200" s="27"/>
      <c r="C200" s="159"/>
      <c r="D200" s="20"/>
      <c r="F200" s="3"/>
      <c r="G200" s="159"/>
      <c r="H200" s="12"/>
      <c r="K200" s="12"/>
    </row>
    <row r="201" spans="1:11" x14ac:dyDescent="0.25">
      <c r="A201" s="19"/>
      <c r="B201" s="27"/>
      <c r="C201" s="159"/>
      <c r="D201" s="20"/>
      <c r="F201" s="3"/>
      <c r="G201" s="159"/>
      <c r="H201" s="12"/>
      <c r="K201" s="12"/>
    </row>
    <row r="202" spans="1:11" x14ac:dyDescent="0.25">
      <c r="A202" s="19"/>
      <c r="B202" s="27"/>
      <c r="C202" s="159"/>
      <c r="D202" s="20"/>
      <c r="F202" s="3"/>
      <c r="G202" s="159"/>
      <c r="H202" s="12"/>
      <c r="K202" s="12"/>
    </row>
    <row r="203" spans="1:11" x14ac:dyDescent="0.25">
      <c r="A203" s="19"/>
      <c r="B203" s="27"/>
      <c r="C203" s="159"/>
      <c r="D203" s="20"/>
      <c r="F203" s="3"/>
      <c r="G203" s="159"/>
      <c r="H203" s="12"/>
      <c r="K203" s="12"/>
    </row>
    <row r="204" spans="1:11" x14ac:dyDescent="0.25">
      <c r="A204" s="19"/>
      <c r="B204" s="27"/>
      <c r="C204" s="159"/>
      <c r="D204" s="20"/>
      <c r="F204" s="3"/>
      <c r="G204" s="159"/>
      <c r="H204" s="12"/>
      <c r="K204" s="12"/>
    </row>
    <row r="205" spans="1:11" x14ac:dyDescent="0.25">
      <c r="A205" s="19"/>
      <c r="B205" s="27"/>
      <c r="C205" s="159"/>
      <c r="D205" s="20"/>
      <c r="F205" s="3"/>
      <c r="G205" s="159"/>
      <c r="H205" s="12"/>
      <c r="K205" s="12"/>
    </row>
    <row r="206" spans="1:11" x14ac:dyDescent="0.25">
      <c r="A206" s="19"/>
      <c r="B206" s="27"/>
      <c r="C206" s="159"/>
      <c r="D206" s="20"/>
      <c r="F206" s="3"/>
      <c r="G206" s="159"/>
      <c r="H206" s="12"/>
      <c r="K206" s="12"/>
    </row>
    <row r="207" spans="1:11" x14ac:dyDescent="0.25">
      <c r="A207" s="19"/>
      <c r="B207" s="27"/>
      <c r="C207" s="159"/>
      <c r="D207" s="20"/>
      <c r="F207" s="3"/>
      <c r="G207" s="159"/>
      <c r="H207" s="12"/>
      <c r="K207" s="12"/>
    </row>
    <row r="208" spans="1:11" x14ac:dyDescent="0.25">
      <c r="A208" s="19"/>
      <c r="B208" s="27"/>
      <c r="C208" s="159"/>
      <c r="D208" s="20"/>
      <c r="F208" s="3"/>
      <c r="G208" s="159"/>
      <c r="H208" s="12"/>
      <c r="K208" s="12"/>
    </row>
    <row r="209" spans="1:11" x14ac:dyDescent="0.25">
      <c r="A209" s="19"/>
      <c r="B209" s="27"/>
      <c r="C209" s="159"/>
      <c r="D209" s="20"/>
      <c r="F209" s="3"/>
      <c r="G209" s="159"/>
      <c r="H209" s="12"/>
      <c r="K209" s="12"/>
    </row>
    <row r="210" spans="1:11" x14ac:dyDescent="0.25">
      <c r="A210" s="19"/>
      <c r="B210" s="27"/>
      <c r="C210" s="159"/>
      <c r="D210" s="20"/>
      <c r="F210" s="3"/>
      <c r="G210" s="159"/>
      <c r="H210" s="12"/>
      <c r="K210" s="12"/>
    </row>
    <row r="211" spans="1:11" x14ac:dyDescent="0.25">
      <c r="A211" s="19"/>
      <c r="B211" s="27"/>
      <c r="C211" s="159"/>
      <c r="D211" s="20"/>
      <c r="F211" s="3"/>
      <c r="G211" s="159"/>
      <c r="H211" s="12"/>
      <c r="K211" s="12"/>
    </row>
    <row r="212" spans="1:11" x14ac:dyDescent="0.25">
      <c r="A212" s="19"/>
      <c r="B212" s="27"/>
      <c r="C212" s="159"/>
      <c r="D212" s="20"/>
      <c r="F212" s="3"/>
      <c r="G212" s="159"/>
      <c r="H212" s="12"/>
      <c r="K212" s="12"/>
    </row>
    <row r="213" spans="1:11" x14ac:dyDescent="0.25">
      <c r="A213" s="19"/>
      <c r="B213" s="27"/>
      <c r="C213" s="159"/>
      <c r="D213" s="20"/>
      <c r="F213" s="3"/>
      <c r="G213" s="159"/>
      <c r="H213" s="12"/>
      <c r="K213" s="12"/>
    </row>
    <row r="214" spans="1:11" x14ac:dyDescent="0.25">
      <c r="A214" s="19"/>
      <c r="B214" s="27"/>
      <c r="C214" s="159"/>
      <c r="D214" s="20"/>
      <c r="F214" s="3"/>
      <c r="H214" s="12"/>
      <c r="K214" s="12"/>
    </row>
    <row r="215" spans="1:11" x14ac:dyDescent="0.25">
      <c r="A215" s="19"/>
      <c r="B215" s="27"/>
      <c r="C215" s="159"/>
      <c r="D215" s="20"/>
      <c r="F215" s="3"/>
      <c r="H215" s="12"/>
      <c r="K215" s="12"/>
    </row>
    <row r="216" spans="1:11" x14ac:dyDescent="0.25">
      <c r="A216" s="19"/>
      <c r="B216" s="27"/>
      <c r="C216" s="159"/>
      <c r="D216" s="20"/>
      <c r="F216" s="3"/>
      <c r="H216" s="12"/>
      <c r="K216" s="12"/>
    </row>
    <row r="217" spans="1:11" x14ac:dyDescent="0.25">
      <c r="A217" s="23"/>
      <c r="B217" s="24"/>
      <c r="C217" s="159"/>
      <c r="D217" s="20"/>
      <c r="F217" s="3"/>
      <c r="H217" s="12"/>
      <c r="K217" s="12"/>
    </row>
    <row r="218" spans="1:11" x14ac:dyDescent="0.25">
      <c r="A218" s="19"/>
      <c r="B218" s="27"/>
      <c r="C218" s="159"/>
      <c r="D218" s="20"/>
      <c r="F218" s="3"/>
      <c r="H218" s="12"/>
      <c r="K218" s="12"/>
    </row>
    <row r="219" spans="1:11" x14ac:dyDescent="0.25">
      <c r="A219" s="19"/>
      <c r="B219" s="27"/>
      <c r="C219" s="159"/>
      <c r="D219" s="20"/>
      <c r="F219" s="3"/>
      <c r="H219" s="12"/>
      <c r="K219" s="12"/>
    </row>
    <row r="220" spans="1:11" x14ac:dyDescent="0.25">
      <c r="A220" s="19"/>
      <c r="B220" s="27"/>
      <c r="C220" s="159"/>
      <c r="D220" s="20"/>
      <c r="F220" s="3"/>
      <c r="H220" s="12"/>
      <c r="K220" s="12"/>
    </row>
    <row r="221" spans="1:11" x14ac:dyDescent="0.25">
      <c r="A221" s="19"/>
      <c r="B221" s="27"/>
      <c r="C221" s="159"/>
      <c r="D221" s="20"/>
      <c r="F221" s="3"/>
      <c r="H221" s="12"/>
      <c r="K221" s="12"/>
    </row>
    <row r="222" spans="1:11" x14ac:dyDescent="0.25">
      <c r="A222" s="19"/>
      <c r="B222" s="27"/>
      <c r="C222" s="159"/>
      <c r="D222" s="20"/>
      <c r="F222" s="3"/>
      <c r="H222" s="12"/>
      <c r="K222" s="12"/>
    </row>
    <row r="223" spans="1:11" x14ac:dyDescent="0.25">
      <c r="A223" s="19"/>
      <c r="B223" s="27"/>
      <c r="C223" s="159"/>
      <c r="D223" s="20"/>
      <c r="F223" s="3"/>
      <c r="H223" s="12"/>
      <c r="K223" s="12"/>
    </row>
    <row r="224" spans="1:11" x14ac:dyDescent="0.25">
      <c r="A224" s="19"/>
      <c r="B224" s="27"/>
      <c r="C224" s="159"/>
      <c r="D224" s="20"/>
      <c r="F224" s="3"/>
      <c r="H224" s="12"/>
      <c r="K224" s="12"/>
    </row>
    <row r="225" spans="1:11" x14ac:dyDescent="0.25">
      <c r="A225" s="19"/>
      <c r="B225" s="27"/>
      <c r="C225" s="159"/>
      <c r="D225" s="20"/>
      <c r="F225" s="3"/>
      <c r="H225" s="12"/>
      <c r="K225" s="12"/>
    </row>
    <row r="226" spans="1:11" x14ac:dyDescent="0.25">
      <c r="A226" s="19"/>
      <c r="B226" s="27"/>
      <c r="C226" s="159"/>
      <c r="D226" s="20"/>
      <c r="F226" s="3"/>
      <c r="H226" s="12"/>
      <c r="K226" s="12"/>
    </row>
    <row r="227" spans="1:11" x14ac:dyDescent="0.25">
      <c r="A227" s="23"/>
      <c r="B227" s="24"/>
      <c r="C227" s="159"/>
      <c r="D227" s="20"/>
      <c r="F227" s="3"/>
      <c r="H227" s="12"/>
      <c r="K227" s="12"/>
    </row>
    <row r="228" spans="1:11" x14ac:dyDescent="0.25">
      <c r="A228" s="19"/>
      <c r="B228" s="27"/>
      <c r="C228" s="159"/>
      <c r="D228" s="20"/>
      <c r="F228" s="3"/>
      <c r="H228" s="12"/>
      <c r="K228" s="12"/>
    </row>
    <row r="229" spans="1:11" x14ac:dyDescent="0.25">
      <c r="A229" s="19"/>
      <c r="B229" s="27"/>
      <c r="C229" s="159"/>
      <c r="D229" s="20"/>
      <c r="F229" s="3"/>
      <c r="H229" s="12"/>
      <c r="K229" s="12"/>
    </row>
    <row r="230" spans="1:11" x14ac:dyDescent="0.25">
      <c r="A230" s="19"/>
      <c r="B230" s="27"/>
      <c r="C230" s="159"/>
      <c r="D230" s="20"/>
      <c r="F230" s="3"/>
      <c r="H230" s="12"/>
      <c r="K230" s="12"/>
    </row>
    <row r="231" spans="1:11" x14ac:dyDescent="0.25">
      <c r="A231" s="19"/>
      <c r="B231" s="27"/>
      <c r="C231" s="159"/>
      <c r="D231" s="20"/>
      <c r="F231" s="3"/>
      <c r="H231" s="12"/>
      <c r="K231" s="12"/>
    </row>
    <row r="232" spans="1:11" x14ac:dyDescent="0.25">
      <c r="A232" s="19"/>
      <c r="B232" s="27"/>
      <c r="C232" s="159"/>
      <c r="D232" s="20"/>
      <c r="F232" s="3"/>
      <c r="H232" s="12"/>
      <c r="K232" s="12"/>
    </row>
    <row r="233" spans="1:11" x14ac:dyDescent="0.25">
      <c r="A233" s="19"/>
      <c r="B233" s="27"/>
      <c r="C233" s="159"/>
      <c r="D233" s="20"/>
      <c r="F233" s="3"/>
      <c r="H233" s="12"/>
      <c r="K233" s="12"/>
    </row>
    <row r="234" spans="1:11" x14ac:dyDescent="0.25">
      <c r="A234" s="19"/>
      <c r="B234" s="27"/>
      <c r="C234" s="159"/>
      <c r="D234" s="20"/>
      <c r="F234" s="3"/>
      <c r="H234" s="12"/>
      <c r="K234" s="12"/>
    </row>
    <row r="235" spans="1:11" x14ac:dyDescent="0.25">
      <c r="A235" s="19"/>
      <c r="B235" s="27"/>
      <c r="C235" s="159"/>
      <c r="D235" s="20"/>
      <c r="F235" s="3"/>
      <c r="H235" s="12"/>
      <c r="K235" s="12"/>
    </row>
    <row r="236" spans="1:11" x14ac:dyDescent="0.25">
      <c r="A236" s="19"/>
      <c r="B236" s="27"/>
      <c r="C236" s="159"/>
      <c r="D236" s="20"/>
      <c r="F236" s="3"/>
      <c r="H236" s="12"/>
      <c r="K236" s="12"/>
    </row>
    <row r="237" spans="1:11" x14ac:dyDescent="0.25">
      <c r="A237" s="19"/>
      <c r="B237" s="27"/>
      <c r="C237" s="159"/>
      <c r="D237" s="20"/>
      <c r="F237" s="3"/>
      <c r="H237" s="12"/>
      <c r="K237" s="12"/>
    </row>
    <row r="238" spans="1:11" x14ac:dyDescent="0.25">
      <c r="A238" s="19"/>
      <c r="B238" s="27"/>
      <c r="C238" s="159"/>
      <c r="D238" s="20"/>
      <c r="F238" s="3"/>
      <c r="H238" s="12"/>
      <c r="K238" s="12"/>
    </row>
    <row r="239" spans="1:11" x14ac:dyDescent="0.25">
      <c r="A239" s="19"/>
      <c r="B239" s="27"/>
      <c r="D239" s="20"/>
      <c r="F239" s="3"/>
      <c r="H239" s="12"/>
      <c r="K239" s="12"/>
    </row>
    <row r="240" spans="1:11" x14ac:dyDescent="0.25">
      <c r="A240" s="19"/>
      <c r="B240" s="27"/>
      <c r="D240" s="20"/>
      <c r="F240" s="3"/>
      <c r="H240" s="12"/>
      <c r="K240" s="12"/>
    </row>
    <row r="241" spans="1:11" x14ac:dyDescent="0.25">
      <c r="A241" s="19"/>
      <c r="B241" s="27"/>
      <c r="D241" s="20"/>
      <c r="F241" s="3"/>
      <c r="H241" s="12"/>
      <c r="K241" s="12"/>
    </row>
    <row r="242" spans="1:11" x14ac:dyDescent="0.25">
      <c r="A242" s="19"/>
      <c r="B242" s="27"/>
      <c r="D242" s="20"/>
      <c r="F242" s="3"/>
      <c r="H242" s="12"/>
      <c r="K242" s="12"/>
    </row>
    <row r="243" spans="1:11" x14ac:dyDescent="0.25">
      <c r="A243" s="19"/>
      <c r="B243" s="27"/>
      <c r="D243" s="20"/>
      <c r="F243" s="3"/>
      <c r="H243" s="12"/>
      <c r="K243" s="12"/>
    </row>
    <row r="244" spans="1:11" x14ac:dyDescent="0.25">
      <c r="A244" s="19"/>
      <c r="B244" s="27"/>
      <c r="D244" s="20"/>
      <c r="F244" s="3"/>
      <c r="H244" s="12"/>
      <c r="K244" s="12"/>
    </row>
    <row r="245" spans="1:11" x14ac:dyDescent="0.25">
      <c r="A245" s="23"/>
      <c r="B245" s="24"/>
      <c r="D245" s="20"/>
      <c r="F245" s="3"/>
      <c r="H245" s="12"/>
      <c r="K245" s="12"/>
    </row>
    <row r="246" spans="1:11" x14ac:dyDescent="0.25">
      <c r="A246" s="19"/>
      <c r="B246" s="27"/>
      <c r="D246" s="20"/>
      <c r="F246" s="3"/>
      <c r="H246" s="12"/>
      <c r="K246" s="12"/>
    </row>
    <row r="247" spans="1:11" x14ac:dyDescent="0.25">
      <c r="A247" s="19"/>
      <c r="B247" s="27"/>
      <c r="D247" s="20"/>
      <c r="F247" s="3"/>
      <c r="H247" s="12"/>
      <c r="K247" s="12"/>
    </row>
    <row r="248" spans="1:11" x14ac:dyDescent="0.25">
      <c r="A248" s="19"/>
      <c r="B248" s="27"/>
      <c r="D248" s="20"/>
      <c r="F248" s="3"/>
      <c r="H248" s="12"/>
      <c r="K248" s="12"/>
    </row>
    <row r="249" spans="1:11" x14ac:dyDescent="0.25">
      <c r="A249" s="19"/>
      <c r="B249" s="27"/>
      <c r="D249" s="20"/>
      <c r="F249" s="3"/>
      <c r="H249" s="12"/>
      <c r="K249" s="12"/>
    </row>
    <row r="250" spans="1:11" x14ac:dyDescent="0.25">
      <c r="A250" s="19"/>
      <c r="B250" s="27"/>
      <c r="D250" s="20"/>
      <c r="F250" s="3"/>
      <c r="H250" s="12"/>
      <c r="K250" s="12"/>
    </row>
    <row r="251" spans="1:11" x14ac:dyDescent="0.25">
      <c r="A251" s="19"/>
      <c r="B251" s="27"/>
      <c r="D251" s="20"/>
      <c r="F251" s="3"/>
      <c r="H251" s="12"/>
      <c r="K251" s="12"/>
    </row>
    <row r="252" spans="1:11" x14ac:dyDescent="0.25">
      <c r="A252" s="19"/>
      <c r="B252" s="18"/>
      <c r="D252" s="18"/>
      <c r="F252" s="3"/>
      <c r="H252" s="12"/>
      <c r="K252" s="12"/>
    </row>
    <row r="253" spans="1:11" x14ac:dyDescent="0.25">
      <c r="A253" s="25"/>
      <c r="B253" s="18"/>
      <c r="D253" s="18"/>
      <c r="F253" s="3"/>
      <c r="H253" s="12"/>
      <c r="K253" s="12"/>
    </row>
    <row r="254" spans="1:11" x14ac:dyDescent="0.25">
      <c r="A254" s="19"/>
      <c r="B254" s="18"/>
      <c r="D254" s="18"/>
      <c r="F254" s="3"/>
      <c r="H254" s="12"/>
      <c r="K254" s="12"/>
    </row>
    <row r="255" spans="1:11" x14ac:dyDescent="0.25">
      <c r="A255" s="25"/>
      <c r="B255" s="26"/>
      <c r="D255" s="26"/>
      <c r="F255" s="3"/>
      <c r="H255" s="12"/>
      <c r="K255" s="12"/>
    </row>
    <row r="256" spans="1:11" x14ac:dyDescent="0.25">
      <c r="A256" s="25"/>
      <c r="B256" s="26"/>
      <c r="D256" s="26"/>
      <c r="F256" s="3"/>
      <c r="H256" s="12"/>
      <c r="K256" s="12"/>
    </row>
    <row r="257" spans="1:11" x14ac:dyDescent="0.25">
      <c r="A257" s="25"/>
      <c r="B257" s="26"/>
      <c r="D257" s="26"/>
      <c r="F257" s="3"/>
      <c r="H257" s="12"/>
      <c r="K257" s="12"/>
    </row>
    <row r="258" spans="1:11" x14ac:dyDescent="0.25">
      <c r="A258" s="25"/>
      <c r="B258" s="26"/>
      <c r="D258" s="26"/>
      <c r="F258" s="3"/>
      <c r="H258" s="12"/>
      <c r="K258" s="12"/>
    </row>
    <row r="259" spans="1:11" x14ac:dyDescent="0.25">
      <c r="A259" s="25"/>
      <c r="B259" s="26"/>
      <c r="D259" s="26"/>
      <c r="F259" s="3"/>
      <c r="H259" s="12"/>
      <c r="K259" s="12"/>
    </row>
    <row r="260" spans="1:11" x14ac:dyDescent="0.25">
      <c r="A260" s="25"/>
      <c r="B260" s="26"/>
      <c r="D260" s="26"/>
      <c r="F260" s="3"/>
      <c r="H260" s="12"/>
      <c r="K260" s="12"/>
    </row>
    <row r="261" spans="1:11" x14ac:dyDescent="0.25">
      <c r="A261" s="25"/>
      <c r="B261" s="26"/>
      <c r="C261" s="160"/>
      <c r="F261" s="3"/>
      <c r="H261" s="12"/>
    </row>
    <row r="262" spans="1:11" x14ac:dyDescent="0.25">
      <c r="A262" s="25"/>
      <c r="B262" s="26"/>
      <c r="C262" s="160"/>
      <c r="F262" s="3"/>
      <c r="H262" s="12"/>
    </row>
    <row r="263" spans="1:11" x14ac:dyDescent="0.25">
      <c r="A263" s="25"/>
      <c r="B263" s="26"/>
      <c r="C263" s="160"/>
    </row>
    <row r="264" spans="1:11" x14ac:dyDescent="0.25">
      <c r="A264" s="25"/>
      <c r="B264" s="26"/>
      <c r="C264" s="160"/>
    </row>
    <row r="265" spans="1:11" x14ac:dyDescent="0.25">
      <c r="A265" s="25"/>
      <c r="B265" s="26"/>
      <c r="C265" s="160"/>
    </row>
    <row r="266" spans="1:11" x14ac:dyDescent="0.25">
      <c r="A266" s="25"/>
      <c r="B266" s="26"/>
      <c r="C266" s="160"/>
    </row>
    <row r="267" spans="1:11" x14ac:dyDescent="0.25">
      <c r="A267" s="25"/>
      <c r="B267" s="26"/>
      <c r="C267" s="160"/>
    </row>
    <row r="268" spans="1:11" x14ac:dyDescent="0.25">
      <c r="A268" s="25"/>
      <c r="B268" s="26"/>
      <c r="C268" s="160"/>
    </row>
  </sheetData>
  <pageMargins left="0.7" right="0.7" top="0.75" bottom="0.75" header="0.3" footer="0.3"/>
  <pageSetup orientation="portrait" r:id="rId1"/>
  <drawing r:id="rId2"/>
  <legacyDrawing r:id="rId3"/>
  <controls>
    <mc:AlternateContent xmlns:mc="http://schemas.openxmlformats.org/markup-compatibility/2006">
      <mc:Choice Requires="x14">
        <control shapeId="12294" r:id="rId4" name="cmbGetParm">
          <controlPr defaultSize="0" autoLine="0" r:id="rId5">
            <anchor moveWithCells="1">
              <from>
                <xdr:col>5</xdr:col>
                <xdr:colOff>66675</xdr:colOff>
                <xdr:row>0</xdr:row>
                <xdr:rowOff>228600</xdr:rowOff>
              </from>
              <to>
                <xdr:col>6</xdr:col>
                <xdr:colOff>495300</xdr:colOff>
                <xdr:row>1</xdr:row>
                <xdr:rowOff>238125</xdr:rowOff>
              </to>
            </anchor>
          </controlPr>
        </control>
      </mc:Choice>
      <mc:Fallback>
        <control shapeId="12294" r:id="rId4" name="cmbGetParm"/>
      </mc:Fallback>
    </mc:AlternateContent>
    <mc:AlternateContent xmlns:mc="http://schemas.openxmlformats.org/markup-compatibility/2006">
      <mc:Choice Requires="x14">
        <control shapeId="12293" r:id="rId6" name="cmbBoxParm">
          <controlPr defaultSize="0" autoLine="0" linkedCell="B2" r:id="rId7">
            <anchor moveWithCells="1">
              <from>
                <xdr:col>1</xdr:col>
                <xdr:colOff>19050</xdr:colOff>
                <xdr:row>1</xdr:row>
                <xdr:rowOff>19050</xdr:rowOff>
              </from>
              <to>
                <xdr:col>3</xdr:col>
                <xdr:colOff>66675</xdr:colOff>
                <xdr:row>2</xdr:row>
                <xdr:rowOff>9525</xdr:rowOff>
              </to>
            </anchor>
          </controlPr>
        </control>
      </mc:Choice>
      <mc:Fallback>
        <control shapeId="12293" r:id="rId6" name="cmbBoxParm"/>
      </mc:Fallback>
    </mc:AlternateContent>
    <mc:AlternateContent xmlns:mc="http://schemas.openxmlformats.org/markup-compatibility/2006">
      <mc:Choice Requires="x14">
        <control shapeId="12290" r:id="rId8" name="cmdWriteParm">
          <controlPr defaultSize="0" autoLine="0" r:id="rId9">
            <anchor moveWithCells="1">
              <from>
                <xdr:col>8</xdr:col>
                <xdr:colOff>447675</xdr:colOff>
                <xdr:row>0</xdr:row>
                <xdr:rowOff>228600</xdr:rowOff>
              </from>
              <to>
                <xdr:col>10</xdr:col>
                <xdr:colOff>314325</xdr:colOff>
                <xdr:row>1</xdr:row>
                <xdr:rowOff>238125</xdr:rowOff>
              </to>
            </anchor>
          </controlPr>
        </control>
      </mc:Choice>
      <mc:Fallback>
        <control shapeId="12290" r:id="rId8" name="cmdWriteParm"/>
      </mc:Fallback>
    </mc:AlternateContent>
    <mc:AlternateContent xmlns:mc="http://schemas.openxmlformats.org/markup-compatibility/2006">
      <mc:Choice Requires="x14">
        <control shapeId="12289" r:id="rId10" name="cmdReadParm">
          <controlPr defaultSize="0" autoLine="0" r:id="rId11">
            <anchor moveWithCells="1">
              <from>
                <xdr:col>6</xdr:col>
                <xdr:colOff>552450</xdr:colOff>
                <xdr:row>0</xdr:row>
                <xdr:rowOff>228600</xdr:rowOff>
              </from>
              <to>
                <xdr:col>8</xdr:col>
                <xdr:colOff>428625</xdr:colOff>
                <xdr:row>1</xdr:row>
                <xdr:rowOff>238125</xdr:rowOff>
              </to>
            </anchor>
          </controlPr>
        </control>
      </mc:Choice>
      <mc:Fallback>
        <control shapeId="12289" r:id="rId10" name="cmdReadParm"/>
      </mc:Fallback>
    </mc:AlternateContent>
    <mc:AlternateContent xmlns:mc="http://schemas.openxmlformats.org/markup-compatibility/2006">
      <mc:Choice Requires="x14">
        <control shapeId="12291" r:id="rId12" name="cmdRun">
          <controlPr defaultSize="0" autoLine="0" r:id="rId13">
            <anchor moveWithCells="1">
              <from>
                <xdr:col>10</xdr:col>
                <xdr:colOff>371475</xdr:colOff>
                <xdr:row>0</xdr:row>
                <xdr:rowOff>228600</xdr:rowOff>
              </from>
              <to>
                <xdr:col>12</xdr:col>
                <xdr:colOff>238125</xdr:colOff>
                <xdr:row>1</xdr:row>
                <xdr:rowOff>238125</xdr:rowOff>
              </to>
            </anchor>
          </controlPr>
        </control>
      </mc:Choice>
      <mc:Fallback>
        <control shapeId="12291" r:id="rId12" name="cmdRu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G226"/>
  <sheetViews>
    <sheetView workbookViewId="0">
      <pane xSplit="13" ySplit="5" topLeftCell="N78" activePane="bottomRight" state="frozen"/>
      <selection pane="topRight" activeCell="N1" sqref="N1"/>
      <selection pane="bottomLeft" activeCell="A6" sqref="A6"/>
      <selection pane="bottomRight" activeCell="U98" sqref="U98"/>
    </sheetView>
  </sheetViews>
  <sheetFormatPr defaultRowHeight="15" x14ac:dyDescent="0.25"/>
  <cols>
    <col min="1" max="1" width="12.42578125" customWidth="1"/>
    <col min="2" max="2" width="12.7109375" customWidth="1"/>
    <col min="3" max="3" width="7.28515625" customWidth="1"/>
    <col min="10" max="10" width="9.140625" style="29"/>
    <col min="11" max="25" width="9.140625" style="130"/>
    <col min="26" max="26" width="9.140625" style="149"/>
    <col min="27" max="32" width="9.140625" style="130"/>
    <col min="33" max="33" width="29.7109375" bestFit="1" customWidth="1"/>
  </cols>
  <sheetData>
    <row r="1" spans="1:33" ht="25.35" customHeight="1" x14ac:dyDescent="0.25">
      <c r="A1" s="129" t="s">
        <v>1139</v>
      </c>
      <c r="J1"/>
      <c r="K1"/>
      <c r="L1"/>
      <c r="M1"/>
      <c r="N1"/>
      <c r="O1"/>
      <c r="P1"/>
      <c r="Q1"/>
      <c r="R1"/>
      <c r="S1"/>
      <c r="T1"/>
      <c r="U1"/>
      <c r="V1"/>
      <c r="W1"/>
      <c r="X1"/>
      <c r="Y1"/>
      <c r="Z1"/>
      <c r="AA1"/>
      <c r="AB1"/>
      <c r="AC1"/>
      <c r="AD1"/>
      <c r="AE1"/>
      <c r="AF1"/>
    </row>
    <row r="2" spans="1:33" ht="19.899999999999999" customHeight="1" x14ac:dyDescent="0.25">
      <c r="A2" s="32" t="s">
        <v>1033</v>
      </c>
      <c r="B2" s="114" t="s">
        <v>2266</v>
      </c>
      <c r="C2" s="114"/>
      <c r="D2" s="32"/>
      <c r="E2" s="115"/>
      <c r="J2"/>
      <c r="K2"/>
      <c r="L2"/>
      <c r="M2"/>
      <c r="N2"/>
      <c r="O2"/>
      <c r="P2"/>
      <c r="Q2"/>
      <c r="R2"/>
      <c r="S2"/>
      <c r="T2"/>
      <c r="U2"/>
      <c r="V2"/>
      <c r="W2"/>
      <c r="X2"/>
      <c r="Y2"/>
      <c r="Z2"/>
      <c r="AA2"/>
      <c r="AB2"/>
      <c r="AC2"/>
      <c r="AD2"/>
      <c r="AE2"/>
      <c r="AF2"/>
    </row>
    <row r="3" spans="1:33" ht="15.6" customHeight="1" x14ac:dyDescent="0.25">
      <c r="A3" s="123" t="s">
        <v>984</v>
      </c>
      <c r="B3" s="124"/>
      <c r="C3" s="125" t="s">
        <v>985</v>
      </c>
      <c r="D3" s="114"/>
      <c r="J3"/>
      <c r="K3"/>
      <c r="L3"/>
      <c r="M3"/>
      <c r="N3"/>
      <c r="O3"/>
      <c r="P3"/>
      <c r="Q3"/>
      <c r="R3"/>
      <c r="S3"/>
      <c r="T3"/>
      <c r="U3"/>
      <c r="V3"/>
      <c r="W3"/>
      <c r="X3"/>
      <c r="Y3"/>
      <c r="Z3"/>
      <c r="AA3"/>
      <c r="AB3"/>
      <c r="AC3"/>
      <c r="AD3"/>
      <c r="AE3"/>
      <c r="AF3"/>
    </row>
    <row r="4" spans="1:33" s="5" customFormat="1" ht="12" x14ac:dyDescent="0.2">
      <c r="A4" s="201" t="s">
        <v>109</v>
      </c>
      <c r="B4" s="201" t="s">
        <v>1076</v>
      </c>
      <c r="C4" s="201"/>
      <c r="D4" s="5">
        <v>1</v>
      </c>
      <c r="E4" s="5">
        <v>2</v>
      </c>
      <c r="F4" s="5">
        <v>3</v>
      </c>
      <c r="G4" s="5">
        <v>4</v>
      </c>
      <c r="H4" s="5">
        <v>5</v>
      </c>
      <c r="I4" s="5">
        <v>6</v>
      </c>
      <c r="J4" s="5">
        <v>7</v>
      </c>
      <c r="K4" s="5">
        <v>8</v>
      </c>
      <c r="L4" s="5">
        <v>9</v>
      </c>
      <c r="M4" s="5">
        <v>10</v>
      </c>
      <c r="N4" s="5">
        <v>11</v>
      </c>
      <c r="O4" s="5">
        <v>12</v>
      </c>
      <c r="P4" s="5">
        <v>13</v>
      </c>
      <c r="Q4" s="5">
        <v>14</v>
      </c>
      <c r="R4" s="5">
        <v>15</v>
      </c>
      <c r="S4" s="5">
        <v>16</v>
      </c>
      <c r="T4" s="5">
        <v>17</v>
      </c>
      <c r="U4" s="5">
        <v>18</v>
      </c>
      <c r="V4" s="5">
        <v>19</v>
      </c>
      <c r="W4" s="5">
        <v>20</v>
      </c>
      <c r="X4" s="5">
        <v>21</v>
      </c>
      <c r="Y4" s="5">
        <v>22</v>
      </c>
      <c r="Z4" s="5">
        <v>23</v>
      </c>
      <c r="AA4" s="5">
        <v>24</v>
      </c>
      <c r="AB4" s="5">
        <v>25</v>
      </c>
      <c r="AC4" s="5">
        <v>26</v>
      </c>
      <c r="AD4" s="5">
        <v>27</v>
      </c>
      <c r="AE4" s="5">
        <v>28</v>
      </c>
      <c r="AF4" s="5">
        <v>29</v>
      </c>
      <c r="AG4" s="5">
        <v>30</v>
      </c>
    </row>
    <row r="5" spans="1:33" s="8" customFormat="1" x14ac:dyDescent="0.25">
      <c r="A5" s="8" t="s">
        <v>110</v>
      </c>
      <c r="B5" s="8" t="s">
        <v>111</v>
      </c>
      <c r="C5" s="8" t="s">
        <v>112</v>
      </c>
      <c r="D5" s="8" t="s">
        <v>113</v>
      </c>
      <c r="E5" s="8" t="s">
        <v>114</v>
      </c>
      <c r="F5" s="8" t="s">
        <v>115</v>
      </c>
      <c r="G5" s="8" t="s">
        <v>116</v>
      </c>
      <c r="H5" s="8" t="s">
        <v>117</v>
      </c>
      <c r="I5" s="8" t="s">
        <v>118</v>
      </c>
      <c r="J5" s="8" t="s">
        <v>119</v>
      </c>
      <c r="K5" s="8" t="s">
        <v>120</v>
      </c>
      <c r="L5" s="8" t="s">
        <v>121</v>
      </c>
      <c r="M5" s="8" t="s">
        <v>122</v>
      </c>
      <c r="N5" s="8" t="s">
        <v>123</v>
      </c>
      <c r="O5" s="8" t="s">
        <v>124</v>
      </c>
      <c r="P5" s="8" t="s">
        <v>125</v>
      </c>
      <c r="Q5" s="8" t="s">
        <v>126</v>
      </c>
      <c r="R5" s="8" t="s">
        <v>127</v>
      </c>
      <c r="S5" s="8" t="s">
        <v>128</v>
      </c>
      <c r="T5" s="8" t="s">
        <v>129</v>
      </c>
      <c r="U5" s="8" t="s">
        <v>130</v>
      </c>
      <c r="V5" s="8" t="s">
        <v>131</v>
      </c>
      <c r="W5" s="8" t="s">
        <v>132</v>
      </c>
      <c r="X5" s="8" t="s">
        <v>133</v>
      </c>
      <c r="Y5" s="8" t="s">
        <v>134</v>
      </c>
      <c r="Z5" s="8" t="s">
        <v>135</v>
      </c>
      <c r="AA5" s="8" t="s">
        <v>136</v>
      </c>
      <c r="AB5" s="8" t="s">
        <v>137</v>
      </c>
      <c r="AC5" s="8" t="s">
        <v>138</v>
      </c>
      <c r="AD5" s="8" t="s">
        <v>139</v>
      </c>
      <c r="AE5" s="8" t="s">
        <v>140</v>
      </c>
      <c r="AF5" s="8" t="s">
        <v>141</v>
      </c>
      <c r="AG5" s="8" t="s">
        <v>142</v>
      </c>
    </row>
    <row r="6" spans="1:33" x14ac:dyDescent="0.25">
      <c r="A6">
        <v>1</v>
      </c>
      <c r="B6" t="s">
        <v>1606</v>
      </c>
      <c r="C6" t="s">
        <v>1607</v>
      </c>
      <c r="D6">
        <v>16237</v>
      </c>
      <c r="E6">
        <v>17861</v>
      </c>
      <c r="F6">
        <v>320</v>
      </c>
      <c r="G6">
        <v>12000</v>
      </c>
      <c r="H6">
        <v>30</v>
      </c>
      <c r="I6">
        <v>0.3</v>
      </c>
      <c r="J6" s="29">
        <v>0</v>
      </c>
      <c r="K6" s="130">
        <v>7.0000000000000001E-3</v>
      </c>
      <c r="L6" s="130">
        <v>2</v>
      </c>
      <c r="M6" s="130">
        <v>0.1</v>
      </c>
      <c r="N6" s="130">
        <v>0.68</v>
      </c>
      <c r="O6" s="130">
        <v>0.68</v>
      </c>
      <c r="P6" s="130">
        <v>0.92</v>
      </c>
      <c r="Q6" s="130">
        <v>0</v>
      </c>
      <c r="R6" s="130">
        <v>0</v>
      </c>
      <c r="S6" s="130">
        <v>0</v>
      </c>
      <c r="T6" s="130">
        <v>0</v>
      </c>
      <c r="U6" s="130">
        <v>0</v>
      </c>
      <c r="V6" s="130">
        <v>0</v>
      </c>
      <c r="W6" s="130">
        <v>0</v>
      </c>
      <c r="X6" s="130">
        <v>0</v>
      </c>
      <c r="Y6" s="130">
        <v>0</v>
      </c>
      <c r="Z6" s="149">
        <v>4</v>
      </c>
      <c r="AA6" s="130">
        <v>0</v>
      </c>
      <c r="AB6" s="130">
        <v>0</v>
      </c>
      <c r="AC6" s="130">
        <v>0</v>
      </c>
      <c r="AD6" s="130">
        <v>0</v>
      </c>
      <c r="AE6" s="130">
        <v>0</v>
      </c>
      <c r="AF6" s="130">
        <v>10</v>
      </c>
      <c r="AG6" t="s">
        <v>1608</v>
      </c>
    </row>
    <row r="7" spans="1:33" x14ac:dyDescent="0.25">
      <c r="A7">
        <v>2</v>
      </c>
      <c r="B7" t="s">
        <v>1609</v>
      </c>
      <c r="C7" t="s">
        <v>1607</v>
      </c>
      <c r="D7">
        <v>16600</v>
      </c>
      <c r="E7">
        <v>18260</v>
      </c>
      <c r="F7">
        <v>320</v>
      </c>
      <c r="G7">
        <v>12000</v>
      </c>
      <c r="H7">
        <v>30</v>
      </c>
      <c r="I7">
        <v>0.3</v>
      </c>
      <c r="J7" s="29">
        <v>0</v>
      </c>
      <c r="K7" s="130">
        <v>7.0000000000000001E-3</v>
      </c>
      <c r="L7" s="130">
        <v>2</v>
      </c>
      <c r="M7" s="130">
        <v>0.1</v>
      </c>
      <c r="N7" s="130">
        <v>0.53</v>
      </c>
      <c r="O7" s="130">
        <v>0.68</v>
      </c>
      <c r="P7" s="130">
        <v>0.92</v>
      </c>
      <c r="Q7" s="130">
        <v>0</v>
      </c>
      <c r="R7" s="130">
        <v>0</v>
      </c>
      <c r="S7" s="130">
        <v>0</v>
      </c>
      <c r="T7" s="130">
        <v>0</v>
      </c>
      <c r="U7" s="130">
        <v>0</v>
      </c>
      <c r="V7" s="130">
        <v>0</v>
      </c>
      <c r="W7" s="130">
        <v>0</v>
      </c>
      <c r="X7" s="130">
        <v>0</v>
      </c>
      <c r="Y7" s="130">
        <v>0</v>
      </c>
      <c r="Z7" s="149">
        <v>4</v>
      </c>
      <c r="AA7" s="130">
        <v>0</v>
      </c>
      <c r="AB7" s="130">
        <v>0</v>
      </c>
      <c r="AC7" s="130">
        <v>0</v>
      </c>
      <c r="AD7" s="130">
        <v>0</v>
      </c>
      <c r="AE7" s="130">
        <v>0</v>
      </c>
      <c r="AF7" s="130">
        <v>10</v>
      </c>
      <c r="AG7" t="s">
        <v>1610</v>
      </c>
    </row>
    <row r="8" spans="1:33" x14ac:dyDescent="0.25">
      <c r="A8">
        <v>3</v>
      </c>
      <c r="B8" t="s">
        <v>1611</v>
      </c>
      <c r="C8" t="s">
        <v>1607</v>
      </c>
      <c r="D8">
        <v>16600</v>
      </c>
      <c r="E8">
        <v>18260</v>
      </c>
      <c r="F8">
        <v>320</v>
      </c>
      <c r="G8">
        <v>12000</v>
      </c>
      <c r="H8">
        <v>30</v>
      </c>
      <c r="I8">
        <v>0.3</v>
      </c>
      <c r="J8" s="29">
        <v>0</v>
      </c>
      <c r="K8" s="130">
        <v>7.0000000000000001E-3</v>
      </c>
      <c r="L8" s="130">
        <v>2</v>
      </c>
      <c r="M8" s="130">
        <v>0.1</v>
      </c>
      <c r="N8" s="130">
        <v>0.42</v>
      </c>
      <c r="O8" s="130">
        <v>0.68</v>
      </c>
      <c r="P8" s="130">
        <v>0.92</v>
      </c>
      <c r="Q8" s="130">
        <v>0</v>
      </c>
      <c r="R8" s="130">
        <v>0</v>
      </c>
      <c r="S8" s="130">
        <v>0</v>
      </c>
      <c r="T8" s="130">
        <v>0</v>
      </c>
      <c r="U8" s="130">
        <v>0</v>
      </c>
      <c r="V8" s="130">
        <v>0</v>
      </c>
      <c r="W8" s="130">
        <v>0</v>
      </c>
      <c r="X8" s="130">
        <v>0</v>
      </c>
      <c r="Y8" s="130">
        <v>0</v>
      </c>
      <c r="Z8" s="149">
        <v>4</v>
      </c>
      <c r="AA8" s="130">
        <v>0</v>
      </c>
      <c r="AB8" s="130">
        <v>0</v>
      </c>
      <c r="AC8" s="130">
        <v>0</v>
      </c>
      <c r="AD8" s="130">
        <v>0</v>
      </c>
      <c r="AE8" s="130">
        <v>0</v>
      </c>
      <c r="AF8" s="130">
        <v>10</v>
      </c>
      <c r="AG8" t="s">
        <v>1612</v>
      </c>
    </row>
    <row r="9" spans="1:33" x14ac:dyDescent="0.25">
      <c r="A9">
        <v>4</v>
      </c>
      <c r="B9" t="s">
        <v>1613</v>
      </c>
      <c r="C9" t="s">
        <v>1607</v>
      </c>
      <c r="D9">
        <v>22000</v>
      </c>
      <c r="E9">
        <v>24200</v>
      </c>
      <c r="F9">
        <v>340</v>
      </c>
      <c r="G9">
        <v>12000</v>
      </c>
      <c r="H9">
        <v>41</v>
      </c>
      <c r="I9">
        <v>0.3</v>
      </c>
      <c r="J9" s="29">
        <v>0</v>
      </c>
      <c r="K9" s="130">
        <v>7.0000000000000001E-3</v>
      </c>
      <c r="L9" s="130">
        <v>2</v>
      </c>
      <c r="M9" s="130">
        <v>0.1</v>
      </c>
      <c r="N9" s="130">
        <v>0.68</v>
      </c>
      <c r="O9" s="130">
        <v>0.68</v>
      </c>
      <c r="P9" s="130">
        <v>0.92</v>
      </c>
      <c r="Q9" s="130">
        <v>0</v>
      </c>
      <c r="R9" s="130">
        <v>0</v>
      </c>
      <c r="S9" s="130">
        <v>0</v>
      </c>
      <c r="T9" s="130">
        <v>0</v>
      </c>
      <c r="U9" s="130">
        <v>0</v>
      </c>
      <c r="V9" s="130">
        <v>0</v>
      </c>
      <c r="W9" s="130">
        <v>0</v>
      </c>
      <c r="X9" s="130">
        <v>0</v>
      </c>
      <c r="Y9" s="130">
        <v>0</v>
      </c>
      <c r="Z9" s="149">
        <v>4</v>
      </c>
      <c r="AA9" s="130">
        <v>0</v>
      </c>
      <c r="AB9" s="130">
        <v>0</v>
      </c>
      <c r="AC9" s="130">
        <v>0</v>
      </c>
      <c r="AD9" s="130">
        <v>0</v>
      </c>
      <c r="AE9" s="130">
        <v>0</v>
      </c>
      <c r="AF9" s="130">
        <v>10</v>
      </c>
      <c r="AG9" t="s">
        <v>1614</v>
      </c>
    </row>
    <row r="10" spans="1:33" x14ac:dyDescent="0.25">
      <c r="A10">
        <v>5</v>
      </c>
      <c r="B10" t="s">
        <v>1615</v>
      </c>
      <c r="C10" t="s">
        <v>1607</v>
      </c>
      <c r="D10">
        <v>22000</v>
      </c>
      <c r="E10">
        <v>24200</v>
      </c>
      <c r="F10">
        <v>340</v>
      </c>
      <c r="G10">
        <v>12000</v>
      </c>
      <c r="H10">
        <v>41</v>
      </c>
      <c r="I10">
        <v>0.3</v>
      </c>
      <c r="J10" s="29">
        <v>0</v>
      </c>
      <c r="K10" s="130">
        <v>7.0000000000000001E-3</v>
      </c>
      <c r="L10" s="130">
        <v>2</v>
      </c>
      <c r="M10" s="130">
        <v>0.1</v>
      </c>
      <c r="N10" s="130">
        <v>0.53</v>
      </c>
      <c r="O10" s="130">
        <v>0.68</v>
      </c>
      <c r="P10" s="130">
        <v>0.92</v>
      </c>
      <c r="Q10" s="130">
        <v>0</v>
      </c>
      <c r="R10" s="130">
        <v>0</v>
      </c>
      <c r="S10" s="130">
        <v>0</v>
      </c>
      <c r="T10" s="130">
        <v>0</v>
      </c>
      <c r="U10" s="130">
        <v>0</v>
      </c>
      <c r="V10" s="130">
        <v>0</v>
      </c>
      <c r="W10" s="130">
        <v>0</v>
      </c>
      <c r="X10" s="130">
        <v>0</v>
      </c>
      <c r="Y10" s="130">
        <v>0</v>
      </c>
      <c r="Z10" s="149">
        <v>4</v>
      </c>
      <c r="AA10" s="130">
        <v>0</v>
      </c>
      <c r="AB10" s="130">
        <v>0</v>
      </c>
      <c r="AC10" s="130">
        <v>0</v>
      </c>
      <c r="AD10" s="130">
        <v>0</v>
      </c>
      <c r="AE10" s="130">
        <v>0</v>
      </c>
      <c r="AF10" s="130">
        <v>10</v>
      </c>
      <c r="AG10" t="s">
        <v>1616</v>
      </c>
    </row>
    <row r="11" spans="1:33" x14ac:dyDescent="0.25">
      <c r="A11">
        <v>6</v>
      </c>
      <c r="B11" t="s">
        <v>1617</v>
      </c>
      <c r="C11" t="s">
        <v>1607</v>
      </c>
      <c r="D11">
        <v>22000</v>
      </c>
      <c r="E11">
        <v>24200</v>
      </c>
      <c r="F11">
        <v>340</v>
      </c>
      <c r="G11">
        <v>12000</v>
      </c>
      <c r="H11">
        <v>41</v>
      </c>
      <c r="I11">
        <v>0.3</v>
      </c>
      <c r="J11" s="29">
        <v>0</v>
      </c>
      <c r="K11" s="130">
        <v>7.0000000000000001E-3</v>
      </c>
      <c r="L11" s="130">
        <v>2</v>
      </c>
      <c r="M11" s="130">
        <v>0.1</v>
      </c>
      <c r="N11" s="130">
        <v>0.42</v>
      </c>
      <c r="O11" s="130">
        <v>0.68</v>
      </c>
      <c r="P11" s="130">
        <v>0.92</v>
      </c>
      <c r="Q11" s="130">
        <v>0</v>
      </c>
      <c r="R11" s="130">
        <v>0</v>
      </c>
      <c r="S11" s="130">
        <v>0</v>
      </c>
      <c r="T11" s="130">
        <v>0</v>
      </c>
      <c r="U11" s="130">
        <v>0</v>
      </c>
      <c r="V11" s="130">
        <v>0</v>
      </c>
      <c r="W11" s="130">
        <v>0</v>
      </c>
      <c r="X11" s="130">
        <v>0</v>
      </c>
      <c r="Y11" s="130">
        <v>0</v>
      </c>
      <c r="Z11" s="149">
        <v>4</v>
      </c>
      <c r="AA11" s="130">
        <v>0</v>
      </c>
      <c r="AB11" s="130">
        <v>0</v>
      </c>
      <c r="AC11" s="130">
        <v>0</v>
      </c>
      <c r="AD11" s="130">
        <v>0</v>
      </c>
      <c r="AE11" s="130">
        <v>0</v>
      </c>
      <c r="AF11" s="130">
        <v>10</v>
      </c>
      <c r="AG11" t="s">
        <v>1618</v>
      </c>
    </row>
    <row r="12" spans="1:33" x14ac:dyDescent="0.25">
      <c r="A12">
        <v>7</v>
      </c>
      <c r="B12" t="s">
        <v>1619</v>
      </c>
      <c r="C12" t="s">
        <v>1607</v>
      </c>
      <c r="D12">
        <v>34200</v>
      </c>
      <c r="E12">
        <v>37620</v>
      </c>
      <c r="F12">
        <v>550</v>
      </c>
      <c r="G12">
        <v>12000</v>
      </c>
      <c r="H12">
        <v>63</v>
      </c>
      <c r="I12">
        <v>0.3</v>
      </c>
      <c r="J12" s="29">
        <v>0</v>
      </c>
      <c r="K12" s="130">
        <v>7.0000000000000001E-3</v>
      </c>
      <c r="L12" s="130">
        <v>2</v>
      </c>
      <c r="M12" s="130">
        <v>0.1</v>
      </c>
      <c r="N12" s="130">
        <v>0.68</v>
      </c>
      <c r="O12" s="130">
        <v>0.68</v>
      </c>
      <c r="P12" s="130">
        <v>0.92</v>
      </c>
      <c r="Q12" s="130">
        <v>0</v>
      </c>
      <c r="R12" s="130">
        <v>0</v>
      </c>
      <c r="S12" s="130">
        <v>0</v>
      </c>
      <c r="T12" s="130">
        <v>0</v>
      </c>
      <c r="U12" s="130">
        <v>0</v>
      </c>
      <c r="V12" s="130">
        <v>0</v>
      </c>
      <c r="W12" s="130">
        <v>0</v>
      </c>
      <c r="X12" s="130">
        <v>0</v>
      </c>
      <c r="Y12" s="130">
        <v>0</v>
      </c>
      <c r="Z12" s="149">
        <v>4</v>
      </c>
      <c r="AA12" s="130">
        <v>0</v>
      </c>
      <c r="AB12" s="130">
        <v>0</v>
      </c>
      <c r="AC12" s="130">
        <v>0</v>
      </c>
      <c r="AD12" s="130">
        <v>0</v>
      </c>
      <c r="AE12" s="130">
        <v>0</v>
      </c>
      <c r="AF12" s="130">
        <v>10</v>
      </c>
      <c r="AG12" t="s">
        <v>1620</v>
      </c>
    </row>
    <row r="13" spans="1:33" x14ac:dyDescent="0.25">
      <c r="A13">
        <v>8</v>
      </c>
      <c r="B13" t="s">
        <v>1621</v>
      </c>
      <c r="C13" t="s">
        <v>1607</v>
      </c>
      <c r="D13">
        <v>34200</v>
      </c>
      <c r="E13">
        <v>37620</v>
      </c>
      <c r="F13">
        <v>550</v>
      </c>
      <c r="G13">
        <v>12000</v>
      </c>
      <c r="H13">
        <v>63</v>
      </c>
      <c r="I13">
        <v>0.3</v>
      </c>
      <c r="J13" s="29">
        <v>0</v>
      </c>
      <c r="K13" s="130">
        <v>7.0000000000000001E-3</v>
      </c>
      <c r="L13" s="130">
        <v>2</v>
      </c>
      <c r="M13" s="130">
        <v>0.1</v>
      </c>
      <c r="N13" s="130">
        <v>0.53</v>
      </c>
      <c r="O13" s="130">
        <v>0.68</v>
      </c>
      <c r="P13" s="130">
        <v>0.92</v>
      </c>
      <c r="Q13" s="130">
        <v>0</v>
      </c>
      <c r="R13" s="130">
        <v>0</v>
      </c>
      <c r="S13" s="130">
        <v>0</v>
      </c>
      <c r="T13" s="130">
        <v>0</v>
      </c>
      <c r="U13" s="130">
        <v>0</v>
      </c>
      <c r="V13" s="130">
        <v>0</v>
      </c>
      <c r="W13" s="130">
        <v>0</v>
      </c>
      <c r="X13" s="130">
        <v>0</v>
      </c>
      <c r="Y13" s="130">
        <v>0</v>
      </c>
      <c r="Z13" s="149">
        <v>4</v>
      </c>
      <c r="AA13" s="130">
        <v>0</v>
      </c>
      <c r="AB13" s="130">
        <v>0</v>
      </c>
      <c r="AC13" s="130">
        <v>0</v>
      </c>
      <c r="AD13" s="130">
        <v>0</v>
      </c>
      <c r="AE13" s="130">
        <v>0</v>
      </c>
      <c r="AF13" s="130">
        <v>10</v>
      </c>
      <c r="AG13" t="s">
        <v>1622</v>
      </c>
    </row>
    <row r="14" spans="1:33" x14ac:dyDescent="0.25">
      <c r="A14">
        <v>9</v>
      </c>
      <c r="B14" t="s">
        <v>1623</v>
      </c>
      <c r="C14" t="s">
        <v>1607</v>
      </c>
      <c r="D14">
        <v>34200</v>
      </c>
      <c r="E14">
        <v>37620</v>
      </c>
      <c r="F14">
        <v>550</v>
      </c>
      <c r="G14">
        <v>12000</v>
      </c>
      <c r="H14">
        <v>63</v>
      </c>
      <c r="I14">
        <v>0.3</v>
      </c>
      <c r="J14" s="29">
        <v>0</v>
      </c>
      <c r="K14" s="130">
        <v>7.0000000000000001E-3</v>
      </c>
      <c r="L14" s="130">
        <v>2</v>
      </c>
      <c r="M14" s="130">
        <v>0.1</v>
      </c>
      <c r="N14" s="130">
        <v>0.42</v>
      </c>
      <c r="O14" s="130">
        <v>0.68</v>
      </c>
      <c r="P14" s="130">
        <v>0.92</v>
      </c>
      <c r="Q14" s="130">
        <v>0</v>
      </c>
      <c r="R14" s="130">
        <v>0</v>
      </c>
      <c r="S14" s="130">
        <v>0</v>
      </c>
      <c r="T14" s="130">
        <v>0</v>
      </c>
      <c r="U14" s="130">
        <v>0</v>
      </c>
      <c r="V14" s="130">
        <v>0</v>
      </c>
      <c r="W14" s="130">
        <v>0</v>
      </c>
      <c r="X14" s="130">
        <v>0</v>
      </c>
      <c r="Y14" s="130">
        <v>0</v>
      </c>
      <c r="Z14" s="149">
        <v>4</v>
      </c>
      <c r="AA14" s="130">
        <v>0</v>
      </c>
      <c r="AB14" s="130">
        <v>0</v>
      </c>
      <c r="AC14" s="130">
        <v>0</v>
      </c>
      <c r="AD14" s="130">
        <v>0</v>
      </c>
      <c r="AE14" s="130">
        <v>0</v>
      </c>
      <c r="AF14" s="130">
        <v>10</v>
      </c>
      <c r="AG14" t="s">
        <v>1624</v>
      </c>
    </row>
    <row r="15" spans="1:33" x14ac:dyDescent="0.25">
      <c r="A15">
        <v>10</v>
      </c>
      <c r="B15" t="s">
        <v>1625</v>
      </c>
      <c r="C15" t="s">
        <v>1607</v>
      </c>
      <c r="D15">
        <v>43400</v>
      </c>
      <c r="E15">
        <v>47740</v>
      </c>
      <c r="F15">
        <v>525</v>
      </c>
      <c r="G15">
        <v>12000</v>
      </c>
      <c r="H15">
        <v>75</v>
      </c>
      <c r="I15">
        <v>0.3</v>
      </c>
      <c r="J15" s="29">
        <v>0</v>
      </c>
      <c r="K15" s="130">
        <v>7.0000000000000001E-3</v>
      </c>
      <c r="L15" s="130">
        <v>2</v>
      </c>
      <c r="M15" s="130">
        <v>0.1</v>
      </c>
      <c r="N15" s="130">
        <v>0.68</v>
      </c>
      <c r="O15" s="130">
        <v>0.68</v>
      </c>
      <c r="P15" s="130">
        <v>0.92</v>
      </c>
      <c r="Q15" s="130">
        <v>0</v>
      </c>
      <c r="R15" s="130">
        <v>0</v>
      </c>
      <c r="S15" s="130">
        <v>0</v>
      </c>
      <c r="T15" s="130">
        <v>0</v>
      </c>
      <c r="U15" s="130">
        <v>0</v>
      </c>
      <c r="V15" s="130">
        <v>0</v>
      </c>
      <c r="W15" s="130">
        <v>0</v>
      </c>
      <c r="X15" s="130">
        <v>0</v>
      </c>
      <c r="Y15" s="130">
        <v>0</v>
      </c>
      <c r="Z15" s="149">
        <v>4</v>
      </c>
      <c r="AA15" s="130">
        <v>0</v>
      </c>
      <c r="AB15" s="130">
        <v>0</v>
      </c>
      <c r="AC15" s="130">
        <v>0</v>
      </c>
      <c r="AD15" s="130">
        <v>0</v>
      </c>
      <c r="AE15" s="130">
        <v>0</v>
      </c>
      <c r="AF15" s="130">
        <v>10</v>
      </c>
      <c r="AG15" t="s">
        <v>1626</v>
      </c>
    </row>
    <row r="16" spans="1:33" x14ac:dyDescent="0.25">
      <c r="A16">
        <v>11</v>
      </c>
      <c r="B16" t="s">
        <v>1627</v>
      </c>
      <c r="C16" t="s">
        <v>1607</v>
      </c>
      <c r="D16">
        <v>2190</v>
      </c>
      <c r="E16">
        <v>2409</v>
      </c>
      <c r="F16">
        <v>900</v>
      </c>
      <c r="G16">
        <v>9000</v>
      </c>
      <c r="H16">
        <v>0</v>
      </c>
      <c r="I16">
        <v>0.3</v>
      </c>
      <c r="J16" s="29">
        <v>3.22</v>
      </c>
      <c r="K16" s="130">
        <v>1</v>
      </c>
      <c r="L16" s="130">
        <v>2E-3</v>
      </c>
      <c r="M16" s="130">
        <v>0.1</v>
      </c>
      <c r="N16" s="130">
        <v>0</v>
      </c>
      <c r="O16" s="130">
        <v>0.6</v>
      </c>
      <c r="P16" s="130">
        <v>0.88500000000000001</v>
      </c>
      <c r="Q16" s="130">
        <v>0.75</v>
      </c>
      <c r="R16" s="130">
        <v>0</v>
      </c>
      <c r="S16" s="130">
        <v>0</v>
      </c>
      <c r="T16" s="130">
        <v>0</v>
      </c>
      <c r="U16" s="130">
        <v>0</v>
      </c>
      <c r="V16" s="130">
        <v>0</v>
      </c>
      <c r="W16" s="130">
        <v>0</v>
      </c>
      <c r="X16" s="130">
        <v>0</v>
      </c>
      <c r="Y16" s="130">
        <v>0</v>
      </c>
      <c r="Z16" s="149">
        <v>4</v>
      </c>
      <c r="AA16" s="130">
        <v>0</v>
      </c>
      <c r="AB16" s="130">
        <v>0</v>
      </c>
      <c r="AC16" s="130">
        <v>0</v>
      </c>
      <c r="AD16" s="130">
        <v>0</v>
      </c>
      <c r="AE16" s="130">
        <v>0</v>
      </c>
      <c r="AF16" s="130">
        <v>10</v>
      </c>
      <c r="AG16" t="s">
        <v>2276</v>
      </c>
    </row>
    <row r="17" spans="1:33" x14ac:dyDescent="0.25">
      <c r="A17">
        <v>12</v>
      </c>
      <c r="B17" t="s">
        <v>1628</v>
      </c>
      <c r="C17" t="s">
        <v>1607</v>
      </c>
      <c r="D17">
        <v>43400</v>
      </c>
      <c r="E17">
        <v>47740</v>
      </c>
      <c r="F17">
        <v>525</v>
      </c>
      <c r="G17">
        <v>12000</v>
      </c>
      <c r="H17">
        <v>75</v>
      </c>
      <c r="I17">
        <v>0.3</v>
      </c>
      <c r="J17" s="29">
        <v>0</v>
      </c>
      <c r="K17" s="130">
        <v>7.0000000000000001E-3</v>
      </c>
      <c r="L17" s="130">
        <v>2</v>
      </c>
      <c r="M17" s="130">
        <v>0.1</v>
      </c>
      <c r="N17" s="130">
        <v>0.42</v>
      </c>
      <c r="O17" s="130">
        <v>0.68</v>
      </c>
      <c r="P17" s="130">
        <v>0.92</v>
      </c>
      <c r="Q17" s="130">
        <v>0</v>
      </c>
      <c r="R17" s="130">
        <v>0</v>
      </c>
      <c r="S17" s="130">
        <v>0</v>
      </c>
      <c r="T17" s="130">
        <v>0</v>
      </c>
      <c r="U17" s="130">
        <v>0</v>
      </c>
      <c r="V17" s="130">
        <v>0</v>
      </c>
      <c r="W17" s="130">
        <v>0</v>
      </c>
      <c r="X17" s="130">
        <v>0</v>
      </c>
      <c r="Y17" s="130">
        <v>0</v>
      </c>
      <c r="Z17" s="149">
        <v>4</v>
      </c>
      <c r="AA17" s="130">
        <v>0</v>
      </c>
      <c r="AB17" s="130">
        <v>0</v>
      </c>
      <c r="AC17" s="130">
        <v>0</v>
      </c>
      <c r="AD17" s="130">
        <v>0</v>
      </c>
      <c r="AE17" s="130">
        <v>0</v>
      </c>
      <c r="AF17" s="130">
        <v>10</v>
      </c>
      <c r="AG17" t="s">
        <v>1629</v>
      </c>
    </row>
    <row r="18" spans="1:33" x14ac:dyDescent="0.25">
      <c r="A18">
        <v>15</v>
      </c>
      <c r="B18" t="s">
        <v>1630</v>
      </c>
      <c r="C18" t="s">
        <v>1607</v>
      </c>
      <c r="D18">
        <v>56288</v>
      </c>
      <c r="E18">
        <v>61916</v>
      </c>
      <c r="F18">
        <v>640</v>
      </c>
      <c r="G18">
        <v>12000</v>
      </c>
      <c r="H18">
        <v>101</v>
      </c>
      <c r="I18">
        <v>0.3</v>
      </c>
      <c r="J18" s="29">
        <v>0</v>
      </c>
      <c r="K18" s="130">
        <v>7.0000000000000001E-3</v>
      </c>
      <c r="L18" s="130">
        <v>2</v>
      </c>
      <c r="M18" s="130">
        <v>0.1</v>
      </c>
      <c r="N18" s="130">
        <v>0.42</v>
      </c>
      <c r="O18" s="130">
        <v>0.68</v>
      </c>
      <c r="P18" s="130">
        <v>0.92</v>
      </c>
      <c r="Q18" s="130">
        <v>0</v>
      </c>
      <c r="R18" s="130">
        <v>0</v>
      </c>
      <c r="S18" s="130">
        <v>0</v>
      </c>
      <c r="T18" s="130">
        <v>0</v>
      </c>
      <c r="U18" s="130">
        <v>0</v>
      </c>
      <c r="V18" s="130">
        <v>0</v>
      </c>
      <c r="W18" s="130">
        <v>0</v>
      </c>
      <c r="X18" s="130">
        <v>0</v>
      </c>
      <c r="Y18" s="130">
        <v>0</v>
      </c>
      <c r="Z18" s="149">
        <v>4</v>
      </c>
      <c r="AA18" s="130">
        <v>0</v>
      </c>
      <c r="AB18" s="130">
        <v>0</v>
      </c>
      <c r="AC18" s="130">
        <v>0</v>
      </c>
      <c r="AD18" s="130">
        <v>0</v>
      </c>
      <c r="AE18" s="130">
        <v>0</v>
      </c>
      <c r="AF18" s="130">
        <v>10</v>
      </c>
      <c r="AG18" t="s">
        <v>1631</v>
      </c>
    </row>
    <row r="19" spans="1:33" x14ac:dyDescent="0.25">
      <c r="A19">
        <v>18</v>
      </c>
      <c r="B19" t="s">
        <v>1632</v>
      </c>
      <c r="C19" t="s">
        <v>1607</v>
      </c>
      <c r="D19">
        <v>71619</v>
      </c>
      <c r="E19">
        <v>78781</v>
      </c>
      <c r="F19">
        <v>660</v>
      </c>
      <c r="G19">
        <v>12000</v>
      </c>
      <c r="H19">
        <v>119</v>
      </c>
      <c r="I19">
        <v>0.3</v>
      </c>
      <c r="J19" s="29">
        <v>0</v>
      </c>
      <c r="K19" s="130">
        <v>7.0000000000000001E-3</v>
      </c>
      <c r="L19" s="130">
        <v>2</v>
      </c>
      <c r="M19" s="130">
        <v>0.1</v>
      </c>
      <c r="N19" s="130">
        <v>0.42</v>
      </c>
      <c r="O19" s="130">
        <v>0.68</v>
      </c>
      <c r="P19" s="130">
        <v>0.92</v>
      </c>
      <c r="Q19" s="130">
        <v>0</v>
      </c>
      <c r="R19" s="130">
        <v>0</v>
      </c>
      <c r="S19" s="130">
        <v>0</v>
      </c>
      <c r="T19" s="130">
        <v>0</v>
      </c>
      <c r="U19" s="130">
        <v>0</v>
      </c>
      <c r="V19" s="130">
        <v>0</v>
      </c>
      <c r="W19" s="130">
        <v>0</v>
      </c>
      <c r="X19" s="130">
        <v>0</v>
      </c>
      <c r="Y19" s="130">
        <v>0</v>
      </c>
      <c r="Z19" s="149">
        <v>4</v>
      </c>
      <c r="AA19" s="130">
        <v>0</v>
      </c>
      <c r="AB19" s="130">
        <v>0</v>
      </c>
      <c r="AC19" s="130">
        <v>0</v>
      </c>
      <c r="AD19" s="130">
        <v>0</v>
      </c>
      <c r="AE19" s="130">
        <v>0</v>
      </c>
      <c r="AF19" s="130">
        <v>10</v>
      </c>
      <c r="AG19" t="s">
        <v>1633</v>
      </c>
    </row>
    <row r="20" spans="1:33" x14ac:dyDescent="0.25">
      <c r="A20">
        <v>21</v>
      </c>
      <c r="B20" t="s">
        <v>1634</v>
      </c>
      <c r="C20" t="s">
        <v>1607</v>
      </c>
      <c r="D20">
        <v>84254</v>
      </c>
      <c r="E20">
        <v>92679</v>
      </c>
      <c r="F20">
        <v>660</v>
      </c>
      <c r="G20">
        <v>12000</v>
      </c>
      <c r="H20">
        <v>130</v>
      </c>
      <c r="I20">
        <v>0.3</v>
      </c>
      <c r="J20" s="29">
        <v>0</v>
      </c>
      <c r="K20" s="130">
        <v>7.0000000000000001E-3</v>
      </c>
      <c r="L20" s="130">
        <v>2</v>
      </c>
      <c r="M20" s="130">
        <v>0.1</v>
      </c>
      <c r="N20" s="130">
        <v>0.42</v>
      </c>
      <c r="O20" s="130">
        <v>0.68</v>
      </c>
      <c r="P20" s="130">
        <v>0.92</v>
      </c>
      <c r="Q20" s="130">
        <v>0</v>
      </c>
      <c r="R20" s="130">
        <v>0</v>
      </c>
      <c r="S20" s="130">
        <v>0</v>
      </c>
      <c r="T20" s="130">
        <v>0</v>
      </c>
      <c r="U20" s="130">
        <v>0</v>
      </c>
      <c r="V20" s="130">
        <v>0</v>
      </c>
      <c r="W20" s="130">
        <v>0</v>
      </c>
      <c r="X20" s="130">
        <v>0</v>
      </c>
      <c r="Y20" s="130">
        <v>0</v>
      </c>
      <c r="Z20" s="149">
        <v>4</v>
      </c>
      <c r="AA20" s="130">
        <v>0</v>
      </c>
      <c r="AB20" s="130">
        <v>0</v>
      </c>
      <c r="AC20" s="130">
        <v>0</v>
      </c>
      <c r="AD20" s="130">
        <v>0</v>
      </c>
      <c r="AE20" s="130">
        <v>0</v>
      </c>
      <c r="AF20" s="130">
        <v>10</v>
      </c>
      <c r="AG20" t="s">
        <v>1635</v>
      </c>
    </row>
    <row r="21" spans="1:33" x14ac:dyDescent="0.25">
      <c r="A21">
        <v>24</v>
      </c>
      <c r="B21" t="s">
        <v>1636</v>
      </c>
      <c r="C21" t="s">
        <v>1607</v>
      </c>
      <c r="D21">
        <v>103428</v>
      </c>
      <c r="E21">
        <v>113771</v>
      </c>
      <c r="F21">
        <v>685</v>
      </c>
      <c r="G21">
        <v>12000</v>
      </c>
      <c r="H21">
        <v>153</v>
      </c>
      <c r="I21">
        <v>0.3</v>
      </c>
      <c r="J21" s="29">
        <v>0</v>
      </c>
      <c r="K21" s="130">
        <v>7.0000000000000001E-3</v>
      </c>
      <c r="L21" s="130">
        <v>2</v>
      </c>
      <c r="M21" s="130">
        <v>0.1</v>
      </c>
      <c r="N21" s="130">
        <v>0.42</v>
      </c>
      <c r="O21" s="130">
        <v>0.68</v>
      </c>
      <c r="P21" s="130">
        <v>0.92</v>
      </c>
      <c r="Q21" s="130">
        <v>0</v>
      </c>
      <c r="R21" s="130">
        <v>0</v>
      </c>
      <c r="S21" s="130">
        <v>0</v>
      </c>
      <c r="T21" s="130">
        <v>0</v>
      </c>
      <c r="U21" s="130">
        <v>0</v>
      </c>
      <c r="V21" s="130">
        <v>0</v>
      </c>
      <c r="W21" s="130">
        <v>0</v>
      </c>
      <c r="X21" s="130">
        <v>0</v>
      </c>
      <c r="Y21" s="130">
        <v>0</v>
      </c>
      <c r="Z21" s="149">
        <v>4</v>
      </c>
      <c r="AA21" s="130">
        <v>0</v>
      </c>
      <c r="AB21" s="130">
        <v>0</v>
      </c>
      <c r="AC21" s="130">
        <v>0</v>
      </c>
      <c r="AD21" s="130">
        <v>0</v>
      </c>
      <c r="AE21" s="130">
        <v>0</v>
      </c>
      <c r="AF21" s="130">
        <v>10</v>
      </c>
      <c r="AG21" t="s">
        <v>1637</v>
      </c>
    </row>
    <row r="22" spans="1:33" x14ac:dyDescent="0.25">
      <c r="A22">
        <v>27</v>
      </c>
      <c r="B22" t="s">
        <v>1638</v>
      </c>
      <c r="C22" t="s">
        <v>1607</v>
      </c>
      <c r="D22">
        <v>116240</v>
      </c>
      <c r="E22">
        <v>127864</v>
      </c>
      <c r="F22">
        <v>800</v>
      </c>
      <c r="G22">
        <v>12000</v>
      </c>
      <c r="H22">
        <v>168</v>
      </c>
      <c r="I22">
        <v>0.3</v>
      </c>
      <c r="J22" s="29">
        <v>0</v>
      </c>
      <c r="K22" s="130">
        <v>7.0000000000000001E-3</v>
      </c>
      <c r="L22" s="130">
        <v>2</v>
      </c>
      <c r="M22" s="130">
        <v>0.1</v>
      </c>
      <c r="N22" s="130">
        <v>0.42</v>
      </c>
      <c r="O22" s="130">
        <v>0.68</v>
      </c>
      <c r="P22" s="130">
        <v>0.92</v>
      </c>
      <c r="Q22" s="130">
        <v>0</v>
      </c>
      <c r="R22" s="130">
        <v>0</v>
      </c>
      <c r="S22" s="130">
        <v>0</v>
      </c>
      <c r="T22" s="130">
        <v>0</v>
      </c>
      <c r="U22" s="130">
        <v>0</v>
      </c>
      <c r="V22" s="130">
        <v>0</v>
      </c>
      <c r="W22" s="130">
        <v>0</v>
      </c>
      <c r="X22" s="130">
        <v>0</v>
      </c>
      <c r="Y22" s="130">
        <v>0</v>
      </c>
      <c r="Z22" s="149">
        <v>4</v>
      </c>
      <c r="AA22" s="130">
        <v>0</v>
      </c>
      <c r="AB22" s="130">
        <v>0</v>
      </c>
      <c r="AC22" s="130">
        <v>0</v>
      </c>
      <c r="AD22" s="130">
        <v>0</v>
      </c>
      <c r="AE22" s="130">
        <v>0</v>
      </c>
      <c r="AF22" s="130">
        <v>10</v>
      </c>
      <c r="AG22" t="s">
        <v>1639</v>
      </c>
    </row>
    <row r="23" spans="1:33" x14ac:dyDescent="0.25">
      <c r="A23">
        <v>30</v>
      </c>
      <c r="B23" t="s">
        <v>1640</v>
      </c>
      <c r="C23" t="s">
        <v>1607</v>
      </c>
      <c r="D23">
        <v>147253</v>
      </c>
      <c r="E23">
        <v>161978</v>
      </c>
      <c r="F23">
        <v>999</v>
      </c>
      <c r="G23">
        <v>12000</v>
      </c>
      <c r="H23">
        <v>216</v>
      </c>
      <c r="I23">
        <v>0.3</v>
      </c>
      <c r="J23" s="29">
        <v>0</v>
      </c>
      <c r="K23" s="130">
        <v>7.0000000000000001E-3</v>
      </c>
      <c r="L23" s="130">
        <v>2</v>
      </c>
      <c r="M23" s="130">
        <v>0.1</v>
      </c>
      <c r="N23" s="130">
        <v>0.42</v>
      </c>
      <c r="O23" s="130">
        <v>0.68</v>
      </c>
      <c r="P23" s="130">
        <v>0.92</v>
      </c>
      <c r="Q23" s="130">
        <v>0</v>
      </c>
      <c r="R23" s="130">
        <v>0</v>
      </c>
      <c r="S23" s="130">
        <v>0</v>
      </c>
      <c r="T23" s="130">
        <v>0</v>
      </c>
      <c r="U23" s="130">
        <v>0</v>
      </c>
      <c r="V23" s="130">
        <v>0</v>
      </c>
      <c r="W23" s="130">
        <v>0</v>
      </c>
      <c r="X23" s="130">
        <v>0</v>
      </c>
      <c r="Y23" s="130">
        <v>0</v>
      </c>
      <c r="Z23" s="149">
        <v>4</v>
      </c>
      <c r="AA23" s="130">
        <v>0</v>
      </c>
      <c r="AB23" s="130">
        <v>0</v>
      </c>
      <c r="AC23" s="130">
        <v>0</v>
      </c>
      <c r="AD23" s="130">
        <v>0</v>
      </c>
      <c r="AE23" s="130">
        <v>0</v>
      </c>
      <c r="AF23" s="130">
        <v>10</v>
      </c>
      <c r="AG23" t="s">
        <v>1641</v>
      </c>
    </row>
    <row r="24" spans="1:33" x14ac:dyDescent="0.25">
      <c r="A24">
        <v>33</v>
      </c>
      <c r="B24" t="s">
        <v>1642</v>
      </c>
      <c r="C24" t="s">
        <v>1607</v>
      </c>
      <c r="D24">
        <v>15908</v>
      </c>
      <c r="E24">
        <v>17499</v>
      </c>
      <c r="F24">
        <v>320</v>
      </c>
      <c r="G24">
        <v>12000</v>
      </c>
      <c r="H24">
        <v>30</v>
      </c>
      <c r="I24">
        <v>0.3</v>
      </c>
      <c r="J24" s="29">
        <v>0</v>
      </c>
      <c r="K24" s="130">
        <v>3.0000000000000001E-3</v>
      </c>
      <c r="L24" s="130">
        <v>2</v>
      </c>
      <c r="M24" s="130">
        <v>0.1</v>
      </c>
      <c r="N24" s="130">
        <v>0.42</v>
      </c>
      <c r="O24" s="130">
        <v>0.68</v>
      </c>
      <c r="P24" s="130">
        <v>0.92</v>
      </c>
      <c r="Q24" s="130">
        <v>0</v>
      </c>
      <c r="R24" s="130">
        <v>0</v>
      </c>
      <c r="S24" s="130">
        <v>0</v>
      </c>
      <c r="T24" s="130">
        <v>0</v>
      </c>
      <c r="U24" s="130">
        <v>0</v>
      </c>
      <c r="V24" s="130">
        <v>0</v>
      </c>
      <c r="W24" s="130">
        <v>0</v>
      </c>
      <c r="X24" s="130">
        <v>0</v>
      </c>
      <c r="Y24" s="130">
        <v>0</v>
      </c>
      <c r="Z24" s="149">
        <v>4</v>
      </c>
      <c r="AA24" s="130">
        <v>0</v>
      </c>
      <c r="AB24" s="130">
        <v>0</v>
      </c>
      <c r="AC24" s="130">
        <v>0</v>
      </c>
      <c r="AD24" s="130">
        <v>0</v>
      </c>
      <c r="AE24" s="130">
        <v>0</v>
      </c>
      <c r="AF24" s="130">
        <v>10</v>
      </c>
      <c r="AG24" t="s">
        <v>1643</v>
      </c>
    </row>
    <row r="25" spans="1:33" x14ac:dyDescent="0.25">
      <c r="A25">
        <v>36</v>
      </c>
      <c r="B25" t="s">
        <v>1644</v>
      </c>
      <c r="C25" t="s">
        <v>1607</v>
      </c>
      <c r="D25">
        <v>18650</v>
      </c>
      <c r="E25">
        <v>20515</v>
      </c>
      <c r="F25">
        <v>340</v>
      </c>
      <c r="G25">
        <v>12000</v>
      </c>
      <c r="H25">
        <v>41</v>
      </c>
      <c r="I25">
        <v>0.3</v>
      </c>
      <c r="J25" s="29">
        <v>0</v>
      </c>
      <c r="K25" s="130">
        <v>3.0000000000000001E-3</v>
      </c>
      <c r="L25" s="130">
        <v>2</v>
      </c>
      <c r="M25" s="130">
        <v>0.1</v>
      </c>
      <c r="N25" s="130">
        <v>0.42</v>
      </c>
      <c r="O25" s="130">
        <v>0.68</v>
      </c>
      <c r="P25" s="130">
        <v>0.92</v>
      </c>
      <c r="Q25" s="130">
        <v>0</v>
      </c>
      <c r="R25" s="130">
        <v>0</v>
      </c>
      <c r="S25" s="130">
        <v>0</v>
      </c>
      <c r="T25" s="130">
        <v>0</v>
      </c>
      <c r="U25" s="130">
        <v>0</v>
      </c>
      <c r="V25" s="130">
        <v>0</v>
      </c>
      <c r="W25" s="130">
        <v>0</v>
      </c>
      <c r="X25" s="130">
        <v>0</v>
      </c>
      <c r="Y25" s="130">
        <v>0</v>
      </c>
      <c r="Z25" s="149">
        <v>4</v>
      </c>
      <c r="AA25" s="130">
        <v>0</v>
      </c>
      <c r="AB25" s="130">
        <v>0</v>
      </c>
      <c r="AC25" s="130">
        <v>0</v>
      </c>
      <c r="AD25" s="130">
        <v>0</v>
      </c>
      <c r="AE25" s="130">
        <v>0</v>
      </c>
      <c r="AF25" s="130">
        <v>10</v>
      </c>
      <c r="AG25" t="s">
        <v>1645</v>
      </c>
    </row>
    <row r="26" spans="1:33" x14ac:dyDescent="0.25">
      <c r="A26">
        <v>39</v>
      </c>
      <c r="B26" t="s">
        <v>1646</v>
      </c>
      <c r="C26" t="s">
        <v>1607</v>
      </c>
      <c r="D26">
        <v>29862</v>
      </c>
      <c r="E26">
        <v>32848</v>
      </c>
      <c r="F26">
        <v>550</v>
      </c>
      <c r="G26">
        <v>12000</v>
      </c>
      <c r="H26">
        <v>63</v>
      </c>
      <c r="I26">
        <v>0.3</v>
      </c>
      <c r="J26" s="29">
        <v>0</v>
      </c>
      <c r="K26" s="130">
        <v>3.0000000000000001E-3</v>
      </c>
      <c r="L26" s="130">
        <v>2</v>
      </c>
      <c r="M26" s="130">
        <v>0.1</v>
      </c>
      <c r="N26" s="130">
        <v>0.42</v>
      </c>
      <c r="O26" s="130">
        <v>0.68</v>
      </c>
      <c r="P26" s="130">
        <v>0.92</v>
      </c>
      <c r="Q26" s="130">
        <v>0</v>
      </c>
      <c r="R26" s="130">
        <v>0</v>
      </c>
      <c r="S26" s="130">
        <v>0</v>
      </c>
      <c r="T26" s="130">
        <v>0</v>
      </c>
      <c r="U26" s="130">
        <v>0</v>
      </c>
      <c r="V26" s="130">
        <v>0</v>
      </c>
      <c r="W26" s="130">
        <v>0</v>
      </c>
      <c r="X26" s="130">
        <v>0</v>
      </c>
      <c r="Y26" s="130">
        <v>0</v>
      </c>
      <c r="Z26" s="149">
        <v>4</v>
      </c>
      <c r="AA26" s="130">
        <v>0</v>
      </c>
      <c r="AB26" s="130">
        <v>0</v>
      </c>
      <c r="AC26" s="130">
        <v>0</v>
      </c>
      <c r="AD26" s="130">
        <v>0</v>
      </c>
      <c r="AE26" s="130">
        <v>0</v>
      </c>
      <c r="AF26" s="130">
        <v>10</v>
      </c>
      <c r="AG26" t="s">
        <v>1647</v>
      </c>
    </row>
    <row r="27" spans="1:33" x14ac:dyDescent="0.25">
      <c r="A27">
        <v>42</v>
      </c>
      <c r="B27" t="s">
        <v>1648</v>
      </c>
      <c r="C27" t="s">
        <v>1607</v>
      </c>
      <c r="D27">
        <v>38492</v>
      </c>
      <c r="E27">
        <v>42342</v>
      </c>
      <c r="F27">
        <v>525</v>
      </c>
      <c r="G27">
        <v>12000</v>
      </c>
      <c r="H27">
        <v>75</v>
      </c>
      <c r="I27">
        <v>0.3</v>
      </c>
      <c r="J27" s="29">
        <v>0</v>
      </c>
      <c r="K27" s="130">
        <v>3.0000000000000001E-3</v>
      </c>
      <c r="L27" s="130">
        <v>2</v>
      </c>
      <c r="M27" s="130">
        <v>0.1</v>
      </c>
      <c r="N27" s="130">
        <v>0.42</v>
      </c>
      <c r="O27" s="130">
        <v>0.68</v>
      </c>
      <c r="P27" s="130">
        <v>0.92</v>
      </c>
      <c r="Q27" s="130">
        <v>0</v>
      </c>
      <c r="R27" s="130">
        <v>0</v>
      </c>
      <c r="S27" s="130">
        <v>0</v>
      </c>
      <c r="T27" s="130">
        <v>0</v>
      </c>
      <c r="U27" s="130">
        <v>0</v>
      </c>
      <c r="V27" s="130">
        <v>0</v>
      </c>
      <c r="W27" s="130">
        <v>0</v>
      </c>
      <c r="X27" s="130">
        <v>0</v>
      </c>
      <c r="Y27" s="130">
        <v>0</v>
      </c>
      <c r="Z27" s="149">
        <v>4</v>
      </c>
      <c r="AA27" s="130">
        <v>0</v>
      </c>
      <c r="AB27" s="130">
        <v>0</v>
      </c>
      <c r="AC27" s="130">
        <v>0</v>
      </c>
      <c r="AD27" s="130">
        <v>0</v>
      </c>
      <c r="AE27" s="130">
        <v>0</v>
      </c>
      <c r="AF27" s="130">
        <v>10</v>
      </c>
      <c r="AG27" t="s">
        <v>1649</v>
      </c>
    </row>
    <row r="28" spans="1:33" x14ac:dyDescent="0.25">
      <c r="A28">
        <v>45</v>
      </c>
      <c r="B28" t="s">
        <v>1650</v>
      </c>
      <c r="C28" t="s">
        <v>1607</v>
      </c>
      <c r="D28">
        <v>54791</v>
      </c>
      <c r="E28">
        <v>60270</v>
      </c>
      <c r="F28">
        <v>640</v>
      </c>
      <c r="G28">
        <v>12000</v>
      </c>
      <c r="H28">
        <v>101</v>
      </c>
      <c r="I28">
        <v>0.3</v>
      </c>
      <c r="J28" s="29">
        <v>0</v>
      </c>
      <c r="K28" s="130">
        <v>3.0000000000000001E-3</v>
      </c>
      <c r="L28" s="130">
        <v>2</v>
      </c>
      <c r="M28" s="130">
        <v>0.1</v>
      </c>
      <c r="N28" s="130">
        <v>0.42</v>
      </c>
      <c r="O28" s="130">
        <v>0.68</v>
      </c>
      <c r="P28" s="130">
        <v>0.92</v>
      </c>
      <c r="Q28" s="130">
        <v>0</v>
      </c>
      <c r="R28" s="130">
        <v>0</v>
      </c>
      <c r="S28" s="130">
        <v>0</v>
      </c>
      <c r="T28" s="130">
        <v>0</v>
      </c>
      <c r="U28" s="130">
        <v>0</v>
      </c>
      <c r="V28" s="130">
        <v>0</v>
      </c>
      <c r="W28" s="130">
        <v>0</v>
      </c>
      <c r="X28" s="130">
        <v>0</v>
      </c>
      <c r="Y28" s="130">
        <v>0</v>
      </c>
      <c r="Z28" s="149">
        <v>4</v>
      </c>
      <c r="AA28" s="130">
        <v>0</v>
      </c>
      <c r="AB28" s="130">
        <v>0</v>
      </c>
      <c r="AC28" s="130">
        <v>0</v>
      </c>
      <c r="AD28" s="130">
        <v>0</v>
      </c>
      <c r="AE28" s="130">
        <v>0</v>
      </c>
      <c r="AF28" s="130">
        <v>10</v>
      </c>
      <c r="AG28" t="s">
        <v>1651</v>
      </c>
    </row>
    <row r="29" spans="1:33" x14ac:dyDescent="0.25">
      <c r="A29">
        <v>48</v>
      </c>
      <c r="B29" t="s">
        <v>1652</v>
      </c>
      <c r="C29" t="s">
        <v>1607</v>
      </c>
      <c r="D29">
        <v>69716</v>
      </c>
      <c r="E29">
        <v>76687</v>
      </c>
      <c r="F29">
        <v>660</v>
      </c>
      <c r="G29">
        <v>12000</v>
      </c>
      <c r="H29">
        <v>119</v>
      </c>
      <c r="I29">
        <v>0.3</v>
      </c>
      <c r="J29" s="29">
        <v>0</v>
      </c>
      <c r="K29" s="130">
        <v>3.0000000000000001E-3</v>
      </c>
      <c r="L29" s="130">
        <v>2</v>
      </c>
      <c r="M29" s="130">
        <v>0.1</v>
      </c>
      <c r="N29" s="130">
        <v>0.42</v>
      </c>
      <c r="O29" s="130">
        <v>0.68</v>
      </c>
      <c r="P29" s="130">
        <v>0.92</v>
      </c>
      <c r="Q29" s="130">
        <v>0</v>
      </c>
      <c r="R29" s="130">
        <v>0</v>
      </c>
      <c r="S29" s="130">
        <v>0</v>
      </c>
      <c r="T29" s="130">
        <v>0</v>
      </c>
      <c r="U29" s="130">
        <v>0</v>
      </c>
      <c r="V29" s="130">
        <v>0</v>
      </c>
      <c r="W29" s="130">
        <v>0</v>
      </c>
      <c r="X29" s="130">
        <v>0</v>
      </c>
      <c r="Y29" s="130">
        <v>0</v>
      </c>
      <c r="Z29" s="149">
        <v>4</v>
      </c>
      <c r="AA29" s="130">
        <v>0</v>
      </c>
      <c r="AB29" s="130">
        <v>0</v>
      </c>
      <c r="AC29" s="130">
        <v>0</v>
      </c>
      <c r="AD29" s="130">
        <v>0</v>
      </c>
      <c r="AE29" s="130">
        <v>0</v>
      </c>
      <c r="AF29" s="130">
        <v>10</v>
      </c>
      <c r="AG29" t="s">
        <v>1653</v>
      </c>
    </row>
    <row r="30" spans="1:33" x14ac:dyDescent="0.25">
      <c r="A30">
        <v>51</v>
      </c>
      <c r="B30" t="s">
        <v>1654</v>
      </c>
      <c r="C30" t="s">
        <v>1607</v>
      </c>
      <c r="D30">
        <v>81881</v>
      </c>
      <c r="E30">
        <v>90069</v>
      </c>
      <c r="F30">
        <v>660</v>
      </c>
      <c r="G30">
        <v>12000</v>
      </c>
      <c r="H30">
        <v>130</v>
      </c>
      <c r="I30">
        <v>0.3</v>
      </c>
      <c r="J30" s="29">
        <v>0</v>
      </c>
      <c r="K30" s="130">
        <v>3.0000000000000001E-3</v>
      </c>
      <c r="L30" s="130">
        <v>2</v>
      </c>
      <c r="M30" s="130">
        <v>0.1</v>
      </c>
      <c r="N30" s="130">
        <v>0.42</v>
      </c>
      <c r="O30" s="130">
        <v>0.68</v>
      </c>
      <c r="P30" s="130">
        <v>0.92</v>
      </c>
      <c r="Q30" s="130">
        <v>0</v>
      </c>
      <c r="R30" s="130">
        <v>0</v>
      </c>
      <c r="S30" s="130">
        <v>0</v>
      </c>
      <c r="T30" s="130">
        <v>0</v>
      </c>
      <c r="U30" s="130">
        <v>0</v>
      </c>
      <c r="V30" s="130">
        <v>0</v>
      </c>
      <c r="W30" s="130">
        <v>0</v>
      </c>
      <c r="X30" s="130">
        <v>0</v>
      </c>
      <c r="Y30" s="130">
        <v>0</v>
      </c>
      <c r="Z30" s="149">
        <v>4</v>
      </c>
      <c r="AA30" s="130">
        <v>0</v>
      </c>
      <c r="AB30" s="130">
        <v>0</v>
      </c>
      <c r="AC30" s="130">
        <v>0</v>
      </c>
      <c r="AD30" s="130">
        <v>0</v>
      </c>
      <c r="AE30" s="130">
        <v>0</v>
      </c>
      <c r="AF30" s="130">
        <v>10</v>
      </c>
      <c r="AG30" t="s">
        <v>1655</v>
      </c>
    </row>
    <row r="31" spans="1:33" x14ac:dyDescent="0.25">
      <c r="A31">
        <v>54</v>
      </c>
      <c r="B31" t="s">
        <v>1656</v>
      </c>
      <c r="C31" t="s">
        <v>1607</v>
      </c>
      <c r="D31">
        <v>100515</v>
      </c>
      <c r="E31">
        <v>110567</v>
      </c>
      <c r="F31">
        <v>685</v>
      </c>
      <c r="G31">
        <v>12000</v>
      </c>
      <c r="H31">
        <v>153</v>
      </c>
      <c r="I31">
        <v>0.3</v>
      </c>
      <c r="J31" s="29">
        <v>0</v>
      </c>
      <c r="K31" s="130">
        <v>3.0000000000000001E-3</v>
      </c>
      <c r="L31" s="130">
        <v>2</v>
      </c>
      <c r="M31" s="130">
        <v>0.1</v>
      </c>
      <c r="N31" s="130">
        <v>0.42</v>
      </c>
      <c r="O31" s="130">
        <v>0.68</v>
      </c>
      <c r="P31" s="130">
        <v>0.92</v>
      </c>
      <c r="Q31" s="130">
        <v>0</v>
      </c>
      <c r="R31" s="130">
        <v>0</v>
      </c>
      <c r="S31" s="130">
        <v>0</v>
      </c>
      <c r="T31" s="130">
        <v>0</v>
      </c>
      <c r="U31" s="130">
        <v>0</v>
      </c>
      <c r="V31" s="130">
        <v>0</v>
      </c>
      <c r="W31" s="130">
        <v>0</v>
      </c>
      <c r="X31" s="130">
        <v>0</v>
      </c>
      <c r="Y31" s="130">
        <v>0</v>
      </c>
      <c r="Z31" s="149">
        <v>4</v>
      </c>
      <c r="AA31" s="130">
        <v>0</v>
      </c>
      <c r="AB31" s="130">
        <v>0</v>
      </c>
      <c r="AC31" s="130">
        <v>0</v>
      </c>
      <c r="AD31" s="130">
        <v>0</v>
      </c>
      <c r="AE31" s="130">
        <v>0</v>
      </c>
      <c r="AF31" s="130">
        <v>10</v>
      </c>
      <c r="AG31" t="s">
        <v>1657</v>
      </c>
    </row>
    <row r="32" spans="1:33" x14ac:dyDescent="0.25">
      <c r="A32">
        <v>57</v>
      </c>
      <c r="B32" t="s">
        <v>1658</v>
      </c>
      <c r="C32" t="s">
        <v>1607</v>
      </c>
      <c r="D32">
        <v>127000</v>
      </c>
      <c r="E32">
        <v>139700</v>
      </c>
      <c r="F32">
        <v>800</v>
      </c>
      <c r="G32">
        <v>12000</v>
      </c>
      <c r="H32">
        <v>168</v>
      </c>
      <c r="I32">
        <v>0.3</v>
      </c>
      <c r="J32" s="29">
        <v>0</v>
      </c>
      <c r="K32" s="130">
        <v>3.0000000000000001E-3</v>
      </c>
      <c r="L32" s="130">
        <v>2</v>
      </c>
      <c r="M32" s="130">
        <v>0.1</v>
      </c>
      <c r="N32" s="130">
        <v>0.42</v>
      </c>
      <c r="O32" s="130">
        <v>0.68</v>
      </c>
      <c r="P32" s="130">
        <v>0.92</v>
      </c>
      <c r="Q32" s="130">
        <v>0</v>
      </c>
      <c r="R32" s="130">
        <v>0</v>
      </c>
      <c r="S32" s="130">
        <v>0</v>
      </c>
      <c r="T32" s="130">
        <v>0</v>
      </c>
      <c r="U32" s="130">
        <v>0</v>
      </c>
      <c r="V32" s="130">
        <v>0</v>
      </c>
      <c r="W32" s="130">
        <v>0</v>
      </c>
      <c r="X32" s="130">
        <v>0</v>
      </c>
      <c r="Y32" s="130">
        <v>0</v>
      </c>
      <c r="Z32" s="149">
        <v>4</v>
      </c>
      <c r="AA32" s="130">
        <v>0</v>
      </c>
      <c r="AB32" s="130">
        <v>0</v>
      </c>
      <c r="AC32" s="130">
        <v>0</v>
      </c>
      <c r="AD32" s="130">
        <v>0</v>
      </c>
      <c r="AE32" s="130">
        <v>0</v>
      </c>
      <c r="AF32" s="130">
        <v>10</v>
      </c>
      <c r="AG32" t="s">
        <v>1659</v>
      </c>
    </row>
    <row r="33" spans="1:33" x14ac:dyDescent="0.25">
      <c r="A33">
        <v>60</v>
      </c>
      <c r="B33" t="s">
        <v>1660</v>
      </c>
      <c r="C33" t="s">
        <v>1607</v>
      </c>
      <c r="D33">
        <v>143107</v>
      </c>
      <c r="E33">
        <v>157418</v>
      </c>
      <c r="F33">
        <v>999</v>
      </c>
      <c r="G33">
        <v>12000</v>
      </c>
      <c r="H33">
        <v>216</v>
      </c>
      <c r="I33">
        <v>0.3</v>
      </c>
      <c r="J33" s="29">
        <v>0</v>
      </c>
      <c r="K33" s="130">
        <v>3.0000000000000001E-3</v>
      </c>
      <c r="L33" s="130">
        <v>2</v>
      </c>
      <c r="M33" s="130">
        <v>0.1</v>
      </c>
      <c r="N33" s="130">
        <v>0.42</v>
      </c>
      <c r="O33" s="130">
        <v>0.68</v>
      </c>
      <c r="P33" s="130">
        <v>0.92</v>
      </c>
      <c r="Q33" s="130">
        <v>0</v>
      </c>
      <c r="R33" s="130">
        <v>0</v>
      </c>
      <c r="S33" s="130">
        <v>0</v>
      </c>
      <c r="T33" s="130">
        <v>0</v>
      </c>
      <c r="U33" s="130">
        <v>0</v>
      </c>
      <c r="V33" s="130">
        <v>0</v>
      </c>
      <c r="W33" s="130">
        <v>0</v>
      </c>
      <c r="X33" s="130">
        <v>0</v>
      </c>
      <c r="Y33" s="130">
        <v>0</v>
      </c>
      <c r="Z33" s="149">
        <v>4</v>
      </c>
      <c r="AA33" s="130">
        <v>0</v>
      </c>
      <c r="AB33" s="130">
        <v>0</v>
      </c>
      <c r="AC33" s="130">
        <v>0</v>
      </c>
      <c r="AD33" s="130">
        <v>0</v>
      </c>
      <c r="AE33" s="130">
        <v>0</v>
      </c>
      <c r="AF33" s="130">
        <v>10</v>
      </c>
      <c r="AG33" t="s">
        <v>1661</v>
      </c>
    </row>
    <row r="34" spans="1:33" x14ac:dyDescent="0.25">
      <c r="A34">
        <v>63</v>
      </c>
      <c r="B34" t="s">
        <v>1662</v>
      </c>
      <c r="C34" t="s">
        <v>1607</v>
      </c>
      <c r="D34">
        <v>159080</v>
      </c>
      <c r="E34">
        <v>174990</v>
      </c>
      <c r="F34">
        <v>320</v>
      </c>
      <c r="G34">
        <v>12000</v>
      </c>
      <c r="H34">
        <v>30</v>
      </c>
      <c r="I34">
        <v>0.3</v>
      </c>
      <c r="J34" s="29">
        <v>0</v>
      </c>
      <c r="K34" s="130">
        <v>3.0000000000000001E-3</v>
      </c>
      <c r="L34" s="130">
        <v>2</v>
      </c>
      <c r="M34" s="130">
        <v>0.1</v>
      </c>
      <c r="N34" s="130">
        <v>0.42</v>
      </c>
      <c r="O34" s="130">
        <v>0.68</v>
      </c>
      <c r="P34" s="130">
        <v>0.92</v>
      </c>
      <c r="Q34" s="130">
        <v>0</v>
      </c>
      <c r="R34" s="130">
        <v>0</v>
      </c>
      <c r="S34" s="130">
        <v>0</v>
      </c>
      <c r="T34" s="130">
        <v>0</v>
      </c>
      <c r="U34" s="130">
        <v>0</v>
      </c>
      <c r="V34" s="130">
        <v>0</v>
      </c>
      <c r="W34" s="130">
        <v>0</v>
      </c>
      <c r="X34" s="130">
        <v>0</v>
      </c>
      <c r="Y34" s="130">
        <v>0</v>
      </c>
      <c r="Z34" s="149">
        <v>4</v>
      </c>
      <c r="AA34" s="130">
        <v>0</v>
      </c>
      <c r="AB34" s="130">
        <v>0</v>
      </c>
      <c r="AC34" s="130">
        <v>0</v>
      </c>
      <c r="AD34" s="130">
        <v>0</v>
      </c>
      <c r="AE34" s="130">
        <v>0</v>
      </c>
      <c r="AF34" s="130">
        <v>10</v>
      </c>
      <c r="AG34" t="s">
        <v>1663</v>
      </c>
    </row>
    <row r="35" spans="1:33" x14ac:dyDescent="0.25">
      <c r="A35">
        <v>66</v>
      </c>
      <c r="B35" t="s">
        <v>1664</v>
      </c>
      <c r="C35" t="s">
        <v>1607</v>
      </c>
      <c r="D35">
        <v>18650</v>
      </c>
      <c r="E35">
        <v>20515</v>
      </c>
      <c r="F35">
        <v>340</v>
      </c>
      <c r="G35">
        <v>12000</v>
      </c>
      <c r="H35">
        <v>41</v>
      </c>
      <c r="I35">
        <v>0.3</v>
      </c>
      <c r="J35" s="29">
        <v>0</v>
      </c>
      <c r="K35" s="130">
        <v>3.0000000000000001E-3</v>
      </c>
      <c r="L35" s="130">
        <v>2</v>
      </c>
      <c r="M35" s="130">
        <v>0.1</v>
      </c>
      <c r="N35" s="130">
        <v>0.42</v>
      </c>
      <c r="O35" s="130">
        <v>0.68</v>
      </c>
      <c r="P35" s="130">
        <v>0.92</v>
      </c>
      <c r="Q35" s="130">
        <v>0</v>
      </c>
      <c r="R35" s="130">
        <v>0</v>
      </c>
      <c r="S35" s="130">
        <v>0</v>
      </c>
      <c r="T35" s="130">
        <v>0</v>
      </c>
      <c r="U35" s="130">
        <v>0</v>
      </c>
      <c r="V35" s="130">
        <v>0</v>
      </c>
      <c r="W35" s="130">
        <v>0</v>
      </c>
      <c r="X35" s="130">
        <v>0</v>
      </c>
      <c r="Y35" s="130">
        <v>0</v>
      </c>
      <c r="Z35" s="149">
        <v>4</v>
      </c>
      <c r="AA35" s="130">
        <v>0</v>
      </c>
      <c r="AB35" s="130">
        <v>0</v>
      </c>
      <c r="AC35" s="130">
        <v>0</v>
      </c>
      <c r="AD35" s="130">
        <v>0</v>
      </c>
      <c r="AE35" s="130">
        <v>0</v>
      </c>
      <c r="AF35" s="130">
        <v>10</v>
      </c>
      <c r="AG35" t="s">
        <v>1665</v>
      </c>
    </row>
    <row r="36" spans="1:33" x14ac:dyDescent="0.25">
      <c r="A36">
        <v>69</v>
      </c>
      <c r="B36" t="s">
        <v>1666</v>
      </c>
      <c r="C36" t="s">
        <v>1607</v>
      </c>
      <c r="D36">
        <v>29862</v>
      </c>
      <c r="E36">
        <v>32848</v>
      </c>
      <c r="F36">
        <v>550</v>
      </c>
      <c r="G36">
        <v>12000</v>
      </c>
      <c r="H36">
        <v>63</v>
      </c>
      <c r="I36">
        <v>0.3</v>
      </c>
      <c r="J36" s="29">
        <v>0</v>
      </c>
      <c r="K36" s="130">
        <v>3.0000000000000001E-3</v>
      </c>
      <c r="L36" s="130">
        <v>2</v>
      </c>
      <c r="M36" s="130">
        <v>0.1</v>
      </c>
      <c r="N36" s="130">
        <v>0.42</v>
      </c>
      <c r="O36" s="130">
        <v>0.68</v>
      </c>
      <c r="P36" s="130">
        <v>0.92</v>
      </c>
      <c r="Q36" s="130">
        <v>0</v>
      </c>
      <c r="R36" s="130">
        <v>0</v>
      </c>
      <c r="S36" s="130">
        <v>0</v>
      </c>
      <c r="T36" s="130">
        <v>0</v>
      </c>
      <c r="U36" s="130">
        <v>0</v>
      </c>
      <c r="V36" s="130">
        <v>0</v>
      </c>
      <c r="W36" s="130">
        <v>0</v>
      </c>
      <c r="X36" s="130">
        <v>0</v>
      </c>
      <c r="Y36" s="130">
        <v>0</v>
      </c>
      <c r="Z36" s="149">
        <v>4</v>
      </c>
      <c r="AA36" s="130">
        <v>0</v>
      </c>
      <c r="AB36" s="130">
        <v>0</v>
      </c>
      <c r="AC36" s="130">
        <v>0</v>
      </c>
      <c r="AD36" s="130">
        <v>0</v>
      </c>
      <c r="AE36" s="130">
        <v>0</v>
      </c>
      <c r="AF36" s="130">
        <v>10</v>
      </c>
      <c r="AG36" t="s">
        <v>1667</v>
      </c>
    </row>
    <row r="37" spans="1:33" x14ac:dyDescent="0.25">
      <c r="A37">
        <v>72</v>
      </c>
      <c r="B37" t="s">
        <v>1668</v>
      </c>
      <c r="C37" t="s">
        <v>1607</v>
      </c>
      <c r="D37">
        <v>38492</v>
      </c>
      <c r="E37">
        <v>42342</v>
      </c>
      <c r="F37">
        <v>525</v>
      </c>
      <c r="G37">
        <v>12000</v>
      </c>
      <c r="H37">
        <v>75</v>
      </c>
      <c r="I37">
        <v>0.3</v>
      </c>
      <c r="J37" s="29">
        <v>0</v>
      </c>
      <c r="K37" s="130">
        <v>3.0000000000000001E-3</v>
      </c>
      <c r="L37" s="130">
        <v>2</v>
      </c>
      <c r="M37" s="130">
        <v>0.1</v>
      </c>
      <c r="N37" s="130">
        <v>0.42</v>
      </c>
      <c r="O37" s="130">
        <v>0.68</v>
      </c>
      <c r="P37" s="130">
        <v>0.92</v>
      </c>
      <c r="Q37" s="130">
        <v>0</v>
      </c>
      <c r="R37" s="130">
        <v>0</v>
      </c>
      <c r="S37" s="130">
        <v>0</v>
      </c>
      <c r="T37" s="130">
        <v>0</v>
      </c>
      <c r="U37" s="130">
        <v>0</v>
      </c>
      <c r="V37" s="130">
        <v>0</v>
      </c>
      <c r="W37" s="130">
        <v>0</v>
      </c>
      <c r="X37" s="130">
        <v>0</v>
      </c>
      <c r="Y37" s="130">
        <v>0</v>
      </c>
      <c r="Z37" s="149">
        <v>4</v>
      </c>
      <c r="AA37" s="130">
        <v>0</v>
      </c>
      <c r="AB37" s="130">
        <v>0</v>
      </c>
      <c r="AC37" s="130">
        <v>0</v>
      </c>
      <c r="AD37" s="130">
        <v>0</v>
      </c>
      <c r="AE37" s="130">
        <v>0</v>
      </c>
      <c r="AF37" s="130">
        <v>10</v>
      </c>
      <c r="AG37" t="s">
        <v>1669</v>
      </c>
    </row>
    <row r="38" spans="1:33" x14ac:dyDescent="0.25">
      <c r="A38">
        <v>75</v>
      </c>
      <c r="B38" t="s">
        <v>1670</v>
      </c>
      <c r="C38" t="s">
        <v>1607</v>
      </c>
      <c r="D38">
        <v>54791</v>
      </c>
      <c r="E38">
        <v>60270</v>
      </c>
      <c r="F38">
        <v>640</v>
      </c>
      <c r="G38">
        <v>12000</v>
      </c>
      <c r="H38">
        <v>101</v>
      </c>
      <c r="I38">
        <v>0.3</v>
      </c>
      <c r="J38" s="29">
        <v>0</v>
      </c>
      <c r="K38" s="130">
        <v>3.0000000000000001E-3</v>
      </c>
      <c r="L38" s="130">
        <v>2</v>
      </c>
      <c r="M38" s="130">
        <v>0.1</v>
      </c>
      <c r="N38" s="130">
        <v>0.42</v>
      </c>
      <c r="O38" s="130">
        <v>0.68</v>
      </c>
      <c r="P38" s="130">
        <v>0.92</v>
      </c>
      <c r="Q38" s="130">
        <v>0</v>
      </c>
      <c r="R38" s="130">
        <v>0</v>
      </c>
      <c r="S38" s="130">
        <v>0</v>
      </c>
      <c r="T38" s="130">
        <v>0</v>
      </c>
      <c r="U38" s="130">
        <v>0</v>
      </c>
      <c r="V38" s="130">
        <v>0</v>
      </c>
      <c r="W38" s="130">
        <v>0</v>
      </c>
      <c r="X38" s="130">
        <v>0</v>
      </c>
      <c r="Y38" s="130">
        <v>0</v>
      </c>
      <c r="Z38" s="149">
        <v>4</v>
      </c>
      <c r="AA38" s="130">
        <v>0</v>
      </c>
      <c r="AB38" s="130">
        <v>0</v>
      </c>
      <c r="AC38" s="130">
        <v>0</v>
      </c>
      <c r="AD38" s="130">
        <v>0</v>
      </c>
      <c r="AE38" s="130">
        <v>0</v>
      </c>
      <c r="AF38" s="130">
        <v>10</v>
      </c>
      <c r="AG38" t="s">
        <v>1671</v>
      </c>
    </row>
    <row r="39" spans="1:33" x14ac:dyDescent="0.25">
      <c r="A39">
        <v>81</v>
      </c>
      <c r="B39" t="s">
        <v>1672</v>
      </c>
      <c r="C39" t="s">
        <v>1607</v>
      </c>
      <c r="D39">
        <v>81881</v>
      </c>
      <c r="E39">
        <v>90069</v>
      </c>
      <c r="F39">
        <v>660</v>
      </c>
      <c r="G39">
        <v>12000</v>
      </c>
      <c r="H39">
        <v>130</v>
      </c>
      <c r="I39">
        <v>0.3</v>
      </c>
      <c r="J39" s="29">
        <v>0</v>
      </c>
      <c r="K39" s="130">
        <v>3.0000000000000001E-3</v>
      </c>
      <c r="L39" s="130">
        <v>2</v>
      </c>
      <c r="M39" s="130">
        <v>0.1</v>
      </c>
      <c r="N39" s="130">
        <v>0.42</v>
      </c>
      <c r="O39" s="130">
        <v>0.68</v>
      </c>
      <c r="P39" s="130">
        <v>0.92</v>
      </c>
      <c r="Q39" s="130">
        <v>0</v>
      </c>
      <c r="R39" s="130">
        <v>0</v>
      </c>
      <c r="S39" s="130">
        <v>0</v>
      </c>
      <c r="T39" s="130">
        <v>0</v>
      </c>
      <c r="U39" s="130">
        <v>0</v>
      </c>
      <c r="V39" s="130">
        <v>0</v>
      </c>
      <c r="W39" s="130">
        <v>0</v>
      </c>
      <c r="X39" s="130">
        <v>0</v>
      </c>
      <c r="Y39" s="130">
        <v>0</v>
      </c>
      <c r="Z39" s="149">
        <v>4</v>
      </c>
      <c r="AA39" s="130">
        <v>0</v>
      </c>
      <c r="AB39" s="130">
        <v>0</v>
      </c>
      <c r="AC39" s="130">
        <v>0</v>
      </c>
      <c r="AD39" s="130">
        <v>0</v>
      </c>
      <c r="AE39" s="130">
        <v>0</v>
      </c>
      <c r="AF39" s="130">
        <v>10</v>
      </c>
      <c r="AG39" t="s">
        <v>1673</v>
      </c>
    </row>
    <row r="40" spans="1:33" x14ac:dyDescent="0.25">
      <c r="A40">
        <v>84</v>
      </c>
      <c r="B40" t="s">
        <v>1674</v>
      </c>
      <c r="C40" t="s">
        <v>1607</v>
      </c>
      <c r="D40">
        <v>100515</v>
      </c>
      <c r="E40">
        <v>110567</v>
      </c>
      <c r="F40">
        <v>685</v>
      </c>
      <c r="G40">
        <v>12000</v>
      </c>
      <c r="H40">
        <v>153</v>
      </c>
      <c r="I40">
        <v>0.3</v>
      </c>
      <c r="J40" s="29">
        <v>0</v>
      </c>
      <c r="K40" s="130">
        <v>3.0000000000000001E-3</v>
      </c>
      <c r="L40" s="130">
        <v>2</v>
      </c>
      <c r="M40" s="130">
        <v>0.1</v>
      </c>
      <c r="N40" s="130">
        <v>0.42</v>
      </c>
      <c r="O40" s="130">
        <v>0.68</v>
      </c>
      <c r="P40" s="130">
        <v>0.92</v>
      </c>
      <c r="Q40" s="130">
        <v>0</v>
      </c>
      <c r="R40" s="130">
        <v>0</v>
      </c>
      <c r="S40" s="130">
        <v>0</v>
      </c>
      <c r="T40" s="130">
        <v>0</v>
      </c>
      <c r="U40" s="130">
        <v>0</v>
      </c>
      <c r="V40" s="130">
        <v>0</v>
      </c>
      <c r="W40" s="130">
        <v>0</v>
      </c>
      <c r="X40" s="130">
        <v>0</v>
      </c>
      <c r="Y40" s="130">
        <v>0</v>
      </c>
      <c r="Z40" s="149">
        <v>4</v>
      </c>
      <c r="AA40" s="130">
        <v>0</v>
      </c>
      <c r="AB40" s="130">
        <v>0</v>
      </c>
      <c r="AC40" s="130">
        <v>0</v>
      </c>
      <c r="AD40" s="130">
        <v>0</v>
      </c>
      <c r="AE40" s="130">
        <v>0</v>
      </c>
      <c r="AF40" s="130">
        <v>10</v>
      </c>
      <c r="AG40" t="s">
        <v>1675</v>
      </c>
    </row>
    <row r="41" spans="1:33" x14ac:dyDescent="0.25">
      <c r="A41">
        <v>87</v>
      </c>
      <c r="B41" t="s">
        <v>1676</v>
      </c>
      <c r="C41" t="s">
        <v>1607</v>
      </c>
      <c r="D41">
        <v>112969</v>
      </c>
      <c r="E41">
        <v>124266</v>
      </c>
      <c r="F41">
        <v>800</v>
      </c>
      <c r="G41">
        <v>12000</v>
      </c>
      <c r="H41">
        <v>168</v>
      </c>
      <c r="I41">
        <v>0.3</v>
      </c>
      <c r="J41" s="29">
        <v>0</v>
      </c>
      <c r="K41" s="130">
        <v>3.0000000000000001E-3</v>
      </c>
      <c r="L41" s="130">
        <v>2</v>
      </c>
      <c r="M41" s="130">
        <v>0.1</v>
      </c>
      <c r="N41" s="130">
        <v>0.42</v>
      </c>
      <c r="O41" s="130">
        <v>0.68</v>
      </c>
      <c r="P41" s="130">
        <v>0.92</v>
      </c>
      <c r="Q41" s="130">
        <v>0</v>
      </c>
      <c r="R41" s="130">
        <v>0</v>
      </c>
      <c r="S41" s="130">
        <v>0</v>
      </c>
      <c r="T41" s="130">
        <v>0</v>
      </c>
      <c r="U41" s="130">
        <v>0</v>
      </c>
      <c r="V41" s="130">
        <v>0</v>
      </c>
      <c r="W41" s="130">
        <v>0</v>
      </c>
      <c r="X41" s="130">
        <v>0</v>
      </c>
      <c r="Y41" s="130">
        <v>0</v>
      </c>
      <c r="Z41" s="149">
        <v>4</v>
      </c>
      <c r="AA41" s="130">
        <v>0</v>
      </c>
      <c r="AB41" s="130">
        <v>0</v>
      </c>
      <c r="AC41" s="130">
        <v>0</v>
      </c>
      <c r="AD41" s="130">
        <v>0</v>
      </c>
      <c r="AE41" s="130">
        <v>0</v>
      </c>
      <c r="AF41" s="130">
        <v>10</v>
      </c>
      <c r="AG41" t="s">
        <v>1677</v>
      </c>
    </row>
    <row r="42" spans="1:33" x14ac:dyDescent="0.25">
      <c r="A42">
        <v>90</v>
      </c>
      <c r="B42" t="s">
        <v>1678</v>
      </c>
      <c r="C42" t="s">
        <v>1607</v>
      </c>
      <c r="D42">
        <v>143107</v>
      </c>
      <c r="E42">
        <v>157418</v>
      </c>
      <c r="F42">
        <v>999</v>
      </c>
      <c r="G42">
        <v>12000</v>
      </c>
      <c r="H42">
        <v>216</v>
      </c>
      <c r="I42">
        <v>0.3</v>
      </c>
      <c r="J42" s="29">
        <v>0</v>
      </c>
      <c r="K42" s="130">
        <v>3.0000000000000001E-3</v>
      </c>
      <c r="L42" s="130">
        <v>2</v>
      </c>
      <c r="M42" s="130">
        <v>0.1</v>
      </c>
      <c r="N42" s="130">
        <v>0.42</v>
      </c>
      <c r="O42" s="130">
        <v>0.68</v>
      </c>
      <c r="P42" s="130">
        <v>0.92</v>
      </c>
      <c r="Q42" s="130">
        <v>0</v>
      </c>
      <c r="R42" s="130">
        <v>0</v>
      </c>
      <c r="S42" s="130">
        <v>0</v>
      </c>
      <c r="T42" s="130">
        <v>0</v>
      </c>
      <c r="U42" s="130">
        <v>0</v>
      </c>
      <c r="V42" s="130">
        <v>0</v>
      </c>
      <c r="W42" s="130">
        <v>0</v>
      </c>
      <c r="X42" s="130">
        <v>0</v>
      </c>
      <c r="Y42" s="130">
        <v>0</v>
      </c>
      <c r="Z42" s="149">
        <v>4</v>
      </c>
      <c r="AA42" s="130">
        <v>0</v>
      </c>
      <c r="AB42" s="130">
        <v>0</v>
      </c>
      <c r="AC42" s="130">
        <v>0</v>
      </c>
      <c r="AD42" s="130">
        <v>0</v>
      </c>
      <c r="AE42" s="130">
        <v>0</v>
      </c>
      <c r="AF42" s="130">
        <v>10</v>
      </c>
      <c r="AG42" t="s">
        <v>1679</v>
      </c>
    </row>
    <row r="43" spans="1:33" x14ac:dyDescent="0.25">
      <c r="A43">
        <v>92</v>
      </c>
      <c r="B43" t="s">
        <v>2277</v>
      </c>
      <c r="C43" t="s">
        <v>1778</v>
      </c>
      <c r="D43">
        <v>25027</v>
      </c>
      <c r="E43">
        <v>27529</v>
      </c>
      <c r="F43">
        <v>100</v>
      </c>
      <c r="G43">
        <v>2500</v>
      </c>
      <c r="H43">
        <v>0</v>
      </c>
      <c r="I43">
        <v>9.1</v>
      </c>
      <c r="J43" s="29">
        <v>8.1</v>
      </c>
      <c r="K43" s="130">
        <v>0.2</v>
      </c>
      <c r="L43" s="130">
        <v>1.6</v>
      </c>
      <c r="M43" s="130">
        <v>0.1</v>
      </c>
      <c r="N43" s="130">
        <v>0</v>
      </c>
      <c r="O43" s="130">
        <v>0.6</v>
      </c>
      <c r="P43" s="130">
        <v>0.88500000000000001</v>
      </c>
      <c r="Q43" s="130">
        <v>0.8</v>
      </c>
      <c r="R43" s="130">
        <v>0</v>
      </c>
      <c r="S43" s="130">
        <v>0</v>
      </c>
      <c r="T43" s="130">
        <v>0</v>
      </c>
      <c r="U43" s="130">
        <v>0</v>
      </c>
      <c r="V43" s="130">
        <v>0</v>
      </c>
      <c r="W43" s="130">
        <v>0</v>
      </c>
      <c r="X43" s="130">
        <v>0</v>
      </c>
      <c r="Y43" s="130">
        <v>0</v>
      </c>
      <c r="Z43" s="149">
        <v>7</v>
      </c>
      <c r="AA43" s="130">
        <v>0.95</v>
      </c>
      <c r="AB43" s="130">
        <v>0</v>
      </c>
      <c r="AC43" s="130">
        <v>0</v>
      </c>
      <c r="AD43" s="130">
        <v>0</v>
      </c>
      <c r="AE43" s="130">
        <v>0</v>
      </c>
      <c r="AF43" s="130">
        <v>10</v>
      </c>
      <c r="AG43" t="s">
        <v>1795</v>
      </c>
    </row>
    <row r="44" spans="1:33" x14ac:dyDescent="0.25">
      <c r="A44">
        <v>93</v>
      </c>
      <c r="B44" t="s">
        <v>1680</v>
      </c>
      <c r="C44" t="s">
        <v>1607</v>
      </c>
      <c r="D44">
        <v>15908</v>
      </c>
      <c r="E44">
        <v>17499</v>
      </c>
      <c r="F44">
        <v>320</v>
      </c>
      <c r="G44">
        <v>12000</v>
      </c>
      <c r="H44">
        <v>30</v>
      </c>
      <c r="I44">
        <v>0.3</v>
      </c>
      <c r="J44" s="29">
        <v>0</v>
      </c>
      <c r="K44" s="130">
        <v>3.0000000000000001E-3</v>
      </c>
      <c r="L44" s="130">
        <v>2</v>
      </c>
      <c r="M44" s="130">
        <v>0.1</v>
      </c>
      <c r="N44" s="130">
        <v>0.42</v>
      </c>
      <c r="O44" s="130">
        <v>0.68</v>
      </c>
      <c r="P44" s="130">
        <v>0.92</v>
      </c>
      <c r="Q44" s="130">
        <v>0</v>
      </c>
      <c r="R44" s="130">
        <v>0</v>
      </c>
      <c r="S44" s="130">
        <v>0.05</v>
      </c>
      <c r="T44" s="130">
        <v>5</v>
      </c>
      <c r="U44" s="130">
        <v>0</v>
      </c>
      <c r="V44" s="130">
        <v>0</v>
      </c>
      <c r="W44" s="130">
        <v>0</v>
      </c>
      <c r="X44" s="130">
        <v>0</v>
      </c>
      <c r="Y44" s="130">
        <v>0</v>
      </c>
      <c r="Z44" s="149">
        <v>4</v>
      </c>
      <c r="AA44" s="130">
        <v>0</v>
      </c>
      <c r="AB44" s="130">
        <v>0</v>
      </c>
      <c r="AC44" s="130">
        <v>0</v>
      </c>
      <c r="AD44" s="130">
        <v>0</v>
      </c>
      <c r="AE44" s="130">
        <v>0</v>
      </c>
      <c r="AF44" s="130">
        <v>10</v>
      </c>
      <c r="AG44" t="s">
        <v>1681</v>
      </c>
    </row>
    <row r="45" spans="1:33" x14ac:dyDescent="0.25">
      <c r="A45">
        <v>96</v>
      </c>
      <c r="B45" t="s">
        <v>1682</v>
      </c>
      <c r="C45" t="s">
        <v>1607</v>
      </c>
      <c r="D45">
        <v>18650</v>
      </c>
      <c r="E45">
        <v>20515</v>
      </c>
      <c r="F45">
        <v>340</v>
      </c>
      <c r="G45">
        <v>12000</v>
      </c>
      <c r="H45">
        <v>41</v>
      </c>
      <c r="I45">
        <v>0.3</v>
      </c>
      <c r="J45" s="29">
        <v>0</v>
      </c>
      <c r="K45" s="130">
        <v>3.0000000000000001E-3</v>
      </c>
      <c r="L45" s="130">
        <v>2</v>
      </c>
      <c r="M45" s="130">
        <v>0.1</v>
      </c>
      <c r="N45" s="130">
        <v>0.42</v>
      </c>
      <c r="O45" s="130">
        <v>0.68</v>
      </c>
      <c r="P45" s="130">
        <v>0.92</v>
      </c>
      <c r="Q45" s="130">
        <v>0</v>
      </c>
      <c r="R45" s="130">
        <v>0</v>
      </c>
      <c r="S45" s="130">
        <v>0</v>
      </c>
      <c r="T45" s="130">
        <v>0</v>
      </c>
      <c r="U45" s="130">
        <v>0</v>
      </c>
      <c r="V45" s="130">
        <v>0</v>
      </c>
      <c r="W45" s="130">
        <v>0</v>
      </c>
      <c r="X45" s="130">
        <v>0</v>
      </c>
      <c r="Y45" s="130">
        <v>0</v>
      </c>
      <c r="Z45" s="149">
        <v>4</v>
      </c>
      <c r="AA45" s="130">
        <v>0</v>
      </c>
      <c r="AB45" s="130">
        <v>0</v>
      </c>
      <c r="AC45" s="130">
        <v>0</v>
      </c>
      <c r="AD45" s="130">
        <v>0</v>
      </c>
      <c r="AE45" s="130">
        <v>0</v>
      </c>
      <c r="AF45" s="130">
        <v>10</v>
      </c>
      <c r="AG45" t="s">
        <v>1683</v>
      </c>
    </row>
    <row r="46" spans="1:33" x14ac:dyDescent="0.25">
      <c r="A46">
        <v>99</v>
      </c>
      <c r="B46" t="s">
        <v>1684</v>
      </c>
      <c r="C46" t="s">
        <v>1607</v>
      </c>
      <c r="D46">
        <v>29862</v>
      </c>
      <c r="E46">
        <v>32848</v>
      </c>
      <c r="F46">
        <v>550</v>
      </c>
      <c r="G46">
        <v>12000</v>
      </c>
      <c r="H46">
        <v>63</v>
      </c>
      <c r="I46">
        <v>0.3</v>
      </c>
      <c r="J46" s="29">
        <v>0</v>
      </c>
      <c r="K46" s="130">
        <v>3.0000000000000001E-3</v>
      </c>
      <c r="L46" s="130">
        <v>2</v>
      </c>
      <c r="M46" s="130">
        <v>0.1</v>
      </c>
      <c r="N46" s="130">
        <v>0.42</v>
      </c>
      <c r="O46" s="130">
        <v>0.68</v>
      </c>
      <c r="P46" s="130">
        <v>0.92</v>
      </c>
      <c r="Q46" s="130">
        <v>0</v>
      </c>
      <c r="R46" s="130">
        <v>0</v>
      </c>
      <c r="S46" s="130">
        <v>0</v>
      </c>
      <c r="T46" s="130">
        <v>0</v>
      </c>
      <c r="U46" s="130">
        <v>0</v>
      </c>
      <c r="V46" s="130">
        <v>0</v>
      </c>
      <c r="W46" s="130">
        <v>0</v>
      </c>
      <c r="X46" s="130">
        <v>0</v>
      </c>
      <c r="Y46" s="130">
        <v>0</v>
      </c>
      <c r="Z46" s="149">
        <v>4</v>
      </c>
      <c r="AA46" s="130">
        <v>0</v>
      </c>
      <c r="AB46" s="130">
        <v>0</v>
      </c>
      <c r="AC46" s="130">
        <v>0</v>
      </c>
      <c r="AD46" s="130">
        <v>0</v>
      </c>
      <c r="AE46" s="130">
        <v>0</v>
      </c>
      <c r="AF46" s="130">
        <v>10</v>
      </c>
      <c r="AG46" t="s">
        <v>1685</v>
      </c>
    </row>
    <row r="47" spans="1:33" x14ac:dyDescent="0.25">
      <c r="A47">
        <v>102</v>
      </c>
      <c r="B47" t="s">
        <v>1686</v>
      </c>
      <c r="C47" t="s">
        <v>1607</v>
      </c>
      <c r="D47">
        <v>38492</v>
      </c>
      <c r="E47">
        <v>42342</v>
      </c>
      <c r="F47">
        <v>525</v>
      </c>
      <c r="G47">
        <v>12000</v>
      </c>
      <c r="H47">
        <v>75</v>
      </c>
      <c r="I47">
        <v>0.3</v>
      </c>
      <c r="J47" s="29">
        <v>0</v>
      </c>
      <c r="K47" s="130">
        <v>3.0000000000000001E-3</v>
      </c>
      <c r="L47" s="130">
        <v>2</v>
      </c>
      <c r="M47" s="130">
        <v>0.1</v>
      </c>
      <c r="N47" s="130">
        <v>0.42</v>
      </c>
      <c r="O47" s="130">
        <v>0.68</v>
      </c>
      <c r="P47" s="130">
        <v>0.92</v>
      </c>
      <c r="Q47" s="130">
        <v>0</v>
      </c>
      <c r="R47" s="130">
        <v>0</v>
      </c>
      <c r="S47" s="130">
        <v>0</v>
      </c>
      <c r="T47" s="130">
        <v>0</v>
      </c>
      <c r="U47" s="130">
        <v>0</v>
      </c>
      <c r="V47" s="130">
        <v>0</v>
      </c>
      <c r="W47" s="130">
        <v>0</v>
      </c>
      <c r="X47" s="130">
        <v>0</v>
      </c>
      <c r="Y47" s="130">
        <v>0</v>
      </c>
      <c r="Z47" s="149">
        <v>4</v>
      </c>
      <c r="AA47" s="130">
        <v>0</v>
      </c>
      <c r="AB47" s="130">
        <v>0</v>
      </c>
      <c r="AC47" s="130">
        <v>0</v>
      </c>
      <c r="AD47" s="130">
        <v>0</v>
      </c>
      <c r="AE47" s="130">
        <v>0</v>
      </c>
      <c r="AF47" s="130">
        <v>10</v>
      </c>
      <c r="AG47" t="s">
        <v>1687</v>
      </c>
    </row>
    <row r="48" spans="1:33" x14ac:dyDescent="0.25">
      <c r="A48">
        <v>105</v>
      </c>
      <c r="B48" t="s">
        <v>1688</v>
      </c>
      <c r="C48" t="s">
        <v>1607</v>
      </c>
      <c r="D48">
        <v>54791</v>
      </c>
      <c r="E48">
        <v>60270</v>
      </c>
      <c r="F48">
        <v>640</v>
      </c>
      <c r="G48">
        <v>12000</v>
      </c>
      <c r="H48">
        <v>101</v>
      </c>
      <c r="I48">
        <v>0.3</v>
      </c>
      <c r="J48" s="29">
        <v>0</v>
      </c>
      <c r="K48" s="130">
        <v>3.0000000000000001E-3</v>
      </c>
      <c r="L48" s="130">
        <v>2</v>
      </c>
      <c r="M48" s="130">
        <v>0.1</v>
      </c>
      <c r="N48" s="130">
        <v>0.42</v>
      </c>
      <c r="O48" s="130">
        <v>0.68</v>
      </c>
      <c r="P48" s="130">
        <v>0.92</v>
      </c>
      <c r="Q48" s="130">
        <v>0</v>
      </c>
      <c r="R48" s="130">
        <v>0</v>
      </c>
      <c r="S48" s="130">
        <v>0</v>
      </c>
      <c r="T48" s="130">
        <v>0</v>
      </c>
      <c r="U48" s="130">
        <v>0</v>
      </c>
      <c r="V48" s="130">
        <v>0</v>
      </c>
      <c r="W48" s="130">
        <v>0</v>
      </c>
      <c r="X48" s="130">
        <v>0</v>
      </c>
      <c r="Y48" s="130">
        <v>0</v>
      </c>
      <c r="Z48" s="149">
        <v>4</v>
      </c>
      <c r="AA48" s="130">
        <v>0</v>
      </c>
      <c r="AB48" s="130">
        <v>0</v>
      </c>
      <c r="AC48" s="130">
        <v>0</v>
      </c>
      <c r="AD48" s="130">
        <v>0</v>
      </c>
      <c r="AE48" s="130">
        <v>0</v>
      </c>
      <c r="AF48" s="130">
        <v>10</v>
      </c>
      <c r="AG48" t="s">
        <v>1689</v>
      </c>
    </row>
    <row r="49" spans="1:33" x14ac:dyDescent="0.25">
      <c r="A49">
        <v>108</v>
      </c>
      <c r="B49" t="s">
        <v>1690</v>
      </c>
      <c r="C49" t="s">
        <v>1607</v>
      </c>
      <c r="D49">
        <v>69716</v>
      </c>
      <c r="E49">
        <v>76687</v>
      </c>
      <c r="F49">
        <v>660</v>
      </c>
      <c r="G49">
        <v>12000</v>
      </c>
      <c r="H49">
        <v>119</v>
      </c>
      <c r="I49">
        <v>0.3</v>
      </c>
      <c r="J49" s="29">
        <v>0</v>
      </c>
      <c r="K49" s="130">
        <v>3.0000000000000001E-3</v>
      </c>
      <c r="L49" s="130">
        <v>2</v>
      </c>
      <c r="M49" s="130">
        <v>0.1</v>
      </c>
      <c r="N49" s="130">
        <v>0.42</v>
      </c>
      <c r="O49" s="130">
        <v>0.68</v>
      </c>
      <c r="P49" s="130">
        <v>0.92</v>
      </c>
      <c r="Q49" s="130">
        <v>0</v>
      </c>
      <c r="R49" s="130">
        <v>0</v>
      </c>
      <c r="S49" s="130">
        <v>0</v>
      </c>
      <c r="T49" s="130">
        <v>0</v>
      </c>
      <c r="U49" s="130">
        <v>0</v>
      </c>
      <c r="V49" s="130">
        <v>0</v>
      </c>
      <c r="W49" s="130">
        <v>0</v>
      </c>
      <c r="X49" s="130">
        <v>0</v>
      </c>
      <c r="Y49" s="130">
        <v>0</v>
      </c>
      <c r="Z49" s="149">
        <v>4</v>
      </c>
      <c r="AA49" s="130">
        <v>0</v>
      </c>
      <c r="AB49" s="130">
        <v>0</v>
      </c>
      <c r="AC49" s="130">
        <v>0</v>
      </c>
      <c r="AD49" s="130">
        <v>0</v>
      </c>
      <c r="AE49" s="130">
        <v>0</v>
      </c>
      <c r="AF49" s="130">
        <v>10</v>
      </c>
      <c r="AG49" t="s">
        <v>1691</v>
      </c>
    </row>
    <row r="50" spans="1:33" x14ac:dyDescent="0.25">
      <c r="A50">
        <v>111</v>
      </c>
      <c r="B50" t="s">
        <v>1692</v>
      </c>
      <c r="C50" t="s">
        <v>1607</v>
      </c>
      <c r="D50">
        <v>81881</v>
      </c>
      <c r="E50">
        <v>90069</v>
      </c>
      <c r="F50">
        <v>660</v>
      </c>
      <c r="G50">
        <v>12000</v>
      </c>
      <c r="H50">
        <v>130</v>
      </c>
      <c r="I50">
        <v>0.3</v>
      </c>
      <c r="J50" s="29">
        <v>0</v>
      </c>
      <c r="K50" s="130">
        <v>3.0000000000000001E-3</v>
      </c>
      <c r="L50" s="130">
        <v>2</v>
      </c>
      <c r="M50" s="130">
        <v>0.1</v>
      </c>
      <c r="N50" s="130">
        <v>0.42</v>
      </c>
      <c r="O50" s="130">
        <v>0.68</v>
      </c>
      <c r="P50" s="130">
        <v>0.92</v>
      </c>
      <c r="Q50" s="130">
        <v>0</v>
      </c>
      <c r="R50" s="130">
        <v>0</v>
      </c>
      <c r="S50" s="130">
        <v>0</v>
      </c>
      <c r="T50" s="130">
        <v>0</v>
      </c>
      <c r="U50" s="130">
        <v>0</v>
      </c>
      <c r="V50" s="130">
        <v>0</v>
      </c>
      <c r="W50" s="130">
        <v>0</v>
      </c>
      <c r="X50" s="130">
        <v>0</v>
      </c>
      <c r="Y50" s="130">
        <v>0</v>
      </c>
      <c r="Z50" s="149">
        <v>4</v>
      </c>
      <c r="AA50" s="130">
        <v>0</v>
      </c>
      <c r="AB50" s="130">
        <v>0</v>
      </c>
      <c r="AC50" s="130">
        <v>0</v>
      </c>
      <c r="AD50" s="130">
        <v>0</v>
      </c>
      <c r="AE50" s="130">
        <v>0</v>
      </c>
      <c r="AF50" s="130">
        <v>10</v>
      </c>
      <c r="AG50" t="s">
        <v>1693</v>
      </c>
    </row>
    <row r="51" spans="1:33" x14ac:dyDescent="0.25">
      <c r="A51">
        <v>112</v>
      </c>
      <c r="B51" t="s">
        <v>1694</v>
      </c>
      <c r="C51" t="s">
        <v>1607</v>
      </c>
      <c r="D51">
        <v>100515</v>
      </c>
      <c r="E51">
        <v>110567</v>
      </c>
      <c r="F51">
        <v>685</v>
      </c>
      <c r="G51">
        <v>12000</v>
      </c>
      <c r="H51">
        <v>153</v>
      </c>
      <c r="I51">
        <v>0.3</v>
      </c>
      <c r="J51" s="29">
        <v>0</v>
      </c>
      <c r="K51" s="130">
        <v>3.0000000000000001E-3</v>
      </c>
      <c r="L51" s="130">
        <v>2</v>
      </c>
      <c r="M51" s="130">
        <v>0.1</v>
      </c>
      <c r="N51" s="130">
        <v>0.42</v>
      </c>
      <c r="O51" s="130">
        <v>0.68</v>
      </c>
      <c r="P51" s="130">
        <v>0.92</v>
      </c>
      <c r="Q51" s="130">
        <v>0</v>
      </c>
      <c r="R51" s="130">
        <v>0</v>
      </c>
      <c r="S51" s="130">
        <v>0</v>
      </c>
      <c r="T51" s="130">
        <v>0</v>
      </c>
      <c r="U51" s="130">
        <v>0</v>
      </c>
      <c r="V51" s="130">
        <v>0</v>
      </c>
      <c r="W51" s="130">
        <v>0</v>
      </c>
      <c r="X51" s="130">
        <v>0</v>
      </c>
      <c r="Y51" s="130">
        <v>0</v>
      </c>
      <c r="Z51" s="149">
        <v>4</v>
      </c>
      <c r="AA51" s="130">
        <v>0</v>
      </c>
      <c r="AB51" s="130">
        <v>0</v>
      </c>
      <c r="AC51" s="130">
        <v>0</v>
      </c>
      <c r="AD51" s="130">
        <v>0</v>
      </c>
      <c r="AE51" s="130">
        <v>0</v>
      </c>
      <c r="AF51" s="130">
        <v>10</v>
      </c>
      <c r="AG51" t="s">
        <v>1695</v>
      </c>
    </row>
    <row r="52" spans="1:33" x14ac:dyDescent="0.25">
      <c r="A52">
        <v>115</v>
      </c>
      <c r="B52" t="s">
        <v>1696</v>
      </c>
      <c r="C52" t="s">
        <v>1607</v>
      </c>
      <c r="D52">
        <v>112969</v>
      </c>
      <c r="E52">
        <v>124266</v>
      </c>
      <c r="F52">
        <v>800</v>
      </c>
      <c r="G52">
        <v>12000</v>
      </c>
      <c r="H52">
        <v>168</v>
      </c>
      <c r="I52">
        <v>0.3</v>
      </c>
      <c r="J52" s="29">
        <v>0</v>
      </c>
      <c r="K52" s="130">
        <v>3.0000000000000001E-3</v>
      </c>
      <c r="L52" s="130">
        <v>2</v>
      </c>
      <c r="M52" s="130">
        <v>0.1</v>
      </c>
      <c r="N52" s="130">
        <v>0.42</v>
      </c>
      <c r="O52" s="130">
        <v>0.68</v>
      </c>
      <c r="P52" s="130">
        <v>0.92</v>
      </c>
      <c r="Q52" s="130">
        <v>0</v>
      </c>
      <c r="R52" s="130">
        <v>0</v>
      </c>
      <c r="S52" s="130">
        <v>0</v>
      </c>
      <c r="T52" s="130">
        <v>0</v>
      </c>
      <c r="U52" s="130">
        <v>0</v>
      </c>
      <c r="V52" s="130">
        <v>0</v>
      </c>
      <c r="W52" s="130">
        <v>0</v>
      </c>
      <c r="X52" s="130">
        <v>0</v>
      </c>
      <c r="Y52" s="130">
        <v>0</v>
      </c>
      <c r="Z52" s="149">
        <v>4</v>
      </c>
      <c r="AA52" s="130">
        <v>0</v>
      </c>
      <c r="AB52" s="130">
        <v>0</v>
      </c>
      <c r="AC52" s="130">
        <v>0</v>
      </c>
      <c r="AD52" s="130">
        <v>0</v>
      </c>
      <c r="AE52" s="130">
        <v>0</v>
      </c>
      <c r="AF52" s="130">
        <v>10</v>
      </c>
      <c r="AG52" t="s">
        <v>1697</v>
      </c>
    </row>
    <row r="53" spans="1:33" x14ac:dyDescent="0.25">
      <c r="A53">
        <v>120</v>
      </c>
      <c r="B53" t="s">
        <v>1698</v>
      </c>
      <c r="C53" t="s">
        <v>1607</v>
      </c>
      <c r="D53">
        <v>143107</v>
      </c>
      <c r="E53">
        <v>157418</v>
      </c>
      <c r="F53">
        <v>999</v>
      </c>
      <c r="G53">
        <v>12000</v>
      </c>
      <c r="H53">
        <v>216</v>
      </c>
      <c r="I53">
        <v>0.3</v>
      </c>
      <c r="J53" s="29">
        <v>0</v>
      </c>
      <c r="K53" s="130">
        <v>3.0000000000000001E-3</v>
      </c>
      <c r="L53" s="130">
        <v>2</v>
      </c>
      <c r="M53" s="130">
        <v>0.1</v>
      </c>
      <c r="N53" s="130">
        <v>0.42</v>
      </c>
      <c r="O53" s="130">
        <v>0.68</v>
      </c>
      <c r="P53" s="130">
        <v>0.92</v>
      </c>
      <c r="Q53" s="130">
        <v>0</v>
      </c>
      <c r="R53" s="130">
        <v>0</v>
      </c>
      <c r="S53" s="130">
        <v>0</v>
      </c>
      <c r="T53" s="130">
        <v>0</v>
      </c>
      <c r="U53" s="130">
        <v>0</v>
      </c>
      <c r="V53" s="130">
        <v>0</v>
      </c>
      <c r="W53" s="130">
        <v>0</v>
      </c>
      <c r="X53" s="130">
        <v>0</v>
      </c>
      <c r="Y53" s="130">
        <v>0</v>
      </c>
      <c r="Z53" s="149">
        <v>4</v>
      </c>
      <c r="AA53" s="130">
        <v>0</v>
      </c>
      <c r="AB53" s="130">
        <v>0</v>
      </c>
      <c r="AC53" s="130">
        <v>0</v>
      </c>
      <c r="AD53" s="130">
        <v>0</v>
      </c>
      <c r="AE53" s="130">
        <v>0</v>
      </c>
      <c r="AF53" s="130">
        <v>10</v>
      </c>
      <c r="AG53" t="s">
        <v>1699</v>
      </c>
    </row>
    <row r="54" spans="1:33" x14ac:dyDescent="0.25">
      <c r="A54">
        <v>121</v>
      </c>
      <c r="B54" t="s">
        <v>1700</v>
      </c>
      <c r="C54" t="s">
        <v>1701</v>
      </c>
      <c r="D54">
        <v>44130</v>
      </c>
      <c r="E54">
        <v>48543</v>
      </c>
      <c r="F54">
        <v>100</v>
      </c>
      <c r="G54">
        <v>2000</v>
      </c>
      <c r="H54">
        <v>0</v>
      </c>
      <c r="I54">
        <v>7.3</v>
      </c>
      <c r="J54" s="29">
        <v>6.44</v>
      </c>
      <c r="K54" s="130">
        <v>0.32</v>
      </c>
      <c r="L54" s="130">
        <v>2.1</v>
      </c>
      <c r="M54" s="130">
        <v>0</v>
      </c>
      <c r="N54" s="130">
        <v>0</v>
      </c>
      <c r="O54" s="130">
        <v>0.6</v>
      </c>
      <c r="P54" s="130">
        <v>0.88500000000000001</v>
      </c>
      <c r="Q54" s="130">
        <v>0.65</v>
      </c>
      <c r="R54" s="130">
        <v>0</v>
      </c>
      <c r="S54" s="130">
        <v>0.2</v>
      </c>
      <c r="T54" s="130">
        <v>10</v>
      </c>
      <c r="U54" s="130">
        <v>40</v>
      </c>
      <c r="V54" s="130">
        <v>25</v>
      </c>
      <c r="W54" s="130">
        <v>0.17</v>
      </c>
      <c r="X54" s="130">
        <v>0</v>
      </c>
      <c r="Y54" s="130">
        <v>0</v>
      </c>
      <c r="Z54" s="149">
        <v>6</v>
      </c>
      <c r="AA54" s="130">
        <v>0</v>
      </c>
      <c r="AB54" s="130">
        <v>0</v>
      </c>
      <c r="AC54" s="130">
        <v>0</v>
      </c>
      <c r="AD54" s="130">
        <v>0</v>
      </c>
      <c r="AE54" s="130">
        <v>0</v>
      </c>
      <c r="AF54" s="130">
        <v>10</v>
      </c>
      <c r="AG54" t="s">
        <v>1702</v>
      </c>
    </row>
    <row r="55" spans="1:33" x14ac:dyDescent="0.25">
      <c r="A55">
        <v>123</v>
      </c>
      <c r="B55" t="s">
        <v>1703</v>
      </c>
      <c r="C55" t="s">
        <v>1701</v>
      </c>
      <c r="D55">
        <v>1155</v>
      </c>
      <c r="E55">
        <v>1270</v>
      </c>
      <c r="F55">
        <v>26</v>
      </c>
      <c r="G55">
        <v>390</v>
      </c>
      <c r="H55">
        <v>0</v>
      </c>
      <c r="I55">
        <v>1.4</v>
      </c>
      <c r="J55" s="29">
        <v>6.44</v>
      </c>
      <c r="K55" s="130">
        <v>0.32</v>
      </c>
      <c r="L55" s="130">
        <v>2.1</v>
      </c>
      <c r="M55" s="130">
        <v>0</v>
      </c>
      <c r="N55" s="130">
        <v>0</v>
      </c>
      <c r="O55" s="130">
        <v>0.68</v>
      </c>
      <c r="P55" s="130">
        <v>0.92</v>
      </c>
      <c r="Q55" s="130">
        <v>0.65</v>
      </c>
      <c r="R55" s="130">
        <v>0</v>
      </c>
      <c r="S55" s="130">
        <v>0.2</v>
      </c>
      <c r="T55" s="130">
        <v>10</v>
      </c>
      <c r="U55" s="130">
        <v>40</v>
      </c>
      <c r="V55" s="130">
        <v>25</v>
      </c>
      <c r="W55" s="130">
        <v>0.17</v>
      </c>
      <c r="X55" s="130">
        <v>0</v>
      </c>
      <c r="Y55" s="130">
        <v>0</v>
      </c>
      <c r="Z55" s="149">
        <v>5</v>
      </c>
      <c r="AA55" s="130">
        <v>0</v>
      </c>
      <c r="AB55" s="130">
        <v>0</v>
      </c>
      <c r="AC55" s="130">
        <v>0</v>
      </c>
      <c r="AD55" s="130">
        <v>0</v>
      </c>
      <c r="AE55" s="130">
        <v>0</v>
      </c>
      <c r="AF55" s="130">
        <v>10</v>
      </c>
      <c r="AG55" t="s">
        <v>1704</v>
      </c>
    </row>
    <row r="56" spans="1:33" x14ac:dyDescent="0.25">
      <c r="A56">
        <v>124</v>
      </c>
      <c r="B56" t="s">
        <v>1705</v>
      </c>
      <c r="C56" t="s">
        <v>1701</v>
      </c>
      <c r="D56">
        <v>24577</v>
      </c>
      <c r="E56">
        <v>27035</v>
      </c>
      <c r="F56">
        <v>50</v>
      </c>
      <c r="G56">
        <v>1200</v>
      </c>
      <c r="H56">
        <v>0</v>
      </c>
      <c r="I56">
        <v>5.5</v>
      </c>
      <c r="J56" s="29">
        <v>5.63</v>
      </c>
      <c r="K56" s="130">
        <v>0.32</v>
      </c>
      <c r="L56" s="130">
        <v>2.1</v>
      </c>
      <c r="M56" s="130">
        <v>0.1</v>
      </c>
      <c r="N56" s="130">
        <v>0</v>
      </c>
      <c r="O56" s="130">
        <v>0.6</v>
      </c>
      <c r="P56" s="130">
        <v>0.88500000000000001</v>
      </c>
      <c r="Q56" s="130">
        <v>0.75</v>
      </c>
      <c r="R56" s="130">
        <v>0</v>
      </c>
      <c r="S56" s="130">
        <v>0.2</v>
      </c>
      <c r="T56" s="130">
        <v>10</v>
      </c>
      <c r="U56" s="130">
        <v>100</v>
      </c>
      <c r="V56" s="130">
        <v>25</v>
      </c>
      <c r="W56" s="130">
        <v>0.17</v>
      </c>
      <c r="X56" s="130">
        <v>0</v>
      </c>
      <c r="Y56" s="130">
        <v>0</v>
      </c>
      <c r="Z56" s="149">
        <v>5</v>
      </c>
      <c r="AA56" s="130">
        <v>0</v>
      </c>
      <c r="AB56" s="130">
        <v>0</v>
      </c>
      <c r="AC56" s="130">
        <v>0</v>
      </c>
      <c r="AD56" s="130">
        <v>0</v>
      </c>
      <c r="AE56" s="130">
        <v>0</v>
      </c>
      <c r="AF56" s="130">
        <v>10</v>
      </c>
      <c r="AG56" t="s">
        <v>1706</v>
      </c>
    </row>
    <row r="57" spans="1:33" x14ac:dyDescent="0.25">
      <c r="A57">
        <v>126</v>
      </c>
      <c r="B57" t="s">
        <v>1707</v>
      </c>
      <c r="C57" t="s">
        <v>1701</v>
      </c>
      <c r="D57">
        <v>1400</v>
      </c>
      <c r="E57">
        <v>1540</v>
      </c>
      <c r="F57">
        <v>200</v>
      </c>
      <c r="G57">
        <v>2000</v>
      </c>
      <c r="H57">
        <v>0</v>
      </c>
      <c r="I57">
        <v>3.7</v>
      </c>
      <c r="J57" s="29">
        <v>3.22</v>
      </c>
      <c r="K57" s="130">
        <v>0.32</v>
      </c>
      <c r="L57" s="130">
        <v>2.1</v>
      </c>
      <c r="M57" s="130">
        <v>0.1</v>
      </c>
      <c r="N57" s="130">
        <v>0</v>
      </c>
      <c r="O57" s="130">
        <v>0.6</v>
      </c>
      <c r="P57" s="130">
        <v>0.88500000000000001</v>
      </c>
      <c r="Q57" s="130">
        <v>0.7</v>
      </c>
      <c r="R57" s="130">
        <v>0</v>
      </c>
      <c r="S57" s="130">
        <v>0.3</v>
      </c>
      <c r="T57" s="130">
        <v>10</v>
      </c>
      <c r="U57" s="130">
        <v>100</v>
      </c>
      <c r="V57" s="130">
        <v>25</v>
      </c>
      <c r="W57" s="130">
        <v>0.91</v>
      </c>
      <c r="X57" s="130">
        <v>0</v>
      </c>
      <c r="Y57" s="130">
        <v>0</v>
      </c>
      <c r="Z57" s="149">
        <v>5</v>
      </c>
      <c r="AA57" s="130">
        <v>0</v>
      </c>
      <c r="AB57" s="130">
        <v>0</v>
      </c>
      <c r="AC57" s="130">
        <v>0</v>
      </c>
      <c r="AD57" s="130">
        <v>0</v>
      </c>
      <c r="AE57" s="130">
        <v>0</v>
      </c>
      <c r="AF57" s="130">
        <v>10</v>
      </c>
      <c r="AG57" t="s">
        <v>1708</v>
      </c>
    </row>
    <row r="58" spans="1:33" x14ac:dyDescent="0.25">
      <c r="A58">
        <v>132</v>
      </c>
      <c r="B58" t="s">
        <v>1709</v>
      </c>
      <c r="C58" t="s">
        <v>1701</v>
      </c>
      <c r="D58">
        <v>15808</v>
      </c>
      <c r="E58">
        <v>17389</v>
      </c>
      <c r="F58">
        <v>65</v>
      </c>
      <c r="G58">
        <v>1200</v>
      </c>
      <c r="H58">
        <v>0</v>
      </c>
      <c r="I58">
        <v>4.3</v>
      </c>
      <c r="J58" s="29">
        <v>4.0199999999999996</v>
      </c>
      <c r="K58" s="130">
        <v>0.32</v>
      </c>
      <c r="L58" s="130">
        <v>2.1</v>
      </c>
      <c r="M58" s="130">
        <v>0.1</v>
      </c>
      <c r="N58" s="130">
        <v>0</v>
      </c>
      <c r="O58" s="130">
        <v>0.6</v>
      </c>
      <c r="P58" s="130">
        <v>0.88500000000000001</v>
      </c>
      <c r="Q58" s="130">
        <v>0.7</v>
      </c>
      <c r="R58" s="130">
        <v>0</v>
      </c>
      <c r="S58" s="130">
        <v>0.1</v>
      </c>
      <c r="T58" s="130">
        <v>10</v>
      </c>
      <c r="U58" s="130">
        <v>40</v>
      </c>
      <c r="V58" s="130">
        <v>25</v>
      </c>
      <c r="W58" s="130">
        <v>0.17</v>
      </c>
      <c r="X58" s="130">
        <v>0</v>
      </c>
      <c r="Y58" s="130">
        <v>0</v>
      </c>
      <c r="Z58" s="149">
        <v>6</v>
      </c>
      <c r="AA58" s="130">
        <v>0</v>
      </c>
      <c r="AB58" s="130">
        <v>0</v>
      </c>
      <c r="AC58" s="130">
        <v>0</v>
      </c>
      <c r="AD58" s="130">
        <v>0</v>
      </c>
      <c r="AE58" s="130">
        <v>0</v>
      </c>
      <c r="AF58" s="130">
        <v>10</v>
      </c>
      <c r="AG58" t="s">
        <v>2278</v>
      </c>
    </row>
    <row r="59" spans="1:33" x14ac:dyDescent="0.25">
      <c r="A59">
        <v>136</v>
      </c>
      <c r="B59" t="s">
        <v>1710</v>
      </c>
      <c r="C59" t="s">
        <v>1701</v>
      </c>
      <c r="D59">
        <v>25175</v>
      </c>
      <c r="E59">
        <v>27692</v>
      </c>
      <c r="F59">
        <v>55</v>
      </c>
      <c r="G59">
        <v>1200</v>
      </c>
      <c r="H59">
        <v>0</v>
      </c>
      <c r="I59">
        <v>6.1</v>
      </c>
      <c r="J59" s="29">
        <v>8.85</v>
      </c>
      <c r="K59" s="130">
        <v>0.32</v>
      </c>
      <c r="L59" s="130">
        <v>2.1</v>
      </c>
      <c r="M59" s="130">
        <v>0.1</v>
      </c>
      <c r="N59" s="130">
        <v>0</v>
      </c>
      <c r="O59" s="130">
        <v>0.6</v>
      </c>
      <c r="P59" s="130">
        <v>0.88500000000000001</v>
      </c>
      <c r="Q59" s="130">
        <v>0.65</v>
      </c>
      <c r="R59" s="130">
        <v>0</v>
      </c>
      <c r="S59" s="130">
        <v>0.1</v>
      </c>
      <c r="T59" s="130">
        <v>10</v>
      </c>
      <c r="U59" s="130">
        <v>40</v>
      </c>
      <c r="V59" s="130">
        <v>75</v>
      </c>
      <c r="W59" s="130">
        <v>0.5</v>
      </c>
      <c r="X59" s="130">
        <v>0</v>
      </c>
      <c r="Y59" s="130">
        <v>0</v>
      </c>
      <c r="Z59" s="149">
        <v>5</v>
      </c>
      <c r="AA59" s="130">
        <v>0</v>
      </c>
      <c r="AB59" s="130">
        <v>0</v>
      </c>
      <c r="AC59" s="130">
        <v>0</v>
      </c>
      <c r="AD59" s="130">
        <v>0</v>
      </c>
      <c r="AE59" s="130">
        <v>0</v>
      </c>
      <c r="AF59" s="130">
        <v>10</v>
      </c>
      <c r="AG59" t="s">
        <v>1711</v>
      </c>
    </row>
    <row r="60" spans="1:33" x14ac:dyDescent="0.25">
      <c r="A60">
        <v>139</v>
      </c>
      <c r="B60" t="s">
        <v>1712</v>
      </c>
      <c r="C60" t="s">
        <v>1701</v>
      </c>
      <c r="D60">
        <v>19556</v>
      </c>
      <c r="E60">
        <v>21512</v>
      </c>
      <c r="F60">
        <v>115</v>
      </c>
      <c r="G60">
        <v>1200</v>
      </c>
      <c r="H60">
        <v>0</v>
      </c>
      <c r="I60">
        <v>5.2</v>
      </c>
      <c r="J60" s="29">
        <v>4.99</v>
      </c>
      <c r="K60" s="130">
        <v>0.32</v>
      </c>
      <c r="L60" s="130">
        <v>2.1</v>
      </c>
      <c r="M60" s="130">
        <v>0.1</v>
      </c>
      <c r="N60" s="130">
        <v>0</v>
      </c>
      <c r="O60" s="130">
        <v>0.6</v>
      </c>
      <c r="P60" s="130">
        <v>0.88500000000000001</v>
      </c>
      <c r="Q60" s="130">
        <v>0.7</v>
      </c>
      <c r="R60" s="130">
        <v>0</v>
      </c>
      <c r="S60" s="130">
        <v>0.02</v>
      </c>
      <c r="T60" s="130">
        <v>10</v>
      </c>
      <c r="U60" s="130">
        <v>60</v>
      </c>
      <c r="V60" s="130">
        <v>10</v>
      </c>
      <c r="W60" s="130">
        <v>0.86</v>
      </c>
      <c r="X60" s="130">
        <v>0</v>
      </c>
      <c r="Y60" s="130">
        <v>0</v>
      </c>
      <c r="Z60" s="149">
        <v>5</v>
      </c>
      <c r="AA60" s="130">
        <v>0</v>
      </c>
      <c r="AB60" s="130">
        <v>0</v>
      </c>
      <c r="AC60" s="130">
        <v>0</v>
      </c>
      <c r="AD60" s="130">
        <v>0</v>
      </c>
      <c r="AE60" s="130">
        <v>0</v>
      </c>
      <c r="AF60" s="130">
        <v>10</v>
      </c>
      <c r="AG60" t="s">
        <v>1713</v>
      </c>
    </row>
    <row r="61" spans="1:33" x14ac:dyDescent="0.25">
      <c r="A61">
        <v>143</v>
      </c>
      <c r="B61" t="s">
        <v>1714</v>
      </c>
      <c r="C61" t="s">
        <v>1701</v>
      </c>
      <c r="D61">
        <v>19556</v>
      </c>
      <c r="E61">
        <v>21512</v>
      </c>
      <c r="F61">
        <v>115</v>
      </c>
      <c r="G61">
        <v>1200</v>
      </c>
      <c r="H61">
        <v>0</v>
      </c>
      <c r="I61">
        <v>6</v>
      </c>
      <c r="J61" s="29">
        <v>4.99</v>
      </c>
      <c r="K61" s="130">
        <v>0.32</v>
      </c>
      <c r="L61" s="130">
        <v>2.1</v>
      </c>
      <c r="M61" s="130">
        <v>0.1</v>
      </c>
      <c r="N61" s="130">
        <v>0</v>
      </c>
      <c r="O61" s="130">
        <v>0.6</v>
      </c>
      <c r="P61" s="130">
        <v>0.88500000000000001</v>
      </c>
      <c r="Q61" s="130">
        <v>0.7</v>
      </c>
      <c r="R61" s="130">
        <v>0</v>
      </c>
      <c r="S61" s="130">
        <v>0.05</v>
      </c>
      <c r="T61" s="130">
        <v>10</v>
      </c>
      <c r="U61" s="130">
        <v>40</v>
      </c>
      <c r="V61" s="130">
        <v>75</v>
      </c>
      <c r="W61" s="130">
        <v>1</v>
      </c>
      <c r="X61" s="130">
        <v>0</v>
      </c>
      <c r="Y61" s="130">
        <v>0</v>
      </c>
      <c r="Z61" s="149">
        <v>5</v>
      </c>
      <c r="AA61" s="130">
        <v>0</v>
      </c>
      <c r="AB61" s="130">
        <v>0</v>
      </c>
      <c r="AC61" s="130">
        <v>0</v>
      </c>
      <c r="AD61" s="130">
        <v>0</v>
      </c>
      <c r="AE61" s="130">
        <v>0</v>
      </c>
      <c r="AF61" s="130">
        <v>10</v>
      </c>
      <c r="AG61" t="s">
        <v>1715</v>
      </c>
    </row>
    <row r="62" spans="1:33" x14ac:dyDescent="0.25">
      <c r="A62">
        <v>144</v>
      </c>
      <c r="B62" t="s">
        <v>1716</v>
      </c>
      <c r="C62" t="s">
        <v>1701</v>
      </c>
      <c r="D62">
        <v>13557</v>
      </c>
      <c r="E62">
        <v>14913</v>
      </c>
      <c r="F62">
        <v>30</v>
      </c>
      <c r="G62">
        <v>1200</v>
      </c>
      <c r="H62">
        <v>0</v>
      </c>
      <c r="I62">
        <v>6.1</v>
      </c>
      <c r="J62" s="29">
        <v>4.83</v>
      </c>
      <c r="K62" s="130">
        <v>0.32</v>
      </c>
      <c r="L62" s="130">
        <v>2.1</v>
      </c>
      <c r="M62" s="130">
        <v>0.1</v>
      </c>
      <c r="N62" s="130">
        <v>0</v>
      </c>
      <c r="O62" s="130">
        <v>0.6</v>
      </c>
      <c r="P62" s="130">
        <v>0.88500000000000001</v>
      </c>
      <c r="Q62" s="130">
        <v>0.8</v>
      </c>
      <c r="R62" s="130">
        <v>0</v>
      </c>
      <c r="S62" s="130">
        <v>0</v>
      </c>
      <c r="T62" s="130">
        <v>0</v>
      </c>
      <c r="U62" s="130">
        <v>40</v>
      </c>
      <c r="V62" s="130">
        <v>25</v>
      </c>
      <c r="W62" s="130">
        <v>0.17</v>
      </c>
      <c r="X62" s="130">
        <v>0</v>
      </c>
      <c r="Y62" s="130">
        <v>0</v>
      </c>
      <c r="Z62" s="149">
        <v>6</v>
      </c>
      <c r="AA62" s="130">
        <v>0</v>
      </c>
      <c r="AB62" s="130">
        <v>0</v>
      </c>
      <c r="AC62" s="130">
        <v>0</v>
      </c>
      <c r="AD62" s="130">
        <v>0</v>
      </c>
      <c r="AE62" s="130">
        <v>0</v>
      </c>
      <c r="AF62" s="130">
        <v>10</v>
      </c>
      <c r="AG62" t="s">
        <v>1718</v>
      </c>
    </row>
    <row r="63" spans="1:33" x14ac:dyDescent="0.25">
      <c r="A63">
        <v>146</v>
      </c>
      <c r="B63" t="s">
        <v>1719</v>
      </c>
      <c r="C63" t="s">
        <v>1701</v>
      </c>
      <c r="D63">
        <v>8047</v>
      </c>
      <c r="E63">
        <v>8852</v>
      </c>
      <c r="F63">
        <v>60</v>
      </c>
      <c r="G63">
        <v>1200</v>
      </c>
      <c r="H63">
        <v>0</v>
      </c>
      <c r="I63">
        <v>6.1</v>
      </c>
      <c r="J63" s="29">
        <v>7.88</v>
      </c>
      <c r="K63" s="130">
        <v>0.32</v>
      </c>
      <c r="L63" s="130">
        <v>2.1</v>
      </c>
      <c r="M63" s="130">
        <v>0.1</v>
      </c>
      <c r="N63" s="130">
        <v>0</v>
      </c>
      <c r="O63" s="130">
        <v>0.6</v>
      </c>
      <c r="P63" s="130">
        <v>0.88500000000000001</v>
      </c>
      <c r="Q63" s="130">
        <v>0.75</v>
      </c>
      <c r="R63" s="130">
        <v>0</v>
      </c>
      <c r="S63" s="130">
        <v>0</v>
      </c>
      <c r="T63" s="130">
        <v>0</v>
      </c>
      <c r="U63" s="130">
        <v>60</v>
      </c>
      <c r="V63" s="130">
        <v>10</v>
      </c>
      <c r="W63" s="130">
        <v>0.86</v>
      </c>
      <c r="X63" s="130">
        <v>0</v>
      </c>
      <c r="Y63" s="130">
        <v>0</v>
      </c>
      <c r="Z63" s="149">
        <v>6</v>
      </c>
      <c r="AA63" s="130">
        <v>0</v>
      </c>
      <c r="AB63" s="130">
        <v>0</v>
      </c>
      <c r="AC63" s="130">
        <v>0</v>
      </c>
      <c r="AD63" s="130">
        <v>0</v>
      </c>
      <c r="AE63" s="130">
        <v>0</v>
      </c>
      <c r="AF63" s="130">
        <v>10</v>
      </c>
      <c r="AG63" t="s">
        <v>1720</v>
      </c>
    </row>
    <row r="64" spans="1:33" x14ac:dyDescent="0.25">
      <c r="A64">
        <v>157</v>
      </c>
      <c r="B64" t="s">
        <v>1721</v>
      </c>
      <c r="C64" t="s">
        <v>1701</v>
      </c>
      <c r="D64">
        <v>7272</v>
      </c>
      <c r="E64">
        <v>7999</v>
      </c>
      <c r="F64">
        <v>100</v>
      </c>
      <c r="G64">
        <v>2000</v>
      </c>
      <c r="H64">
        <v>0</v>
      </c>
      <c r="I64">
        <v>6.1</v>
      </c>
      <c r="J64" s="29">
        <v>5.63</v>
      </c>
      <c r="K64" s="130">
        <v>0.17</v>
      </c>
      <c r="L64" s="130">
        <v>2.2000000000000002</v>
      </c>
      <c r="M64" s="130">
        <v>0.1</v>
      </c>
      <c r="N64" s="130">
        <v>0</v>
      </c>
      <c r="O64" s="130">
        <v>0.6</v>
      </c>
      <c r="P64" s="130">
        <v>0.88500000000000001</v>
      </c>
      <c r="Q64" s="130">
        <v>0.8</v>
      </c>
      <c r="R64" s="130">
        <v>0</v>
      </c>
      <c r="S64" s="130">
        <v>0.25</v>
      </c>
      <c r="T64" s="130">
        <v>15</v>
      </c>
      <c r="U64" s="130">
        <v>25</v>
      </c>
      <c r="V64" s="130">
        <v>100</v>
      </c>
      <c r="W64" s="130">
        <v>1</v>
      </c>
      <c r="X64" s="130">
        <v>0</v>
      </c>
      <c r="Y64" s="130">
        <v>0</v>
      </c>
      <c r="Z64" s="149">
        <v>0</v>
      </c>
      <c r="AA64" s="130">
        <v>0</v>
      </c>
      <c r="AB64" s="130">
        <v>0</v>
      </c>
      <c r="AC64" s="130">
        <v>0</v>
      </c>
      <c r="AD64" s="130">
        <v>0</v>
      </c>
      <c r="AE64" s="130">
        <v>0</v>
      </c>
      <c r="AF64" s="130">
        <v>10</v>
      </c>
      <c r="AG64" t="s">
        <v>1722</v>
      </c>
    </row>
    <row r="65" spans="1:33" x14ac:dyDescent="0.25">
      <c r="A65">
        <v>160</v>
      </c>
      <c r="B65" t="s">
        <v>1723</v>
      </c>
      <c r="C65" t="s">
        <v>1701</v>
      </c>
      <c r="D65">
        <v>16405</v>
      </c>
      <c r="E65">
        <v>18045</v>
      </c>
      <c r="F65">
        <v>150</v>
      </c>
      <c r="G65">
        <v>2500</v>
      </c>
      <c r="H65">
        <v>0</v>
      </c>
      <c r="I65">
        <v>11</v>
      </c>
      <c r="J65" s="29">
        <v>8.0500000000000007</v>
      </c>
      <c r="K65" s="130">
        <v>0.27</v>
      </c>
      <c r="L65" s="130">
        <v>1.4</v>
      </c>
      <c r="M65" s="130">
        <v>0.1</v>
      </c>
      <c r="N65" s="130">
        <v>0</v>
      </c>
      <c r="O65" s="130">
        <v>0.6</v>
      </c>
      <c r="P65" s="130">
        <v>0.88500000000000001</v>
      </c>
      <c r="Q65" s="130">
        <v>0.75</v>
      </c>
      <c r="R65" s="130">
        <v>0</v>
      </c>
      <c r="S65" s="130">
        <v>0.3</v>
      </c>
      <c r="T65" s="130">
        <v>20</v>
      </c>
      <c r="U65" s="130">
        <v>100</v>
      </c>
      <c r="V65" s="130">
        <v>25</v>
      </c>
      <c r="W65" s="130">
        <v>0.3</v>
      </c>
      <c r="X65" s="130">
        <v>0</v>
      </c>
      <c r="Y65" s="130">
        <v>0</v>
      </c>
      <c r="Z65" s="149">
        <v>0</v>
      </c>
      <c r="AA65" s="130">
        <v>0</v>
      </c>
      <c r="AB65" s="130">
        <v>0</v>
      </c>
      <c r="AC65" s="130">
        <v>0</v>
      </c>
      <c r="AD65" s="130">
        <v>0</v>
      </c>
      <c r="AE65" s="130">
        <v>0</v>
      </c>
      <c r="AF65" s="130">
        <v>10</v>
      </c>
      <c r="AG65" t="s">
        <v>1724</v>
      </c>
    </row>
    <row r="66" spans="1:33" x14ac:dyDescent="0.25">
      <c r="A66">
        <v>162</v>
      </c>
      <c r="B66" t="s">
        <v>1725</v>
      </c>
      <c r="C66" t="s">
        <v>1701</v>
      </c>
      <c r="D66">
        <v>5757</v>
      </c>
      <c r="E66">
        <v>6332</v>
      </c>
      <c r="F66">
        <v>150</v>
      </c>
      <c r="G66">
        <v>2500</v>
      </c>
      <c r="H66">
        <v>0</v>
      </c>
      <c r="I66">
        <v>11</v>
      </c>
      <c r="J66" s="29">
        <v>6.44</v>
      </c>
      <c r="K66" s="130">
        <v>0.27</v>
      </c>
      <c r="L66" s="130">
        <v>1.4</v>
      </c>
      <c r="M66" s="130">
        <v>0.1</v>
      </c>
      <c r="N66" s="130">
        <v>0</v>
      </c>
      <c r="O66" s="130">
        <v>0.6</v>
      </c>
      <c r="P66" s="130">
        <v>0.88500000000000001</v>
      </c>
      <c r="Q66" s="130">
        <v>0.75</v>
      </c>
      <c r="R66" s="130">
        <v>0</v>
      </c>
      <c r="S66" s="130">
        <v>0.2</v>
      </c>
      <c r="T66" s="130">
        <v>13</v>
      </c>
      <c r="U66" s="130">
        <v>25</v>
      </c>
      <c r="V66" s="130">
        <v>0</v>
      </c>
      <c r="W66" s="130">
        <v>0</v>
      </c>
      <c r="X66" s="130">
        <v>0</v>
      </c>
      <c r="Y66" s="130">
        <v>0</v>
      </c>
      <c r="Z66" s="149">
        <v>0</v>
      </c>
      <c r="AA66" s="130">
        <v>0</v>
      </c>
      <c r="AB66" s="130">
        <v>0</v>
      </c>
      <c r="AC66" s="130">
        <v>0</v>
      </c>
      <c r="AD66" s="130">
        <v>0</v>
      </c>
      <c r="AE66" s="130">
        <v>0</v>
      </c>
      <c r="AF66" s="130">
        <v>10</v>
      </c>
      <c r="AG66" t="s">
        <v>1726</v>
      </c>
    </row>
    <row r="67" spans="1:33" x14ac:dyDescent="0.25">
      <c r="A67">
        <v>165</v>
      </c>
      <c r="B67" t="s">
        <v>1727</v>
      </c>
      <c r="C67" t="s">
        <v>1701</v>
      </c>
      <c r="D67">
        <v>5904</v>
      </c>
      <c r="E67">
        <v>6494</v>
      </c>
      <c r="F67">
        <v>100</v>
      </c>
      <c r="G67">
        <v>2000</v>
      </c>
      <c r="H67">
        <v>0</v>
      </c>
      <c r="I67">
        <v>4.3</v>
      </c>
      <c r="J67" s="29">
        <v>9.65</v>
      </c>
      <c r="K67" s="130">
        <v>0.16</v>
      </c>
      <c r="L67" s="130">
        <v>1.7</v>
      </c>
      <c r="M67" s="130">
        <v>0.1</v>
      </c>
      <c r="N67" s="130">
        <v>0</v>
      </c>
      <c r="O67" s="130">
        <v>0.6</v>
      </c>
      <c r="P67" s="130">
        <v>0.88500000000000001</v>
      </c>
      <c r="Q67" s="130">
        <v>0.85</v>
      </c>
      <c r="R67" s="130">
        <v>0</v>
      </c>
      <c r="S67" s="130">
        <v>0.35</v>
      </c>
      <c r="T67" s="130">
        <v>5</v>
      </c>
      <c r="U67" s="130">
        <v>40</v>
      </c>
      <c r="V67" s="130">
        <v>25</v>
      </c>
      <c r="W67" s="130">
        <v>1.78</v>
      </c>
      <c r="X67" s="130">
        <v>0</v>
      </c>
      <c r="Y67" s="130">
        <v>0</v>
      </c>
      <c r="Z67" s="149">
        <v>0</v>
      </c>
      <c r="AA67" s="130">
        <v>0</v>
      </c>
      <c r="AB67" s="130">
        <v>0</v>
      </c>
      <c r="AC67" s="130">
        <v>0</v>
      </c>
      <c r="AD67" s="130">
        <v>0</v>
      </c>
      <c r="AE67" s="130">
        <v>0</v>
      </c>
      <c r="AF67" s="130">
        <v>10</v>
      </c>
      <c r="AG67" t="s">
        <v>1728</v>
      </c>
    </row>
    <row r="68" spans="1:33" x14ac:dyDescent="0.25">
      <c r="A68">
        <v>166</v>
      </c>
      <c r="B68" t="s">
        <v>1729</v>
      </c>
      <c r="C68" t="s">
        <v>1701</v>
      </c>
      <c r="D68">
        <v>7096</v>
      </c>
      <c r="E68">
        <v>7806</v>
      </c>
      <c r="F68">
        <v>50</v>
      </c>
      <c r="G68">
        <v>2500</v>
      </c>
      <c r="H68">
        <v>0</v>
      </c>
      <c r="I68">
        <v>2.1</v>
      </c>
      <c r="J68" s="29">
        <v>7.24</v>
      </c>
      <c r="K68" s="130">
        <v>0.18</v>
      </c>
      <c r="L68" s="130">
        <v>1.7</v>
      </c>
      <c r="M68" s="130">
        <v>0.1</v>
      </c>
      <c r="N68" s="130">
        <v>0</v>
      </c>
      <c r="O68" s="130">
        <v>0.6</v>
      </c>
      <c r="P68" s="130">
        <v>0.88500000000000001</v>
      </c>
      <c r="Q68" s="130">
        <v>0.8</v>
      </c>
      <c r="R68" s="130">
        <v>0</v>
      </c>
      <c r="S68" s="130">
        <v>0.5</v>
      </c>
      <c r="T68" s="130">
        <v>18</v>
      </c>
      <c r="U68" s="130">
        <v>75</v>
      </c>
      <c r="V68" s="130">
        <v>0</v>
      </c>
      <c r="W68" s="130">
        <v>0</v>
      </c>
      <c r="X68" s="130">
        <v>0</v>
      </c>
      <c r="Y68" s="130">
        <v>0</v>
      </c>
      <c r="Z68" s="149">
        <v>0</v>
      </c>
      <c r="AA68" s="130">
        <v>0</v>
      </c>
      <c r="AB68" s="130">
        <v>0</v>
      </c>
      <c r="AC68" s="130">
        <v>0</v>
      </c>
      <c r="AD68" s="130">
        <v>0</v>
      </c>
      <c r="AE68" s="130">
        <v>0</v>
      </c>
      <c r="AF68" s="130">
        <v>10</v>
      </c>
      <c r="AG68" t="s">
        <v>1730</v>
      </c>
    </row>
    <row r="69" spans="1:33" x14ac:dyDescent="0.25">
      <c r="A69">
        <v>172</v>
      </c>
      <c r="B69" t="s">
        <v>1731</v>
      </c>
      <c r="C69" t="s">
        <v>1701</v>
      </c>
      <c r="D69">
        <v>7824</v>
      </c>
      <c r="E69">
        <v>8606</v>
      </c>
      <c r="F69">
        <v>100</v>
      </c>
      <c r="G69">
        <v>2500</v>
      </c>
      <c r="H69">
        <v>0</v>
      </c>
      <c r="I69">
        <v>4.3</v>
      </c>
      <c r="J69" s="29">
        <v>7.24</v>
      </c>
      <c r="K69" s="130">
        <v>0.28999999999999998</v>
      </c>
      <c r="L69" s="130">
        <v>1.8</v>
      </c>
      <c r="M69" s="130">
        <v>0.1</v>
      </c>
      <c r="N69" s="130">
        <v>0</v>
      </c>
      <c r="O69" s="130">
        <v>0.6</v>
      </c>
      <c r="P69" s="130">
        <v>0.88500000000000001</v>
      </c>
      <c r="Q69" s="130">
        <v>0.8</v>
      </c>
      <c r="R69" s="130">
        <v>0</v>
      </c>
      <c r="S69" s="130">
        <v>0.8</v>
      </c>
      <c r="T69" s="130">
        <v>25</v>
      </c>
      <c r="U69" s="130">
        <v>40</v>
      </c>
      <c r="V69" s="130">
        <v>75</v>
      </c>
      <c r="W69" s="130">
        <v>1</v>
      </c>
      <c r="X69" s="130">
        <v>0</v>
      </c>
      <c r="Y69" s="130">
        <v>0</v>
      </c>
      <c r="Z69" s="149">
        <v>0</v>
      </c>
      <c r="AA69" s="130">
        <v>0</v>
      </c>
      <c r="AB69" s="130">
        <v>0</v>
      </c>
      <c r="AC69" s="130">
        <v>0</v>
      </c>
      <c r="AD69" s="130">
        <v>0</v>
      </c>
      <c r="AE69" s="130">
        <v>0</v>
      </c>
      <c r="AF69" s="130">
        <v>10</v>
      </c>
      <c r="AG69" t="s">
        <v>1732</v>
      </c>
    </row>
    <row r="70" spans="1:33" x14ac:dyDescent="0.25">
      <c r="A70">
        <v>177</v>
      </c>
      <c r="B70" t="s">
        <v>1733</v>
      </c>
      <c r="C70" t="s">
        <v>1701</v>
      </c>
      <c r="D70">
        <v>848</v>
      </c>
      <c r="E70">
        <v>932</v>
      </c>
      <c r="F70">
        <v>50</v>
      </c>
      <c r="G70">
        <v>2000</v>
      </c>
      <c r="H70">
        <v>0</v>
      </c>
      <c r="I70">
        <v>4.3</v>
      </c>
      <c r="J70" s="29">
        <v>11.26</v>
      </c>
      <c r="K70" s="130">
        <v>0.23</v>
      </c>
      <c r="L70" s="130">
        <v>1.4</v>
      </c>
      <c r="M70" s="130">
        <v>0.1</v>
      </c>
      <c r="N70" s="130">
        <v>0</v>
      </c>
      <c r="O70" s="130">
        <v>0.6</v>
      </c>
      <c r="P70" s="130">
        <v>0.88500000000000001</v>
      </c>
      <c r="Q70" s="130">
        <v>0.8</v>
      </c>
      <c r="R70" s="130">
        <v>0</v>
      </c>
      <c r="S70" s="130">
        <v>0.2</v>
      </c>
      <c r="T70" s="130">
        <v>10</v>
      </c>
      <c r="U70" s="130">
        <v>100</v>
      </c>
      <c r="V70" s="130">
        <v>0</v>
      </c>
      <c r="W70" s="130">
        <v>0</v>
      </c>
      <c r="X70" s="130">
        <v>0</v>
      </c>
      <c r="Y70" s="130">
        <v>0</v>
      </c>
      <c r="Z70" s="149">
        <v>0</v>
      </c>
      <c r="AA70" s="130">
        <v>0</v>
      </c>
      <c r="AB70" s="130">
        <v>0</v>
      </c>
      <c r="AC70" s="130">
        <v>0</v>
      </c>
      <c r="AD70" s="130">
        <v>0</v>
      </c>
      <c r="AE70" s="130">
        <v>0</v>
      </c>
      <c r="AF70" s="130">
        <v>10</v>
      </c>
      <c r="AG70" t="s">
        <v>1734</v>
      </c>
    </row>
    <row r="71" spans="1:33" x14ac:dyDescent="0.25">
      <c r="A71">
        <v>178</v>
      </c>
      <c r="B71" t="s">
        <v>1735</v>
      </c>
      <c r="C71" t="s">
        <v>1701</v>
      </c>
      <c r="D71">
        <v>7062</v>
      </c>
      <c r="E71">
        <v>7768</v>
      </c>
      <c r="F71">
        <v>100</v>
      </c>
      <c r="G71">
        <v>2000</v>
      </c>
      <c r="H71">
        <v>0</v>
      </c>
      <c r="I71">
        <v>4.3</v>
      </c>
      <c r="J71" s="29">
        <v>7.24</v>
      </c>
      <c r="K71" s="130">
        <v>0.16</v>
      </c>
      <c r="L71" s="130">
        <v>1.3</v>
      </c>
      <c r="M71" s="130">
        <v>0.1</v>
      </c>
      <c r="N71" s="130">
        <v>0</v>
      </c>
      <c r="O71" s="130">
        <v>0.6</v>
      </c>
      <c r="P71" s="130">
        <v>0.88500000000000001</v>
      </c>
      <c r="Q71" s="130">
        <v>0.8</v>
      </c>
      <c r="R71" s="130">
        <v>0</v>
      </c>
      <c r="S71" s="130">
        <v>0</v>
      </c>
      <c r="T71" s="130">
        <v>0</v>
      </c>
      <c r="U71" s="130">
        <v>100</v>
      </c>
      <c r="V71" s="130">
        <v>0</v>
      </c>
      <c r="W71" s="130">
        <v>0</v>
      </c>
      <c r="X71" s="130">
        <v>0</v>
      </c>
      <c r="Y71" s="130">
        <v>0</v>
      </c>
      <c r="Z71" s="149">
        <v>0</v>
      </c>
      <c r="AA71" s="130">
        <v>0</v>
      </c>
      <c r="AB71" s="130">
        <v>0</v>
      </c>
      <c r="AC71" s="130">
        <v>0</v>
      </c>
      <c r="AD71" s="130">
        <v>0</v>
      </c>
      <c r="AE71" s="130">
        <v>0</v>
      </c>
      <c r="AF71" s="130">
        <v>10</v>
      </c>
      <c r="AG71" t="s">
        <v>1736</v>
      </c>
    </row>
    <row r="72" spans="1:33" x14ac:dyDescent="0.25">
      <c r="A72">
        <v>185</v>
      </c>
      <c r="B72" t="s">
        <v>1737</v>
      </c>
      <c r="C72" t="s">
        <v>1701</v>
      </c>
      <c r="D72">
        <v>3190</v>
      </c>
      <c r="E72">
        <v>3509</v>
      </c>
      <c r="F72">
        <v>40</v>
      </c>
      <c r="G72">
        <v>2500</v>
      </c>
      <c r="H72">
        <v>0</v>
      </c>
      <c r="I72">
        <v>6.4</v>
      </c>
      <c r="J72" s="29">
        <v>8.0500000000000007</v>
      </c>
      <c r="K72" s="130">
        <v>0.27</v>
      </c>
      <c r="L72" s="130">
        <v>1.4</v>
      </c>
      <c r="M72" s="130">
        <v>0.1</v>
      </c>
      <c r="N72" s="130">
        <v>0</v>
      </c>
      <c r="O72" s="130">
        <v>0.6</v>
      </c>
      <c r="P72" s="130">
        <v>0.88500000000000001</v>
      </c>
      <c r="Q72" s="130">
        <v>0.85</v>
      </c>
      <c r="R72" s="130">
        <v>0</v>
      </c>
      <c r="S72" s="130">
        <v>0.2</v>
      </c>
      <c r="T72" s="130">
        <v>13</v>
      </c>
      <c r="U72" s="130">
        <v>25</v>
      </c>
      <c r="V72" s="130">
        <v>0</v>
      </c>
      <c r="W72" s="130">
        <v>0</v>
      </c>
      <c r="X72" s="130">
        <v>0</v>
      </c>
      <c r="Y72" s="130">
        <v>0</v>
      </c>
      <c r="Z72" s="149">
        <v>0</v>
      </c>
      <c r="AA72" s="130">
        <v>0</v>
      </c>
      <c r="AB72" s="130">
        <v>0</v>
      </c>
      <c r="AC72" s="130">
        <v>0</v>
      </c>
      <c r="AD72" s="130">
        <v>0</v>
      </c>
      <c r="AE72" s="130">
        <v>0</v>
      </c>
      <c r="AF72" s="130">
        <v>10</v>
      </c>
      <c r="AG72" t="s">
        <v>1738</v>
      </c>
    </row>
    <row r="73" spans="1:33" x14ac:dyDescent="0.25">
      <c r="A73">
        <v>188</v>
      </c>
      <c r="B73" t="s">
        <v>1739</v>
      </c>
      <c r="C73" t="s">
        <v>1701</v>
      </c>
      <c r="D73">
        <v>2317</v>
      </c>
      <c r="E73">
        <v>2548</v>
      </c>
      <c r="F73">
        <v>40</v>
      </c>
      <c r="G73">
        <v>2000</v>
      </c>
      <c r="H73">
        <v>0</v>
      </c>
      <c r="I73">
        <v>7.9</v>
      </c>
      <c r="J73" s="29">
        <v>8.0500000000000007</v>
      </c>
      <c r="K73" s="130">
        <v>0.27</v>
      </c>
      <c r="L73" s="130">
        <v>1.4</v>
      </c>
      <c r="M73" s="130">
        <v>0.1</v>
      </c>
      <c r="N73" s="130">
        <v>0</v>
      </c>
      <c r="O73" s="130">
        <v>0.6</v>
      </c>
      <c r="P73" s="130">
        <v>0.88500000000000001</v>
      </c>
      <c r="Q73" s="130">
        <v>0.85</v>
      </c>
      <c r="R73" s="130">
        <v>0</v>
      </c>
      <c r="S73" s="130">
        <v>0.25</v>
      </c>
      <c r="T73" s="130">
        <v>13</v>
      </c>
      <c r="U73" s="130">
        <v>25</v>
      </c>
      <c r="V73" s="130">
        <v>0</v>
      </c>
      <c r="W73" s="130">
        <v>0</v>
      </c>
      <c r="X73" s="130">
        <v>0</v>
      </c>
      <c r="Y73" s="130">
        <v>0</v>
      </c>
      <c r="Z73" s="149">
        <v>0</v>
      </c>
      <c r="AA73" s="130">
        <v>0</v>
      </c>
      <c r="AB73" s="130">
        <v>0</v>
      </c>
      <c r="AC73" s="130">
        <v>0</v>
      </c>
      <c r="AD73" s="130">
        <v>0</v>
      </c>
      <c r="AE73" s="130">
        <v>0</v>
      </c>
      <c r="AF73" s="130">
        <v>10</v>
      </c>
      <c r="AG73" t="s">
        <v>1740</v>
      </c>
    </row>
    <row r="74" spans="1:33" x14ac:dyDescent="0.25">
      <c r="A74">
        <v>190</v>
      </c>
      <c r="B74" t="s">
        <v>1741</v>
      </c>
      <c r="C74" t="s">
        <v>1701</v>
      </c>
      <c r="D74">
        <v>4197</v>
      </c>
      <c r="E74">
        <v>4617</v>
      </c>
      <c r="F74">
        <v>100</v>
      </c>
      <c r="G74">
        <v>2000</v>
      </c>
      <c r="H74">
        <v>0</v>
      </c>
      <c r="I74">
        <v>4.9000000000000004</v>
      </c>
      <c r="J74" s="29">
        <v>8.0500000000000007</v>
      </c>
      <c r="K74" s="130">
        <v>0.27</v>
      </c>
      <c r="L74" s="130">
        <v>1.4</v>
      </c>
      <c r="M74" s="130">
        <v>0.1</v>
      </c>
      <c r="N74" s="130">
        <v>0</v>
      </c>
      <c r="O74" s="130">
        <v>0.6</v>
      </c>
      <c r="P74" s="130">
        <v>0.88500000000000001</v>
      </c>
      <c r="Q74" s="130">
        <v>0.85</v>
      </c>
      <c r="R74" s="130">
        <v>0</v>
      </c>
      <c r="S74" s="130">
        <v>0.35</v>
      </c>
      <c r="T74" s="130">
        <v>13</v>
      </c>
      <c r="U74" s="130">
        <v>25</v>
      </c>
      <c r="V74" s="130">
        <v>0</v>
      </c>
      <c r="W74" s="130">
        <v>0</v>
      </c>
      <c r="X74" s="130">
        <v>0</v>
      </c>
      <c r="Y74" s="130">
        <v>0</v>
      </c>
      <c r="Z74" s="149">
        <v>0</v>
      </c>
      <c r="AA74" s="130">
        <v>0</v>
      </c>
      <c r="AB74" s="130">
        <v>0</v>
      </c>
      <c r="AC74" s="130">
        <v>0</v>
      </c>
      <c r="AD74" s="130">
        <v>0</v>
      </c>
      <c r="AE74" s="130">
        <v>0</v>
      </c>
      <c r="AF74" s="130">
        <v>10</v>
      </c>
      <c r="AG74" t="s">
        <v>1742</v>
      </c>
    </row>
    <row r="75" spans="1:33" x14ac:dyDescent="0.25">
      <c r="A75">
        <v>196</v>
      </c>
      <c r="B75" t="s">
        <v>1743</v>
      </c>
      <c r="C75" t="s">
        <v>1701</v>
      </c>
      <c r="D75">
        <v>3970</v>
      </c>
      <c r="E75">
        <v>4367</v>
      </c>
      <c r="F75">
        <v>40</v>
      </c>
      <c r="G75">
        <v>2000</v>
      </c>
      <c r="H75">
        <v>0</v>
      </c>
      <c r="I75">
        <v>4.3</v>
      </c>
      <c r="J75" s="29">
        <v>11.26</v>
      </c>
      <c r="K75" s="130">
        <v>0.23</v>
      </c>
      <c r="L75" s="130">
        <v>1.4</v>
      </c>
      <c r="M75" s="130">
        <v>0.1</v>
      </c>
      <c r="N75" s="130">
        <v>0</v>
      </c>
      <c r="O75" s="130">
        <v>0.6</v>
      </c>
      <c r="P75" s="130">
        <v>0.88500000000000001</v>
      </c>
      <c r="Q75" s="130">
        <v>0.8</v>
      </c>
      <c r="R75" s="130">
        <v>0</v>
      </c>
      <c r="S75" s="130">
        <v>0.1</v>
      </c>
      <c r="T75" s="130">
        <v>13</v>
      </c>
      <c r="U75" s="130">
        <v>5</v>
      </c>
      <c r="V75" s="130">
        <v>0</v>
      </c>
      <c r="W75" s="130">
        <v>0</v>
      </c>
      <c r="X75" s="130">
        <v>0</v>
      </c>
      <c r="Y75" s="130">
        <v>0</v>
      </c>
      <c r="Z75" s="149">
        <v>0</v>
      </c>
      <c r="AA75" s="130">
        <v>0</v>
      </c>
      <c r="AB75" s="130">
        <v>0</v>
      </c>
      <c r="AC75" s="130">
        <v>0</v>
      </c>
      <c r="AD75" s="130">
        <v>0</v>
      </c>
      <c r="AE75" s="130">
        <v>0</v>
      </c>
      <c r="AF75" s="130">
        <v>10</v>
      </c>
      <c r="AG75" t="s">
        <v>1744</v>
      </c>
    </row>
    <row r="76" spans="1:33" x14ac:dyDescent="0.25">
      <c r="A76">
        <v>199</v>
      </c>
      <c r="B76" t="s">
        <v>1745</v>
      </c>
      <c r="C76" t="s">
        <v>1701</v>
      </c>
      <c r="D76">
        <v>14406</v>
      </c>
      <c r="E76">
        <v>15846</v>
      </c>
      <c r="F76">
        <v>100</v>
      </c>
      <c r="G76">
        <v>2500</v>
      </c>
      <c r="H76">
        <v>0</v>
      </c>
      <c r="I76">
        <v>4.3</v>
      </c>
      <c r="J76" s="29">
        <v>6.44</v>
      </c>
      <c r="K76" s="130">
        <v>0.36</v>
      </c>
      <c r="L76" s="130">
        <v>2</v>
      </c>
      <c r="M76" s="130">
        <v>0.1</v>
      </c>
      <c r="N76" s="130">
        <v>0</v>
      </c>
      <c r="O76" s="130">
        <v>0.6</v>
      </c>
      <c r="P76" s="130">
        <v>0.88500000000000001</v>
      </c>
      <c r="Q76" s="130">
        <v>0.8</v>
      </c>
      <c r="R76" s="130">
        <v>0</v>
      </c>
      <c r="S76" s="130">
        <v>0.8</v>
      </c>
      <c r="T76" s="130">
        <v>13</v>
      </c>
      <c r="U76" s="130">
        <v>5</v>
      </c>
      <c r="V76" s="130">
        <v>0</v>
      </c>
      <c r="W76" s="130">
        <v>0</v>
      </c>
      <c r="X76" s="130">
        <v>0</v>
      </c>
      <c r="Y76" s="130">
        <v>0</v>
      </c>
      <c r="Z76" s="149">
        <v>0</v>
      </c>
      <c r="AA76" s="130">
        <v>0</v>
      </c>
      <c r="AB76" s="130">
        <v>0</v>
      </c>
      <c r="AC76" s="130">
        <v>0</v>
      </c>
      <c r="AD76" s="130">
        <v>0</v>
      </c>
      <c r="AE76" s="130">
        <v>0</v>
      </c>
      <c r="AF76" s="130">
        <v>10</v>
      </c>
      <c r="AG76" t="s">
        <v>1746</v>
      </c>
    </row>
    <row r="77" spans="1:33" x14ac:dyDescent="0.25">
      <c r="A77">
        <v>207</v>
      </c>
      <c r="B77" t="s">
        <v>1747</v>
      </c>
      <c r="C77" t="s">
        <v>1701</v>
      </c>
      <c r="D77">
        <v>16155</v>
      </c>
      <c r="E77">
        <v>17771</v>
      </c>
      <c r="F77">
        <v>100</v>
      </c>
      <c r="G77">
        <v>1500</v>
      </c>
      <c r="H77">
        <v>0</v>
      </c>
      <c r="I77">
        <v>3</v>
      </c>
      <c r="J77" s="29">
        <v>3.2</v>
      </c>
      <c r="K77" s="130">
        <v>0.28000000000000003</v>
      </c>
      <c r="L77" s="130">
        <v>1.4</v>
      </c>
      <c r="M77" s="130">
        <v>0</v>
      </c>
      <c r="N77" s="130">
        <v>0</v>
      </c>
      <c r="O77" s="130">
        <v>0.8</v>
      </c>
      <c r="P77" s="130">
        <v>0.96</v>
      </c>
      <c r="Q77" s="130">
        <v>0.65</v>
      </c>
      <c r="R77" s="130">
        <v>0</v>
      </c>
      <c r="S77" s="130">
        <v>0.5</v>
      </c>
      <c r="T77" s="130">
        <v>20</v>
      </c>
      <c r="U77" s="130">
        <v>150</v>
      </c>
      <c r="V77" s="130">
        <v>0</v>
      </c>
      <c r="W77" s="130">
        <v>0</v>
      </c>
      <c r="X77" s="130">
        <v>0</v>
      </c>
      <c r="Y77" s="130">
        <v>0</v>
      </c>
      <c r="Z77" s="149">
        <v>2</v>
      </c>
      <c r="AA77" s="130">
        <v>0.95</v>
      </c>
      <c r="AB77" s="130">
        <v>0.5</v>
      </c>
      <c r="AC77" s="130">
        <v>0</v>
      </c>
      <c r="AD77" s="130">
        <v>0</v>
      </c>
      <c r="AE77" s="130">
        <v>0</v>
      </c>
      <c r="AF77" s="130">
        <v>10</v>
      </c>
      <c r="AG77" t="s">
        <v>1748</v>
      </c>
    </row>
    <row r="78" spans="1:33" x14ac:dyDescent="0.25">
      <c r="A78">
        <v>211</v>
      </c>
      <c r="B78" t="s">
        <v>1749</v>
      </c>
      <c r="C78" t="s">
        <v>1701</v>
      </c>
      <c r="D78">
        <v>13000</v>
      </c>
      <c r="E78">
        <v>14300</v>
      </c>
      <c r="F78">
        <v>100</v>
      </c>
      <c r="G78">
        <v>2000</v>
      </c>
      <c r="H78">
        <v>0</v>
      </c>
      <c r="I78">
        <v>4.3</v>
      </c>
      <c r="J78" s="29">
        <v>7.24</v>
      </c>
      <c r="K78" s="130">
        <v>0.28000000000000003</v>
      </c>
      <c r="L78" s="130">
        <v>1.4</v>
      </c>
      <c r="M78" s="130">
        <v>0.1</v>
      </c>
      <c r="N78" s="130">
        <v>0</v>
      </c>
      <c r="O78" s="130">
        <v>0.6</v>
      </c>
      <c r="P78" s="130">
        <v>0.88500000000000001</v>
      </c>
      <c r="Q78" s="130">
        <v>0.85</v>
      </c>
      <c r="R78" s="130">
        <v>0</v>
      </c>
      <c r="S78" s="130">
        <v>0.6</v>
      </c>
      <c r="T78" s="130">
        <v>20</v>
      </c>
      <c r="U78" s="130">
        <v>150</v>
      </c>
      <c r="V78" s="130">
        <v>50</v>
      </c>
      <c r="W78" s="130">
        <v>0.3</v>
      </c>
      <c r="X78" s="130">
        <v>0</v>
      </c>
      <c r="Y78" s="130">
        <v>0</v>
      </c>
      <c r="Z78" s="149">
        <v>0</v>
      </c>
      <c r="AA78" s="130">
        <v>0</v>
      </c>
      <c r="AB78" s="130">
        <v>0</v>
      </c>
      <c r="AC78" s="130">
        <v>0</v>
      </c>
      <c r="AD78" s="130">
        <v>0</v>
      </c>
      <c r="AE78" s="130">
        <v>0</v>
      </c>
      <c r="AF78" s="130">
        <v>10</v>
      </c>
      <c r="AG78" t="s">
        <v>1750</v>
      </c>
    </row>
    <row r="79" spans="1:33" x14ac:dyDescent="0.25">
      <c r="A79">
        <v>212</v>
      </c>
      <c r="B79" t="s">
        <v>1751</v>
      </c>
      <c r="C79" t="s">
        <v>1701</v>
      </c>
      <c r="D79">
        <v>7584</v>
      </c>
      <c r="E79">
        <v>8342</v>
      </c>
      <c r="F79">
        <v>100</v>
      </c>
      <c r="G79">
        <v>2500</v>
      </c>
      <c r="H79">
        <v>0</v>
      </c>
      <c r="I79">
        <v>5.5</v>
      </c>
      <c r="J79" s="29">
        <v>8.0500000000000007</v>
      </c>
      <c r="K79" s="130">
        <v>0.28000000000000003</v>
      </c>
      <c r="L79" s="130">
        <v>1.4</v>
      </c>
      <c r="M79" s="130">
        <v>0.1</v>
      </c>
      <c r="N79" s="130">
        <v>0</v>
      </c>
      <c r="O79" s="130">
        <v>0.6</v>
      </c>
      <c r="P79" s="130">
        <v>0.88500000000000001</v>
      </c>
      <c r="Q79" s="130">
        <v>0.8</v>
      </c>
      <c r="R79" s="130">
        <v>0</v>
      </c>
      <c r="S79" s="130">
        <v>0.4</v>
      </c>
      <c r="T79" s="130">
        <v>20</v>
      </c>
      <c r="U79" s="130">
        <v>150</v>
      </c>
      <c r="V79" s="130">
        <v>50</v>
      </c>
      <c r="W79" s="130">
        <v>0.3</v>
      </c>
      <c r="X79" s="130">
        <v>0</v>
      </c>
      <c r="Y79" s="130">
        <v>0</v>
      </c>
      <c r="Z79" s="149">
        <v>0</v>
      </c>
      <c r="AA79" s="130">
        <v>0</v>
      </c>
      <c r="AB79" s="130">
        <v>0</v>
      </c>
      <c r="AC79" s="130">
        <v>0</v>
      </c>
      <c r="AD79" s="130">
        <v>0</v>
      </c>
      <c r="AE79" s="130">
        <v>0</v>
      </c>
      <c r="AF79" s="130">
        <v>10</v>
      </c>
      <c r="AG79" t="s">
        <v>1752</v>
      </c>
    </row>
    <row r="80" spans="1:33" x14ac:dyDescent="0.25">
      <c r="A80">
        <v>213</v>
      </c>
      <c r="B80" t="s">
        <v>1753</v>
      </c>
      <c r="C80" t="s">
        <v>1701</v>
      </c>
      <c r="D80">
        <v>26200</v>
      </c>
      <c r="E80">
        <v>28820</v>
      </c>
      <c r="F80">
        <v>100</v>
      </c>
      <c r="G80">
        <v>2000</v>
      </c>
      <c r="H80">
        <v>0</v>
      </c>
      <c r="I80">
        <v>7.3</v>
      </c>
      <c r="J80" s="29">
        <v>7.24</v>
      </c>
      <c r="K80" s="130">
        <v>0.18</v>
      </c>
      <c r="L80" s="130">
        <v>1.7</v>
      </c>
      <c r="M80" s="130">
        <v>0.1</v>
      </c>
      <c r="N80" s="130">
        <v>0</v>
      </c>
      <c r="O80" s="130">
        <v>0.6</v>
      </c>
      <c r="P80" s="130">
        <v>0.88500000000000001</v>
      </c>
      <c r="Q80" s="130">
        <v>0.8</v>
      </c>
      <c r="R80" s="130">
        <v>0</v>
      </c>
      <c r="S80" s="130">
        <v>0.85</v>
      </c>
      <c r="T80" s="130">
        <v>50</v>
      </c>
      <c r="U80" s="130">
        <v>100</v>
      </c>
      <c r="V80" s="130">
        <v>0</v>
      </c>
      <c r="W80" s="130">
        <v>0</v>
      </c>
      <c r="X80" s="130">
        <v>0</v>
      </c>
      <c r="Y80" s="130">
        <v>0</v>
      </c>
      <c r="Z80" s="149">
        <v>0</v>
      </c>
      <c r="AA80" s="130">
        <v>0</v>
      </c>
      <c r="AB80" s="130">
        <v>0</v>
      </c>
      <c r="AC80" s="130">
        <v>0</v>
      </c>
      <c r="AD80" s="130">
        <v>0</v>
      </c>
      <c r="AE80" s="130">
        <v>0</v>
      </c>
      <c r="AF80" s="130">
        <v>10</v>
      </c>
      <c r="AG80" t="s">
        <v>1754</v>
      </c>
    </row>
    <row r="81" spans="1:33" x14ac:dyDescent="0.25">
      <c r="A81">
        <v>215</v>
      </c>
      <c r="B81" t="s">
        <v>1755</v>
      </c>
      <c r="C81" t="s">
        <v>1701</v>
      </c>
      <c r="D81">
        <v>8304</v>
      </c>
      <c r="E81">
        <v>9134</v>
      </c>
      <c r="F81">
        <v>100</v>
      </c>
      <c r="G81">
        <v>2000</v>
      </c>
      <c r="H81">
        <v>0</v>
      </c>
      <c r="I81">
        <v>2</v>
      </c>
      <c r="J81" s="29">
        <v>7.24</v>
      </c>
      <c r="K81" s="130">
        <v>0.28999999999999998</v>
      </c>
      <c r="L81" s="130">
        <v>1.8</v>
      </c>
      <c r="M81" s="130">
        <v>0.1</v>
      </c>
      <c r="N81" s="130">
        <v>0</v>
      </c>
      <c r="O81" s="130">
        <v>0.6</v>
      </c>
      <c r="P81" s="130">
        <v>0.88500000000000001</v>
      </c>
      <c r="Q81" s="130">
        <v>0.8</v>
      </c>
      <c r="R81" s="130">
        <v>0</v>
      </c>
      <c r="S81" s="130">
        <v>0.99</v>
      </c>
      <c r="T81" s="130">
        <v>30</v>
      </c>
      <c r="U81" s="130">
        <v>150</v>
      </c>
      <c r="V81" s="130">
        <v>0</v>
      </c>
      <c r="W81" s="130">
        <v>0</v>
      </c>
      <c r="X81" s="130">
        <v>0</v>
      </c>
      <c r="Y81" s="130">
        <v>0</v>
      </c>
      <c r="Z81" s="149">
        <v>0</v>
      </c>
      <c r="AA81" s="130">
        <v>0</v>
      </c>
      <c r="AB81" s="130">
        <v>0</v>
      </c>
      <c r="AC81" s="130">
        <v>0</v>
      </c>
      <c r="AD81" s="130">
        <v>0</v>
      </c>
      <c r="AE81" s="130">
        <v>0</v>
      </c>
      <c r="AF81" s="130">
        <v>10</v>
      </c>
      <c r="AG81" t="s">
        <v>1756</v>
      </c>
    </row>
    <row r="82" spans="1:33" x14ac:dyDescent="0.25">
      <c r="A82">
        <v>218</v>
      </c>
      <c r="B82" t="s">
        <v>1757</v>
      </c>
      <c r="C82" t="s">
        <v>1701</v>
      </c>
      <c r="D82">
        <v>14964</v>
      </c>
      <c r="E82">
        <v>16461</v>
      </c>
      <c r="F82">
        <v>100</v>
      </c>
      <c r="G82">
        <v>2000</v>
      </c>
      <c r="H82">
        <v>0</v>
      </c>
      <c r="I82">
        <v>2</v>
      </c>
      <c r="J82" s="29">
        <v>7.24</v>
      </c>
      <c r="K82" s="130">
        <v>0.28999999999999998</v>
      </c>
      <c r="L82" s="130">
        <v>1.8</v>
      </c>
      <c r="M82" s="130">
        <v>0.1</v>
      </c>
      <c r="N82" s="130">
        <v>0</v>
      </c>
      <c r="O82" s="130">
        <v>0.6</v>
      </c>
      <c r="P82" s="130">
        <v>0.88500000000000001</v>
      </c>
      <c r="Q82" s="130">
        <v>0.8</v>
      </c>
      <c r="R82" s="130">
        <v>0</v>
      </c>
      <c r="S82" s="130">
        <v>0.95</v>
      </c>
      <c r="T82" s="130">
        <v>30</v>
      </c>
      <c r="U82" s="130">
        <v>150</v>
      </c>
      <c r="V82" s="130">
        <v>0</v>
      </c>
      <c r="W82" s="130">
        <v>0</v>
      </c>
      <c r="X82" s="130">
        <v>0</v>
      </c>
      <c r="Y82" s="130">
        <v>0</v>
      </c>
      <c r="Z82" s="149">
        <v>0</v>
      </c>
      <c r="AA82" s="130">
        <v>0</v>
      </c>
      <c r="AB82" s="130">
        <v>0</v>
      </c>
      <c r="AC82" s="130">
        <v>0</v>
      </c>
      <c r="AD82" s="130">
        <v>0</v>
      </c>
      <c r="AE82" s="130">
        <v>0</v>
      </c>
      <c r="AF82" s="130">
        <v>10</v>
      </c>
      <c r="AG82" t="s">
        <v>1758</v>
      </c>
    </row>
    <row r="83" spans="1:33" x14ac:dyDescent="0.25">
      <c r="A83">
        <v>223</v>
      </c>
      <c r="B83" t="s">
        <v>1759</v>
      </c>
      <c r="C83" t="s">
        <v>1701</v>
      </c>
      <c r="D83">
        <v>10724</v>
      </c>
      <c r="E83">
        <v>11796</v>
      </c>
      <c r="F83">
        <v>100</v>
      </c>
      <c r="G83">
        <v>2000</v>
      </c>
      <c r="H83">
        <v>0</v>
      </c>
      <c r="I83">
        <v>5.5</v>
      </c>
      <c r="J83" s="29">
        <v>6.44</v>
      </c>
      <c r="K83" s="130">
        <v>0.28000000000000003</v>
      </c>
      <c r="L83" s="130">
        <v>1.4</v>
      </c>
      <c r="M83" s="130">
        <v>0.1</v>
      </c>
      <c r="N83" s="130">
        <v>0</v>
      </c>
      <c r="O83" s="130">
        <v>0.6</v>
      </c>
      <c r="P83" s="130">
        <v>0.88500000000000001</v>
      </c>
      <c r="Q83" s="130">
        <v>0.8</v>
      </c>
      <c r="R83" s="130">
        <v>0</v>
      </c>
      <c r="S83" s="130">
        <v>0.45</v>
      </c>
      <c r="T83" s="130">
        <v>15</v>
      </c>
      <c r="U83" s="130">
        <v>350</v>
      </c>
      <c r="V83" s="130">
        <v>0</v>
      </c>
      <c r="W83" s="130">
        <v>0</v>
      </c>
      <c r="X83" s="130">
        <v>0</v>
      </c>
      <c r="Y83" s="130">
        <v>0</v>
      </c>
      <c r="Z83" s="149">
        <v>0</v>
      </c>
      <c r="AA83" s="130">
        <v>0</v>
      </c>
      <c r="AB83" s="130">
        <v>0</v>
      </c>
      <c r="AC83" s="130">
        <v>0</v>
      </c>
      <c r="AD83" s="130">
        <v>0</v>
      </c>
      <c r="AE83" s="130">
        <v>0</v>
      </c>
      <c r="AF83" s="130">
        <v>10</v>
      </c>
      <c r="AG83" t="s">
        <v>1760</v>
      </c>
    </row>
    <row r="84" spans="1:33" x14ac:dyDescent="0.25">
      <c r="A84">
        <v>227</v>
      </c>
      <c r="B84" t="s">
        <v>1761</v>
      </c>
      <c r="C84" t="s">
        <v>1701</v>
      </c>
      <c r="D84">
        <v>7233</v>
      </c>
      <c r="E84">
        <v>7956</v>
      </c>
      <c r="F84">
        <v>58</v>
      </c>
      <c r="G84">
        <v>1750</v>
      </c>
      <c r="H84">
        <v>0</v>
      </c>
      <c r="I84">
        <v>1.8</v>
      </c>
      <c r="J84" s="29">
        <v>4.83</v>
      </c>
      <c r="K84" s="130">
        <v>0.16</v>
      </c>
      <c r="L84" s="130">
        <v>1.3</v>
      </c>
      <c r="M84" s="130">
        <v>0.1</v>
      </c>
      <c r="N84" s="130">
        <v>0</v>
      </c>
      <c r="O84" s="130">
        <v>0.6</v>
      </c>
      <c r="P84" s="130">
        <v>0.88500000000000001</v>
      </c>
      <c r="Q84" s="130">
        <v>0.7</v>
      </c>
      <c r="R84" s="130">
        <v>0</v>
      </c>
      <c r="S84" s="130">
        <v>0</v>
      </c>
      <c r="T84" s="130">
        <v>0</v>
      </c>
      <c r="U84" s="130">
        <v>50</v>
      </c>
      <c r="V84" s="130">
        <v>0</v>
      </c>
      <c r="W84" s="130">
        <v>0</v>
      </c>
      <c r="X84" s="130">
        <v>0</v>
      </c>
      <c r="Y84" s="130">
        <v>0</v>
      </c>
      <c r="Z84" s="149">
        <v>0</v>
      </c>
      <c r="AA84" s="130">
        <v>0</v>
      </c>
      <c r="AB84" s="130">
        <v>0</v>
      </c>
      <c r="AC84" s="130">
        <v>0</v>
      </c>
      <c r="AD84" s="130">
        <v>0</v>
      </c>
      <c r="AE84" s="130">
        <v>0</v>
      </c>
      <c r="AF84" s="130">
        <v>10</v>
      </c>
      <c r="AG84" t="s">
        <v>1762</v>
      </c>
    </row>
    <row r="85" spans="1:33" x14ac:dyDescent="0.25">
      <c r="A85">
        <v>230</v>
      </c>
      <c r="B85" t="s">
        <v>1763</v>
      </c>
      <c r="C85" t="s">
        <v>1701</v>
      </c>
      <c r="D85">
        <v>10525</v>
      </c>
      <c r="E85">
        <v>11578</v>
      </c>
      <c r="F85">
        <v>100</v>
      </c>
      <c r="G85">
        <v>2000</v>
      </c>
      <c r="H85">
        <v>0</v>
      </c>
      <c r="I85">
        <v>5.5</v>
      </c>
      <c r="J85" s="29">
        <v>6.44</v>
      </c>
      <c r="K85" s="130">
        <v>0.28000000000000003</v>
      </c>
      <c r="L85" s="130">
        <v>1.4</v>
      </c>
      <c r="M85" s="130">
        <v>0.1</v>
      </c>
      <c r="N85" s="130">
        <v>0</v>
      </c>
      <c r="O85" s="130">
        <v>0.6</v>
      </c>
      <c r="P85" s="130">
        <v>0.88500000000000001</v>
      </c>
      <c r="Q85" s="130">
        <v>0.8</v>
      </c>
      <c r="R85" s="130">
        <v>0</v>
      </c>
      <c r="S85" s="130">
        <v>0.25</v>
      </c>
      <c r="T85" s="130">
        <v>15</v>
      </c>
      <c r="U85" s="130">
        <v>350</v>
      </c>
      <c r="V85" s="130">
        <v>0</v>
      </c>
      <c r="W85" s="130">
        <v>0</v>
      </c>
      <c r="X85" s="130">
        <v>0</v>
      </c>
      <c r="Y85" s="130">
        <v>0</v>
      </c>
      <c r="Z85" s="149">
        <v>0</v>
      </c>
      <c r="AA85" s="130">
        <v>0</v>
      </c>
      <c r="AB85" s="130">
        <v>0</v>
      </c>
      <c r="AC85" s="130">
        <v>0</v>
      </c>
      <c r="AD85" s="130">
        <v>0</v>
      </c>
      <c r="AE85" s="130">
        <v>0</v>
      </c>
      <c r="AF85" s="130">
        <v>10</v>
      </c>
      <c r="AG85" t="s">
        <v>1764</v>
      </c>
    </row>
    <row r="86" spans="1:33" x14ac:dyDescent="0.25">
      <c r="A86">
        <v>238</v>
      </c>
      <c r="B86" t="s">
        <v>1765</v>
      </c>
      <c r="C86" t="s">
        <v>1701</v>
      </c>
      <c r="D86">
        <v>21009</v>
      </c>
      <c r="E86">
        <v>23110</v>
      </c>
      <c r="F86">
        <v>50</v>
      </c>
      <c r="G86">
        <v>2500</v>
      </c>
      <c r="H86">
        <v>0</v>
      </c>
      <c r="I86">
        <v>2.1</v>
      </c>
      <c r="J86" s="29">
        <v>7.24</v>
      </c>
      <c r="K86" s="130">
        <v>0.18</v>
      </c>
      <c r="L86" s="130">
        <v>1.7</v>
      </c>
      <c r="M86" s="130">
        <v>0.1</v>
      </c>
      <c r="N86" s="130">
        <v>0</v>
      </c>
      <c r="O86" s="130">
        <v>0.6</v>
      </c>
      <c r="P86" s="130">
        <v>0.88500000000000001</v>
      </c>
      <c r="Q86" s="130">
        <v>0.8</v>
      </c>
      <c r="R86" s="130">
        <v>0</v>
      </c>
      <c r="S86" s="130">
        <v>0.55000000000000004</v>
      </c>
      <c r="T86" s="130">
        <v>20</v>
      </c>
      <c r="U86" s="130">
        <v>150</v>
      </c>
      <c r="V86" s="130">
        <v>50</v>
      </c>
      <c r="W86" s="130">
        <v>0.3</v>
      </c>
      <c r="X86" s="130">
        <v>0</v>
      </c>
      <c r="Y86" s="130">
        <v>0</v>
      </c>
      <c r="Z86" s="149">
        <v>0</v>
      </c>
      <c r="AA86" s="130">
        <v>0</v>
      </c>
      <c r="AB86" s="130">
        <v>0</v>
      </c>
      <c r="AC86" s="130">
        <v>0</v>
      </c>
      <c r="AD86" s="130">
        <v>0</v>
      </c>
      <c r="AE86" s="130">
        <v>0</v>
      </c>
      <c r="AF86" s="130">
        <v>10</v>
      </c>
      <c r="AG86" t="s">
        <v>1766</v>
      </c>
    </row>
    <row r="87" spans="1:33" x14ac:dyDescent="0.25">
      <c r="A87">
        <v>240</v>
      </c>
      <c r="B87" t="s">
        <v>1767</v>
      </c>
      <c r="C87" t="s">
        <v>1701</v>
      </c>
      <c r="D87">
        <v>34677</v>
      </c>
      <c r="E87">
        <v>38145</v>
      </c>
      <c r="F87">
        <v>100</v>
      </c>
      <c r="G87">
        <v>2000</v>
      </c>
      <c r="H87">
        <v>0</v>
      </c>
      <c r="I87">
        <v>5.8</v>
      </c>
      <c r="J87" s="29">
        <v>7.24</v>
      </c>
      <c r="K87" s="130">
        <v>0.18</v>
      </c>
      <c r="L87" s="130">
        <v>1.7</v>
      </c>
      <c r="M87" s="130">
        <v>0.1</v>
      </c>
      <c r="N87" s="130">
        <v>0</v>
      </c>
      <c r="O87" s="130">
        <v>0.6</v>
      </c>
      <c r="P87" s="130">
        <v>0.88500000000000001</v>
      </c>
      <c r="Q87" s="130">
        <v>0.8</v>
      </c>
      <c r="R87" s="130">
        <v>0</v>
      </c>
      <c r="S87" s="130">
        <v>0.7</v>
      </c>
      <c r="T87" s="130">
        <v>50</v>
      </c>
      <c r="U87" s="130">
        <v>100</v>
      </c>
      <c r="V87" s="130">
        <v>0</v>
      </c>
      <c r="W87" s="130">
        <v>0</v>
      </c>
      <c r="X87" s="130">
        <v>0</v>
      </c>
      <c r="Y87" s="130">
        <v>0</v>
      </c>
      <c r="Z87" s="149">
        <v>0</v>
      </c>
      <c r="AA87" s="130">
        <v>0</v>
      </c>
      <c r="AB87" s="130">
        <v>0</v>
      </c>
      <c r="AC87" s="130">
        <v>0</v>
      </c>
      <c r="AD87" s="130">
        <v>0</v>
      </c>
      <c r="AE87" s="130">
        <v>0</v>
      </c>
      <c r="AF87" s="130">
        <v>10</v>
      </c>
      <c r="AG87" t="s">
        <v>1768</v>
      </c>
    </row>
    <row r="88" spans="1:33" x14ac:dyDescent="0.25">
      <c r="A88">
        <v>247</v>
      </c>
      <c r="B88" t="s">
        <v>1769</v>
      </c>
      <c r="C88" t="s">
        <v>1701</v>
      </c>
      <c r="D88">
        <v>29713</v>
      </c>
      <c r="E88">
        <v>32685</v>
      </c>
      <c r="F88">
        <v>100</v>
      </c>
      <c r="G88">
        <v>2000</v>
      </c>
      <c r="H88">
        <v>0</v>
      </c>
      <c r="I88">
        <v>5.8</v>
      </c>
      <c r="J88" s="29">
        <v>7.24</v>
      </c>
      <c r="K88" s="130">
        <v>0.18</v>
      </c>
      <c r="L88" s="130">
        <v>1.7</v>
      </c>
      <c r="M88" s="130">
        <v>0.1</v>
      </c>
      <c r="N88" s="130">
        <v>0</v>
      </c>
      <c r="O88" s="130">
        <v>0.6</v>
      </c>
      <c r="P88" s="130">
        <v>0.88500000000000001</v>
      </c>
      <c r="Q88" s="130">
        <v>0.8</v>
      </c>
      <c r="R88" s="130">
        <v>0</v>
      </c>
      <c r="S88" s="130">
        <v>0.55000000000000004</v>
      </c>
      <c r="T88" s="130">
        <v>18</v>
      </c>
      <c r="U88" s="130">
        <v>75</v>
      </c>
      <c r="V88" s="130">
        <v>0</v>
      </c>
      <c r="W88" s="130">
        <v>0</v>
      </c>
      <c r="X88" s="130">
        <v>0</v>
      </c>
      <c r="Y88" s="130">
        <v>0</v>
      </c>
      <c r="Z88" s="149">
        <v>0</v>
      </c>
      <c r="AA88" s="130">
        <v>0</v>
      </c>
      <c r="AB88" s="130">
        <v>0</v>
      </c>
      <c r="AC88" s="130">
        <v>0</v>
      </c>
      <c r="AD88" s="130">
        <v>0</v>
      </c>
      <c r="AE88" s="130">
        <v>0</v>
      </c>
      <c r="AF88" s="130">
        <v>10</v>
      </c>
      <c r="AG88" t="s">
        <v>1770</v>
      </c>
    </row>
    <row r="89" spans="1:33" x14ac:dyDescent="0.25">
      <c r="A89">
        <v>250</v>
      </c>
      <c r="B89" t="s">
        <v>1771</v>
      </c>
      <c r="C89" t="s">
        <v>1701</v>
      </c>
      <c r="D89">
        <v>17821</v>
      </c>
      <c r="E89">
        <v>19603</v>
      </c>
      <c r="F89">
        <v>100</v>
      </c>
      <c r="G89">
        <v>2000</v>
      </c>
      <c r="H89">
        <v>0</v>
      </c>
      <c r="I89">
        <v>5.8</v>
      </c>
      <c r="J89" s="29">
        <v>6.44</v>
      </c>
      <c r="K89" s="130">
        <v>0.18</v>
      </c>
      <c r="L89" s="130">
        <v>1.7</v>
      </c>
      <c r="M89" s="130">
        <v>0.1</v>
      </c>
      <c r="N89" s="130">
        <v>0</v>
      </c>
      <c r="O89" s="130">
        <v>0.6</v>
      </c>
      <c r="P89" s="130">
        <v>0.88500000000000001</v>
      </c>
      <c r="Q89" s="130">
        <v>0.8</v>
      </c>
      <c r="R89" s="130">
        <v>0</v>
      </c>
      <c r="S89" s="130">
        <v>0.75</v>
      </c>
      <c r="T89" s="130">
        <v>50</v>
      </c>
      <c r="U89" s="130">
        <v>100</v>
      </c>
      <c r="V89" s="130">
        <v>0</v>
      </c>
      <c r="W89" s="130">
        <v>0</v>
      </c>
      <c r="X89" s="130">
        <v>0</v>
      </c>
      <c r="Y89" s="130">
        <v>0</v>
      </c>
      <c r="Z89" s="149">
        <v>0</v>
      </c>
      <c r="AA89" s="130">
        <v>0</v>
      </c>
      <c r="AB89" s="130">
        <v>0</v>
      </c>
      <c r="AC89" s="130">
        <v>0</v>
      </c>
      <c r="AD89" s="130">
        <v>0</v>
      </c>
      <c r="AE89" s="130">
        <v>0</v>
      </c>
      <c r="AF89" s="130">
        <v>10</v>
      </c>
      <c r="AG89" t="s">
        <v>1772</v>
      </c>
    </row>
    <row r="90" spans="1:33" x14ac:dyDescent="0.25">
      <c r="A90">
        <v>254</v>
      </c>
      <c r="B90" t="s">
        <v>1933</v>
      </c>
      <c r="C90" t="s">
        <v>1701</v>
      </c>
      <c r="Z90" s="149">
        <v>21</v>
      </c>
      <c r="AA90" s="130">
        <v>0.999</v>
      </c>
      <c r="AE90" s="130">
        <v>0</v>
      </c>
      <c r="AF90" s="130">
        <v>10</v>
      </c>
      <c r="AG90" t="s">
        <v>1934</v>
      </c>
    </row>
    <row r="91" spans="1:33" x14ac:dyDescent="0.25">
      <c r="A91">
        <v>255</v>
      </c>
      <c r="B91" t="s">
        <v>1773</v>
      </c>
      <c r="C91" t="s">
        <v>1701</v>
      </c>
      <c r="D91">
        <v>291</v>
      </c>
      <c r="E91">
        <v>320</v>
      </c>
      <c r="F91">
        <v>250</v>
      </c>
      <c r="G91">
        <v>2500</v>
      </c>
      <c r="H91">
        <v>0</v>
      </c>
      <c r="I91">
        <v>3</v>
      </c>
      <c r="J91" s="29">
        <v>6.44</v>
      </c>
      <c r="K91" s="130">
        <v>0.28999999999999998</v>
      </c>
      <c r="L91" s="130">
        <v>1.8</v>
      </c>
      <c r="M91" s="130">
        <v>0.1</v>
      </c>
      <c r="N91" s="130">
        <v>0</v>
      </c>
      <c r="O91" s="130">
        <v>0.6</v>
      </c>
      <c r="P91" s="130">
        <v>0.88500000000000001</v>
      </c>
      <c r="Q91" s="130">
        <v>0.8</v>
      </c>
      <c r="R91" s="130">
        <v>0</v>
      </c>
      <c r="S91" s="130">
        <v>0.25</v>
      </c>
      <c r="T91" s="130">
        <v>13</v>
      </c>
      <c r="U91" s="130">
        <v>75</v>
      </c>
      <c r="V91" s="130">
        <v>0</v>
      </c>
      <c r="W91" s="130">
        <v>0</v>
      </c>
      <c r="X91" s="130">
        <v>0</v>
      </c>
      <c r="Y91" s="130">
        <v>0</v>
      </c>
      <c r="Z91" s="149">
        <v>0</v>
      </c>
      <c r="AA91" s="130">
        <v>0</v>
      </c>
      <c r="AB91" s="130">
        <v>0</v>
      </c>
      <c r="AC91" s="130">
        <v>0</v>
      </c>
      <c r="AD91" s="130">
        <v>0</v>
      </c>
      <c r="AE91" s="130">
        <v>0</v>
      </c>
      <c r="AF91" s="130">
        <v>10</v>
      </c>
      <c r="AG91" t="s">
        <v>1774</v>
      </c>
    </row>
    <row r="92" spans="1:33" x14ac:dyDescent="0.25">
      <c r="A92">
        <v>256</v>
      </c>
      <c r="B92" t="s">
        <v>1775</v>
      </c>
      <c r="C92" t="s">
        <v>1701</v>
      </c>
      <c r="D92">
        <v>19196</v>
      </c>
      <c r="E92">
        <v>21116</v>
      </c>
      <c r="F92">
        <v>50</v>
      </c>
      <c r="G92">
        <v>2500</v>
      </c>
      <c r="H92">
        <v>0</v>
      </c>
      <c r="I92">
        <v>2.1</v>
      </c>
      <c r="J92" s="29">
        <v>7.24</v>
      </c>
      <c r="K92" s="130">
        <v>0.17</v>
      </c>
      <c r="L92" s="130">
        <v>2.2000000000000002</v>
      </c>
      <c r="M92" s="130">
        <v>0.1</v>
      </c>
      <c r="N92" s="130">
        <v>0</v>
      </c>
      <c r="O92" s="130">
        <v>0.6</v>
      </c>
      <c r="P92" s="130">
        <v>0.88500000000000001</v>
      </c>
      <c r="Q92" s="130">
        <v>0.8</v>
      </c>
      <c r="R92" s="130">
        <v>0</v>
      </c>
      <c r="S92" s="130">
        <v>0.3</v>
      </c>
      <c r="T92" s="130">
        <v>13</v>
      </c>
      <c r="U92" s="130">
        <v>100</v>
      </c>
      <c r="V92" s="130">
        <v>150</v>
      </c>
      <c r="W92" s="130">
        <v>1</v>
      </c>
      <c r="X92" s="130">
        <v>150</v>
      </c>
      <c r="Y92" s="130">
        <v>1</v>
      </c>
      <c r="Z92" s="149">
        <v>17</v>
      </c>
      <c r="AA92" s="130">
        <v>0</v>
      </c>
      <c r="AB92" s="130">
        <v>0</v>
      </c>
      <c r="AC92" s="130">
        <v>0</v>
      </c>
      <c r="AD92" s="130">
        <v>0</v>
      </c>
      <c r="AE92" s="130">
        <v>0</v>
      </c>
      <c r="AF92" s="130">
        <v>10</v>
      </c>
      <c r="AG92" t="s">
        <v>1776</v>
      </c>
    </row>
    <row r="93" spans="1:33" x14ac:dyDescent="0.25">
      <c r="A93">
        <v>258</v>
      </c>
      <c r="B93" t="s">
        <v>1777</v>
      </c>
      <c r="C93" t="s">
        <v>1778</v>
      </c>
      <c r="D93">
        <v>78942</v>
      </c>
      <c r="E93">
        <v>86837</v>
      </c>
      <c r="F93">
        <v>50</v>
      </c>
      <c r="G93">
        <v>2000</v>
      </c>
      <c r="H93">
        <v>0</v>
      </c>
      <c r="I93">
        <v>9.1</v>
      </c>
      <c r="J93" s="29">
        <v>6.44</v>
      </c>
      <c r="K93" s="130">
        <v>0.63</v>
      </c>
      <c r="L93" s="130">
        <v>1.3</v>
      </c>
      <c r="M93" s="130">
        <v>0.1</v>
      </c>
      <c r="N93" s="130">
        <v>0</v>
      </c>
      <c r="O93" s="130">
        <v>0.56000000000000005</v>
      </c>
      <c r="P93" s="130">
        <v>0.88500000000000001</v>
      </c>
      <c r="Q93" s="130">
        <v>0.67</v>
      </c>
      <c r="R93" s="130">
        <v>0</v>
      </c>
      <c r="S93" s="130">
        <v>0</v>
      </c>
      <c r="T93" s="130">
        <v>0</v>
      </c>
      <c r="U93" s="130">
        <v>0</v>
      </c>
      <c r="V93" s="130">
        <v>0</v>
      </c>
      <c r="W93" s="130">
        <v>0</v>
      </c>
      <c r="X93" s="130">
        <v>0</v>
      </c>
      <c r="Y93" s="130">
        <v>0</v>
      </c>
      <c r="Z93" s="149">
        <v>9</v>
      </c>
      <c r="AA93" s="130">
        <v>0</v>
      </c>
      <c r="AB93" s="130">
        <v>0</v>
      </c>
      <c r="AC93" s="130">
        <v>0</v>
      </c>
      <c r="AD93" s="130">
        <v>0</v>
      </c>
      <c r="AE93" s="130">
        <v>0</v>
      </c>
      <c r="AF93" s="130">
        <v>10</v>
      </c>
      <c r="AG93" t="s">
        <v>1779</v>
      </c>
    </row>
    <row r="94" spans="1:33" x14ac:dyDescent="0.25">
      <c r="A94">
        <v>259</v>
      </c>
      <c r="B94" t="s">
        <v>1780</v>
      </c>
      <c r="C94" t="s">
        <v>1701</v>
      </c>
      <c r="D94">
        <v>5594</v>
      </c>
      <c r="E94">
        <v>6154</v>
      </c>
      <c r="F94">
        <v>50</v>
      </c>
      <c r="G94">
        <v>1200</v>
      </c>
      <c r="H94">
        <v>0</v>
      </c>
      <c r="I94">
        <v>9.1</v>
      </c>
      <c r="J94" s="29">
        <v>6.44</v>
      </c>
      <c r="K94" s="130">
        <v>0.63</v>
      </c>
      <c r="L94" s="130">
        <v>1.3</v>
      </c>
      <c r="M94" s="130">
        <v>0.1</v>
      </c>
      <c r="N94" s="130">
        <v>0</v>
      </c>
      <c r="O94" s="130">
        <v>0.6</v>
      </c>
      <c r="P94" s="130">
        <v>0.88500000000000001</v>
      </c>
      <c r="Q94" s="130">
        <v>0.65</v>
      </c>
      <c r="R94" s="130">
        <v>0</v>
      </c>
      <c r="S94" s="130">
        <v>0.3</v>
      </c>
      <c r="T94" s="130">
        <v>13</v>
      </c>
      <c r="U94" s="130">
        <v>75</v>
      </c>
      <c r="V94" s="130">
        <v>25</v>
      </c>
      <c r="W94" s="130">
        <v>0.3</v>
      </c>
      <c r="X94" s="130">
        <v>0</v>
      </c>
      <c r="Y94" s="130">
        <v>0</v>
      </c>
      <c r="Z94" s="149">
        <v>9</v>
      </c>
      <c r="AA94" s="130">
        <v>0</v>
      </c>
      <c r="AB94" s="130">
        <v>0</v>
      </c>
      <c r="AC94" s="130">
        <v>0</v>
      </c>
      <c r="AD94" s="130">
        <v>0</v>
      </c>
      <c r="AE94" s="130">
        <v>0</v>
      </c>
      <c r="AF94" s="130">
        <v>10</v>
      </c>
      <c r="AG94" t="s">
        <v>1781</v>
      </c>
    </row>
    <row r="95" spans="1:33" x14ac:dyDescent="0.25">
      <c r="A95">
        <v>260</v>
      </c>
      <c r="B95" t="s">
        <v>1782</v>
      </c>
      <c r="C95" t="s">
        <v>1701</v>
      </c>
      <c r="D95">
        <v>12047</v>
      </c>
      <c r="E95">
        <v>13252</v>
      </c>
      <c r="F95">
        <v>50</v>
      </c>
      <c r="G95">
        <v>1200</v>
      </c>
      <c r="H95">
        <v>0</v>
      </c>
      <c r="I95">
        <v>9.1</v>
      </c>
      <c r="J95" s="29">
        <v>6.44</v>
      </c>
      <c r="K95" s="130">
        <v>0.63</v>
      </c>
      <c r="L95" s="130">
        <v>1.3</v>
      </c>
      <c r="M95" s="130">
        <v>0.1</v>
      </c>
      <c r="N95" s="130">
        <v>0</v>
      </c>
      <c r="O95" s="130">
        <v>0.6</v>
      </c>
      <c r="P95" s="130">
        <v>0.88500000000000001</v>
      </c>
      <c r="Q95" s="130">
        <v>0.65</v>
      </c>
      <c r="R95" s="130">
        <v>0</v>
      </c>
      <c r="S95" s="130">
        <v>0.3</v>
      </c>
      <c r="T95" s="130">
        <v>13</v>
      </c>
      <c r="U95" s="130">
        <v>75</v>
      </c>
      <c r="V95" s="130">
        <v>25</v>
      </c>
      <c r="W95" s="130">
        <v>0.3</v>
      </c>
      <c r="X95" s="130">
        <v>0</v>
      </c>
      <c r="Y95" s="130">
        <v>0</v>
      </c>
      <c r="Z95" s="149">
        <v>9</v>
      </c>
      <c r="AA95" s="130">
        <v>0</v>
      </c>
      <c r="AB95" s="130">
        <v>0</v>
      </c>
      <c r="AC95" s="130">
        <v>0</v>
      </c>
      <c r="AD95" s="130">
        <v>0</v>
      </c>
      <c r="AE95" s="130">
        <v>0</v>
      </c>
      <c r="AF95" s="130">
        <v>10</v>
      </c>
      <c r="AG95" t="s">
        <v>1783</v>
      </c>
    </row>
    <row r="96" spans="1:33" x14ac:dyDescent="0.25">
      <c r="A96">
        <v>261</v>
      </c>
      <c r="B96" t="s">
        <v>1784</v>
      </c>
      <c r="C96" t="s">
        <v>1701</v>
      </c>
      <c r="D96">
        <v>1483</v>
      </c>
      <c r="E96">
        <v>1631</v>
      </c>
      <c r="F96">
        <v>50</v>
      </c>
      <c r="G96">
        <v>1200</v>
      </c>
      <c r="H96">
        <v>0</v>
      </c>
      <c r="I96">
        <v>9.1</v>
      </c>
      <c r="J96" s="29">
        <v>7.24</v>
      </c>
      <c r="K96" s="130">
        <v>0.63</v>
      </c>
      <c r="L96" s="130">
        <v>1.3</v>
      </c>
      <c r="M96" s="130">
        <v>0.1</v>
      </c>
      <c r="N96" s="130">
        <v>0</v>
      </c>
      <c r="O96" s="130">
        <v>0.6</v>
      </c>
      <c r="P96" s="130">
        <v>0.88500000000000001</v>
      </c>
      <c r="Q96" s="130">
        <v>0.7</v>
      </c>
      <c r="R96" s="130">
        <v>0</v>
      </c>
      <c r="S96" s="130">
        <v>0</v>
      </c>
      <c r="T96" s="130">
        <v>0</v>
      </c>
      <c r="U96" s="130">
        <v>0</v>
      </c>
      <c r="V96" s="130">
        <v>0</v>
      </c>
      <c r="W96" s="130">
        <v>0</v>
      </c>
      <c r="X96" s="130">
        <v>0</v>
      </c>
      <c r="Y96" s="130">
        <v>0</v>
      </c>
      <c r="Z96" s="149">
        <v>9</v>
      </c>
      <c r="AA96" s="130">
        <v>0</v>
      </c>
      <c r="AB96" s="130">
        <v>0</v>
      </c>
      <c r="AC96" s="130">
        <v>0</v>
      </c>
      <c r="AD96" s="130">
        <v>0</v>
      </c>
      <c r="AE96" s="130">
        <v>0</v>
      </c>
      <c r="AF96" s="130">
        <v>10</v>
      </c>
      <c r="AG96" t="s">
        <v>1785</v>
      </c>
    </row>
    <row r="97" spans="1:33" x14ac:dyDescent="0.25">
      <c r="A97">
        <v>265</v>
      </c>
      <c r="B97" t="s">
        <v>1786</v>
      </c>
      <c r="C97" t="s">
        <v>1701</v>
      </c>
      <c r="D97">
        <v>6829</v>
      </c>
      <c r="E97">
        <v>7512</v>
      </c>
      <c r="F97">
        <v>80</v>
      </c>
      <c r="G97">
        <v>1500</v>
      </c>
      <c r="H97">
        <v>0</v>
      </c>
      <c r="I97">
        <v>9.1</v>
      </c>
      <c r="J97" s="29">
        <v>10.46</v>
      </c>
      <c r="K97" s="130">
        <v>0.63</v>
      </c>
      <c r="L97" s="130">
        <v>1.3</v>
      </c>
      <c r="M97" s="130">
        <v>0.1</v>
      </c>
      <c r="N97" s="130">
        <v>0</v>
      </c>
      <c r="O97" s="130">
        <v>0.6</v>
      </c>
      <c r="P97" s="130">
        <v>0.88500000000000001</v>
      </c>
      <c r="Q97" s="130">
        <v>0.65</v>
      </c>
      <c r="R97" s="130">
        <v>0</v>
      </c>
      <c r="S97" s="130">
        <v>0</v>
      </c>
      <c r="T97" s="130">
        <v>0</v>
      </c>
      <c r="U97" s="130">
        <v>0</v>
      </c>
      <c r="V97" s="130">
        <v>0</v>
      </c>
      <c r="W97" s="130">
        <v>0</v>
      </c>
      <c r="X97" s="130">
        <v>0</v>
      </c>
      <c r="Y97" s="130">
        <v>0</v>
      </c>
      <c r="Z97" s="149">
        <v>9</v>
      </c>
      <c r="AA97" s="130">
        <v>0</v>
      </c>
      <c r="AB97" s="130">
        <v>0</v>
      </c>
      <c r="AC97" s="130">
        <v>0</v>
      </c>
      <c r="AD97" s="130">
        <v>0</v>
      </c>
      <c r="AE97" s="130">
        <v>0</v>
      </c>
      <c r="AF97" s="130">
        <v>10</v>
      </c>
      <c r="AG97" t="s">
        <v>1787</v>
      </c>
    </row>
    <row r="98" spans="1:33" x14ac:dyDescent="0.25">
      <c r="A98">
        <v>266</v>
      </c>
      <c r="B98" t="s">
        <v>1788</v>
      </c>
      <c r="C98" t="s">
        <v>1701</v>
      </c>
      <c r="D98">
        <v>5665</v>
      </c>
      <c r="E98">
        <v>6232</v>
      </c>
      <c r="F98">
        <v>100</v>
      </c>
      <c r="G98">
        <v>2000</v>
      </c>
      <c r="H98">
        <v>0</v>
      </c>
      <c r="I98">
        <v>6.1</v>
      </c>
      <c r="J98" s="29">
        <v>6.44</v>
      </c>
      <c r="K98" s="130">
        <v>0.63</v>
      </c>
      <c r="L98" s="130">
        <v>1.3</v>
      </c>
      <c r="M98" s="130">
        <v>0.1</v>
      </c>
      <c r="N98" s="130">
        <v>0</v>
      </c>
      <c r="O98" s="130">
        <v>0.6</v>
      </c>
      <c r="P98" s="130">
        <v>0.88500000000000001</v>
      </c>
      <c r="Q98" s="130">
        <v>0.65</v>
      </c>
      <c r="R98" s="130">
        <v>0</v>
      </c>
      <c r="S98" s="130">
        <v>0</v>
      </c>
      <c r="T98" s="130">
        <v>0</v>
      </c>
      <c r="U98" s="130">
        <v>25</v>
      </c>
      <c r="V98" s="130">
        <v>0</v>
      </c>
      <c r="W98" s="130">
        <v>0</v>
      </c>
      <c r="X98" s="130">
        <v>0</v>
      </c>
      <c r="Y98" s="130">
        <v>0</v>
      </c>
      <c r="Z98" s="149">
        <v>9</v>
      </c>
      <c r="AA98" s="130">
        <v>0</v>
      </c>
      <c r="AB98" s="130">
        <v>0</v>
      </c>
      <c r="AC98" s="130">
        <v>0</v>
      </c>
      <c r="AD98" s="130">
        <v>0</v>
      </c>
      <c r="AE98" s="130">
        <v>0</v>
      </c>
      <c r="AF98" s="130">
        <v>10</v>
      </c>
      <c r="AG98" t="s">
        <v>1789</v>
      </c>
    </row>
    <row r="99" spans="1:33" x14ac:dyDescent="0.25">
      <c r="A99">
        <v>267</v>
      </c>
      <c r="B99" t="s">
        <v>1790</v>
      </c>
      <c r="C99" t="s">
        <v>1778</v>
      </c>
      <c r="D99">
        <v>62569</v>
      </c>
      <c r="E99">
        <v>68826</v>
      </c>
      <c r="F99">
        <v>50</v>
      </c>
      <c r="G99">
        <v>2000</v>
      </c>
      <c r="H99">
        <v>75</v>
      </c>
      <c r="I99">
        <v>9.1</v>
      </c>
      <c r="J99" s="29">
        <v>10.46</v>
      </c>
      <c r="K99" s="130">
        <v>0.63</v>
      </c>
      <c r="L99" s="130">
        <v>1.3</v>
      </c>
      <c r="M99" s="130">
        <v>0.1</v>
      </c>
      <c r="N99" s="130">
        <v>0</v>
      </c>
      <c r="O99" s="130">
        <v>0.56000000000000005</v>
      </c>
      <c r="P99" s="130">
        <v>0.88500000000000001</v>
      </c>
      <c r="Q99" s="130">
        <v>0.65</v>
      </c>
      <c r="R99" s="130">
        <v>0</v>
      </c>
      <c r="S99" s="130">
        <v>0</v>
      </c>
      <c r="T99" s="130">
        <v>0</v>
      </c>
      <c r="U99" s="130">
        <v>0</v>
      </c>
      <c r="V99" s="130">
        <v>0</v>
      </c>
      <c r="W99" s="130">
        <v>0</v>
      </c>
      <c r="X99" s="130">
        <v>0</v>
      </c>
      <c r="Y99" s="130">
        <v>0</v>
      </c>
      <c r="Z99" s="149">
        <v>9</v>
      </c>
      <c r="AA99" s="130">
        <v>0</v>
      </c>
      <c r="AB99" s="130">
        <v>0</v>
      </c>
      <c r="AC99" s="130">
        <v>0</v>
      </c>
      <c r="AD99" s="130">
        <v>0</v>
      </c>
      <c r="AE99" s="130">
        <v>0</v>
      </c>
      <c r="AF99" s="130">
        <v>10</v>
      </c>
      <c r="AG99" t="s">
        <v>1791</v>
      </c>
    </row>
    <row r="100" spans="1:33" x14ac:dyDescent="0.25">
      <c r="A100">
        <v>268</v>
      </c>
      <c r="B100" t="s">
        <v>1931</v>
      </c>
      <c r="C100" t="s">
        <v>1778</v>
      </c>
      <c r="Z100" s="149">
        <v>9</v>
      </c>
      <c r="AA100" s="130">
        <v>0</v>
      </c>
      <c r="AB100" s="130">
        <v>0</v>
      </c>
      <c r="AE100" s="130">
        <v>0</v>
      </c>
      <c r="AF100" s="130">
        <v>10</v>
      </c>
      <c r="AG100" t="s">
        <v>1932</v>
      </c>
    </row>
    <row r="101" spans="1:33" x14ac:dyDescent="0.25">
      <c r="A101">
        <v>271</v>
      </c>
      <c r="B101" t="s">
        <v>1792</v>
      </c>
      <c r="C101" t="s">
        <v>1717</v>
      </c>
      <c r="D101">
        <v>50</v>
      </c>
      <c r="E101">
        <v>0</v>
      </c>
      <c r="F101">
        <v>800</v>
      </c>
      <c r="G101">
        <v>24000</v>
      </c>
      <c r="H101">
        <v>0</v>
      </c>
      <c r="I101">
        <v>11</v>
      </c>
      <c r="J101" s="29">
        <v>4.83</v>
      </c>
      <c r="K101" s="130">
        <v>0.63</v>
      </c>
      <c r="L101" s="130">
        <v>1.3</v>
      </c>
      <c r="M101" s="130">
        <v>0</v>
      </c>
      <c r="N101" s="130">
        <v>0</v>
      </c>
      <c r="O101" s="130">
        <v>0.6</v>
      </c>
      <c r="P101" s="130">
        <v>0.85799999999999998</v>
      </c>
      <c r="Q101" s="130">
        <v>0.5</v>
      </c>
      <c r="R101" s="130">
        <v>0</v>
      </c>
      <c r="S101" s="130">
        <v>0.3</v>
      </c>
      <c r="T101" s="130">
        <v>13</v>
      </c>
      <c r="U101" s="130">
        <v>75</v>
      </c>
      <c r="V101" s="130">
        <v>25</v>
      </c>
      <c r="W101" s="130">
        <v>0.3</v>
      </c>
      <c r="X101" s="130">
        <v>0</v>
      </c>
      <c r="Y101" s="130">
        <v>0</v>
      </c>
      <c r="Z101" s="149">
        <v>9</v>
      </c>
      <c r="AA101" s="130">
        <v>0</v>
      </c>
      <c r="AB101" s="130">
        <v>0</v>
      </c>
      <c r="AC101" s="130">
        <v>0</v>
      </c>
      <c r="AD101" s="130">
        <v>0</v>
      </c>
      <c r="AE101" s="130">
        <v>0</v>
      </c>
      <c r="AF101" s="130">
        <v>10</v>
      </c>
      <c r="AG101" t="s">
        <v>1793</v>
      </c>
    </row>
    <row r="102" spans="1:33" x14ac:dyDescent="0.25">
      <c r="A102">
        <v>272</v>
      </c>
      <c r="B102" t="s">
        <v>1794</v>
      </c>
      <c r="C102" t="s">
        <v>1778</v>
      </c>
      <c r="D102">
        <v>25027</v>
      </c>
      <c r="E102">
        <v>27529</v>
      </c>
      <c r="F102">
        <v>100</v>
      </c>
      <c r="G102">
        <v>2500</v>
      </c>
      <c r="H102">
        <v>0</v>
      </c>
      <c r="I102">
        <v>9.1</v>
      </c>
      <c r="J102" s="29">
        <v>8.1</v>
      </c>
      <c r="K102" s="130">
        <v>0.2</v>
      </c>
      <c r="L102" s="130">
        <v>1.6</v>
      </c>
      <c r="M102" s="130">
        <v>0.1</v>
      </c>
      <c r="N102" s="130">
        <v>0</v>
      </c>
      <c r="O102" s="130">
        <v>0.6</v>
      </c>
      <c r="P102" s="130">
        <v>0.88500000000000001</v>
      </c>
      <c r="Q102" s="130">
        <v>0.8</v>
      </c>
      <c r="R102" s="130">
        <v>0</v>
      </c>
      <c r="S102" s="130">
        <v>0</v>
      </c>
      <c r="T102" s="130">
        <v>0</v>
      </c>
      <c r="U102" s="130">
        <v>0</v>
      </c>
      <c r="V102" s="130">
        <v>0</v>
      </c>
      <c r="W102" s="130">
        <v>0</v>
      </c>
      <c r="X102" s="130">
        <v>0</v>
      </c>
      <c r="Y102" s="130">
        <v>0</v>
      </c>
      <c r="Z102" s="149">
        <v>7</v>
      </c>
      <c r="AA102" s="130">
        <v>0.95</v>
      </c>
      <c r="AB102" s="130">
        <v>0</v>
      </c>
      <c r="AC102" s="130">
        <v>0</v>
      </c>
      <c r="AD102" s="130">
        <v>0</v>
      </c>
      <c r="AE102" s="130">
        <v>0</v>
      </c>
      <c r="AF102" s="130">
        <v>10</v>
      </c>
      <c r="AG102" t="s">
        <v>1795</v>
      </c>
    </row>
    <row r="103" spans="1:33" x14ac:dyDescent="0.25">
      <c r="A103">
        <v>273</v>
      </c>
      <c r="B103" t="s">
        <v>1796</v>
      </c>
      <c r="C103" t="s">
        <v>1701</v>
      </c>
      <c r="D103">
        <v>2284</v>
      </c>
      <c r="E103">
        <v>2512</v>
      </c>
      <c r="F103">
        <v>50</v>
      </c>
      <c r="G103">
        <v>1200</v>
      </c>
      <c r="H103">
        <v>0</v>
      </c>
      <c r="I103">
        <v>3</v>
      </c>
      <c r="J103" s="29">
        <v>7.24</v>
      </c>
      <c r="K103" s="130">
        <v>0.41</v>
      </c>
      <c r="L103" s="130">
        <v>1.3</v>
      </c>
      <c r="M103" s="130">
        <v>0.1</v>
      </c>
      <c r="N103" s="130">
        <v>0</v>
      </c>
      <c r="O103" s="130">
        <v>0.6</v>
      </c>
      <c r="P103" s="130">
        <v>0.88500000000000001</v>
      </c>
      <c r="Q103" s="130">
        <v>0.7</v>
      </c>
      <c r="R103" s="130">
        <v>0</v>
      </c>
      <c r="S103" s="130">
        <v>0</v>
      </c>
      <c r="T103" s="130">
        <v>0</v>
      </c>
      <c r="U103" s="130">
        <v>0</v>
      </c>
      <c r="V103" s="130">
        <v>0</v>
      </c>
      <c r="W103" s="130">
        <v>0</v>
      </c>
      <c r="X103" s="130">
        <v>0</v>
      </c>
      <c r="Y103" s="130">
        <v>0</v>
      </c>
      <c r="Z103" s="149">
        <v>7</v>
      </c>
      <c r="AA103" s="130">
        <v>0.95</v>
      </c>
      <c r="AB103" s="130">
        <v>0</v>
      </c>
      <c r="AC103" s="130">
        <v>0</v>
      </c>
      <c r="AD103" s="130">
        <v>0</v>
      </c>
      <c r="AE103" s="130">
        <v>0</v>
      </c>
      <c r="AF103" s="130">
        <v>10</v>
      </c>
      <c r="AG103" t="s">
        <v>1797</v>
      </c>
    </row>
    <row r="104" spans="1:33" x14ac:dyDescent="0.25">
      <c r="A104">
        <v>274</v>
      </c>
      <c r="B104" t="s">
        <v>1798</v>
      </c>
      <c r="C104" t="s">
        <v>1778</v>
      </c>
      <c r="D104">
        <v>30899</v>
      </c>
      <c r="E104">
        <v>33989</v>
      </c>
      <c r="F104">
        <v>50</v>
      </c>
      <c r="G104">
        <v>2000</v>
      </c>
      <c r="H104">
        <v>75</v>
      </c>
      <c r="I104">
        <v>9.1</v>
      </c>
      <c r="J104" s="29">
        <v>10.46</v>
      </c>
      <c r="K104" s="130">
        <v>0.41</v>
      </c>
      <c r="L104" s="130">
        <v>1.3</v>
      </c>
      <c r="M104" s="130">
        <v>0.1</v>
      </c>
      <c r="N104" s="130">
        <v>0.42</v>
      </c>
      <c r="O104" s="130">
        <v>0.56000000000000005</v>
      </c>
      <c r="P104" s="130">
        <v>0.88500000000000001</v>
      </c>
      <c r="Q104" s="130">
        <v>0.65</v>
      </c>
      <c r="R104" s="130">
        <v>0</v>
      </c>
      <c r="S104" s="130">
        <v>0</v>
      </c>
      <c r="T104" s="130">
        <v>0</v>
      </c>
      <c r="U104" s="130">
        <v>0</v>
      </c>
      <c r="V104" s="130">
        <v>0</v>
      </c>
      <c r="W104" s="130">
        <v>0</v>
      </c>
      <c r="X104" s="130">
        <v>0</v>
      </c>
      <c r="Y104" s="130">
        <v>0</v>
      </c>
      <c r="Z104" s="149">
        <v>7</v>
      </c>
      <c r="AA104" s="130">
        <v>0.95</v>
      </c>
      <c r="AB104" s="130">
        <v>0</v>
      </c>
      <c r="AC104" s="130">
        <v>0</v>
      </c>
      <c r="AD104" s="130">
        <v>0</v>
      </c>
      <c r="AE104" s="130">
        <v>0</v>
      </c>
      <c r="AF104" s="130">
        <v>10</v>
      </c>
      <c r="AG104" t="s">
        <v>1799</v>
      </c>
    </row>
    <row r="105" spans="1:33" x14ac:dyDescent="0.25">
      <c r="A105">
        <v>277</v>
      </c>
      <c r="B105" t="s">
        <v>1800</v>
      </c>
      <c r="C105" t="s">
        <v>1701</v>
      </c>
      <c r="D105">
        <v>6700</v>
      </c>
      <c r="E105">
        <v>7370</v>
      </c>
      <c r="F105">
        <v>80</v>
      </c>
      <c r="G105">
        <v>1500</v>
      </c>
      <c r="H105">
        <v>0</v>
      </c>
      <c r="I105">
        <v>11</v>
      </c>
      <c r="J105" s="29">
        <v>7.24</v>
      </c>
      <c r="K105" s="130">
        <v>0.41</v>
      </c>
      <c r="L105" s="130">
        <v>1.3</v>
      </c>
      <c r="M105" s="130">
        <v>0.1</v>
      </c>
      <c r="N105" s="130">
        <v>0</v>
      </c>
      <c r="O105" s="130">
        <v>0.6</v>
      </c>
      <c r="P105" s="130">
        <v>0.88500000000000001</v>
      </c>
      <c r="Q105" s="130">
        <v>0.65</v>
      </c>
      <c r="R105" s="130">
        <v>0</v>
      </c>
      <c r="S105" s="130">
        <v>0</v>
      </c>
      <c r="T105" s="130">
        <v>0</v>
      </c>
      <c r="U105" s="130">
        <v>0</v>
      </c>
      <c r="V105" s="130">
        <v>0</v>
      </c>
      <c r="W105" s="130">
        <v>0</v>
      </c>
      <c r="X105" s="130">
        <v>0</v>
      </c>
      <c r="Y105" s="130">
        <v>0</v>
      </c>
      <c r="Z105" s="149">
        <v>7</v>
      </c>
      <c r="AA105" s="130">
        <v>0.95</v>
      </c>
      <c r="AB105" s="130">
        <v>0</v>
      </c>
      <c r="AC105" s="130">
        <v>0</v>
      </c>
      <c r="AD105" s="130">
        <v>0</v>
      </c>
      <c r="AE105" s="130">
        <v>0</v>
      </c>
      <c r="AF105" s="130">
        <v>10</v>
      </c>
      <c r="AG105" t="s">
        <v>1801</v>
      </c>
    </row>
    <row r="106" spans="1:33" x14ac:dyDescent="0.25">
      <c r="A106">
        <v>283</v>
      </c>
      <c r="B106" t="s">
        <v>1802</v>
      </c>
      <c r="C106" t="s">
        <v>1717</v>
      </c>
      <c r="D106">
        <v>24</v>
      </c>
      <c r="E106">
        <v>0</v>
      </c>
      <c r="F106">
        <v>128</v>
      </c>
      <c r="G106">
        <v>1</v>
      </c>
      <c r="H106">
        <v>0</v>
      </c>
      <c r="I106">
        <v>18.3</v>
      </c>
      <c r="J106" s="29">
        <v>6.44</v>
      </c>
      <c r="K106" s="130">
        <v>0.41</v>
      </c>
      <c r="L106" s="130">
        <v>1.3</v>
      </c>
      <c r="M106" s="130">
        <v>0</v>
      </c>
      <c r="N106" s="130">
        <v>0</v>
      </c>
      <c r="O106" s="130">
        <v>0</v>
      </c>
      <c r="P106" s="130">
        <v>0</v>
      </c>
      <c r="Q106" s="130">
        <v>0.75</v>
      </c>
      <c r="R106" s="130">
        <v>0</v>
      </c>
      <c r="S106" s="130">
        <v>0</v>
      </c>
      <c r="T106" s="130">
        <v>0</v>
      </c>
      <c r="U106" s="130">
        <v>0</v>
      </c>
      <c r="V106" s="130">
        <v>0</v>
      </c>
      <c r="W106" s="130">
        <v>0</v>
      </c>
      <c r="X106" s="130">
        <v>0</v>
      </c>
      <c r="Y106" s="130">
        <v>0</v>
      </c>
      <c r="Z106" s="149">
        <v>7</v>
      </c>
      <c r="AA106" s="130">
        <v>0.95</v>
      </c>
      <c r="AB106" s="130">
        <v>0</v>
      </c>
      <c r="AC106" s="130">
        <v>0</v>
      </c>
      <c r="AD106" s="130">
        <v>0</v>
      </c>
      <c r="AE106" s="130">
        <v>0</v>
      </c>
      <c r="AF106" s="130">
        <v>10</v>
      </c>
      <c r="AG106" t="s">
        <v>1803</v>
      </c>
    </row>
    <row r="107" spans="1:33" x14ac:dyDescent="0.25">
      <c r="A107">
        <v>292</v>
      </c>
      <c r="B107" t="s">
        <v>1805</v>
      </c>
      <c r="C107" t="s">
        <v>1778</v>
      </c>
      <c r="D107">
        <v>164865</v>
      </c>
      <c r="E107">
        <v>181352</v>
      </c>
      <c r="F107">
        <v>85</v>
      </c>
      <c r="G107">
        <v>2000</v>
      </c>
      <c r="H107">
        <v>119</v>
      </c>
      <c r="I107">
        <v>4.9000000000000004</v>
      </c>
      <c r="J107" s="29">
        <v>5</v>
      </c>
      <c r="K107" s="130">
        <v>0.04</v>
      </c>
      <c r="L107" s="130">
        <v>2.1</v>
      </c>
      <c r="M107" s="130">
        <v>0.1</v>
      </c>
      <c r="N107" s="130">
        <v>0.42</v>
      </c>
      <c r="O107" s="130">
        <v>0.64</v>
      </c>
      <c r="P107" s="130">
        <v>0.88500000000000001</v>
      </c>
      <c r="Q107" s="130">
        <v>0.7</v>
      </c>
      <c r="R107" s="130">
        <v>0</v>
      </c>
      <c r="S107" s="130">
        <v>0</v>
      </c>
      <c r="T107" s="130">
        <v>0</v>
      </c>
      <c r="U107" s="130">
        <v>-10000</v>
      </c>
      <c r="V107" s="130">
        <v>0</v>
      </c>
      <c r="W107" s="130">
        <v>0</v>
      </c>
      <c r="X107" s="130">
        <v>0</v>
      </c>
      <c r="Y107" s="130">
        <v>0</v>
      </c>
      <c r="Z107" s="149">
        <v>2</v>
      </c>
      <c r="AA107" s="130">
        <v>0.95</v>
      </c>
      <c r="AB107" s="130">
        <v>0</v>
      </c>
      <c r="AC107" s="130">
        <v>0</v>
      </c>
      <c r="AD107" s="130">
        <v>0</v>
      </c>
      <c r="AE107" s="130">
        <v>0</v>
      </c>
      <c r="AF107" s="130">
        <v>10</v>
      </c>
      <c r="AG107" t="s">
        <v>1806</v>
      </c>
    </row>
    <row r="108" spans="1:33" x14ac:dyDescent="0.25">
      <c r="A108">
        <v>293</v>
      </c>
      <c r="B108" t="s">
        <v>1807</v>
      </c>
      <c r="C108" t="s">
        <v>1778</v>
      </c>
      <c r="D108">
        <v>147841</v>
      </c>
      <c r="E108">
        <v>162625</v>
      </c>
      <c r="F108">
        <v>205</v>
      </c>
      <c r="G108">
        <v>2000</v>
      </c>
      <c r="H108">
        <v>119</v>
      </c>
      <c r="I108">
        <v>5.5</v>
      </c>
      <c r="J108" s="29">
        <v>5.31</v>
      </c>
      <c r="K108" s="130">
        <v>0.04</v>
      </c>
      <c r="L108" s="130">
        <v>2.1</v>
      </c>
      <c r="M108" s="130">
        <v>0.1</v>
      </c>
      <c r="N108" s="130">
        <v>0.42</v>
      </c>
      <c r="O108" s="130">
        <v>0.64</v>
      </c>
      <c r="P108" s="130">
        <v>0.88500000000000001</v>
      </c>
      <c r="Q108" s="130">
        <v>0.7</v>
      </c>
      <c r="R108" s="130">
        <v>0</v>
      </c>
      <c r="S108" s="130">
        <v>0</v>
      </c>
      <c r="T108" s="130">
        <v>0</v>
      </c>
      <c r="U108" s="130">
        <v>-50</v>
      </c>
      <c r="V108" s="130">
        <v>0</v>
      </c>
      <c r="W108" s="130">
        <v>0</v>
      </c>
      <c r="X108" s="130">
        <v>0</v>
      </c>
      <c r="Y108" s="130">
        <v>0</v>
      </c>
      <c r="Z108" s="149">
        <v>2</v>
      </c>
      <c r="AA108" s="130">
        <v>0.95</v>
      </c>
      <c r="AB108" s="130">
        <v>0</v>
      </c>
      <c r="AC108" s="130">
        <v>0</v>
      </c>
      <c r="AD108" s="130">
        <v>0</v>
      </c>
      <c r="AE108" s="130">
        <v>0</v>
      </c>
      <c r="AF108" s="130">
        <v>10</v>
      </c>
      <c r="AG108" t="s">
        <v>1808</v>
      </c>
    </row>
    <row r="109" spans="1:33" x14ac:dyDescent="0.25">
      <c r="A109">
        <v>294</v>
      </c>
      <c r="B109" t="s">
        <v>1809</v>
      </c>
      <c r="C109" t="s">
        <v>1778</v>
      </c>
      <c r="D109">
        <v>179346</v>
      </c>
      <c r="E109">
        <v>197281</v>
      </c>
      <c r="F109">
        <v>400</v>
      </c>
      <c r="G109">
        <v>3500</v>
      </c>
      <c r="H109">
        <v>119</v>
      </c>
      <c r="I109">
        <v>5.5</v>
      </c>
      <c r="J109" s="29">
        <v>1.61</v>
      </c>
      <c r="K109" s="130">
        <v>0.04</v>
      </c>
      <c r="L109" s="130">
        <v>2.1</v>
      </c>
      <c r="M109" s="130">
        <v>0.1</v>
      </c>
      <c r="N109" s="130">
        <v>0.42</v>
      </c>
      <c r="O109" s="130">
        <v>0.64</v>
      </c>
      <c r="P109" s="130">
        <v>0.88500000000000001</v>
      </c>
      <c r="Q109" s="130">
        <v>0.7</v>
      </c>
      <c r="R109" s="130">
        <v>0</v>
      </c>
      <c r="S109" s="130">
        <v>0</v>
      </c>
      <c r="T109" s="130">
        <v>0</v>
      </c>
      <c r="U109" s="130">
        <v>-50</v>
      </c>
      <c r="V109" s="130">
        <v>0</v>
      </c>
      <c r="W109" s="130">
        <v>0</v>
      </c>
      <c r="X109" s="130">
        <v>0</v>
      </c>
      <c r="Y109" s="130">
        <v>0</v>
      </c>
      <c r="Z109" s="149">
        <v>2</v>
      </c>
      <c r="AA109" s="130">
        <v>0.95</v>
      </c>
      <c r="AB109" s="130">
        <v>0</v>
      </c>
      <c r="AC109" s="130">
        <v>0</v>
      </c>
      <c r="AD109" s="130">
        <v>0</v>
      </c>
      <c r="AE109" s="130">
        <v>0</v>
      </c>
      <c r="AF109" s="130">
        <v>10</v>
      </c>
      <c r="AG109" t="s">
        <v>1810</v>
      </c>
    </row>
    <row r="110" spans="1:33" x14ac:dyDescent="0.25">
      <c r="A110">
        <v>295</v>
      </c>
      <c r="B110" t="s">
        <v>1811</v>
      </c>
      <c r="C110" t="s">
        <v>1778</v>
      </c>
      <c r="D110">
        <v>14827</v>
      </c>
      <c r="E110">
        <v>16310</v>
      </c>
      <c r="F110">
        <v>55</v>
      </c>
      <c r="G110">
        <v>2000</v>
      </c>
      <c r="H110">
        <v>149</v>
      </c>
      <c r="I110">
        <v>1.5</v>
      </c>
      <c r="J110" s="29">
        <v>5.95</v>
      </c>
      <c r="K110" s="130">
        <v>0.14000000000000001</v>
      </c>
      <c r="L110" s="130">
        <v>2.2999999999999998</v>
      </c>
      <c r="M110" s="130">
        <v>0.1</v>
      </c>
      <c r="N110" s="130">
        <v>0</v>
      </c>
      <c r="O110" s="130">
        <v>0.6</v>
      </c>
      <c r="P110" s="130">
        <v>0.88500000000000001</v>
      </c>
      <c r="Q110" s="130">
        <v>0.7</v>
      </c>
      <c r="R110" s="130">
        <v>0</v>
      </c>
      <c r="S110" s="130">
        <v>0</v>
      </c>
      <c r="T110" s="130">
        <v>0</v>
      </c>
      <c r="U110" s="130">
        <v>-50</v>
      </c>
      <c r="V110" s="130">
        <v>0</v>
      </c>
      <c r="W110" s="130">
        <v>0</v>
      </c>
      <c r="X110" s="130">
        <v>0</v>
      </c>
      <c r="Y110" s="130">
        <v>0</v>
      </c>
      <c r="Z110" s="149">
        <v>2</v>
      </c>
      <c r="AA110" s="130">
        <v>0.95</v>
      </c>
      <c r="AB110" s="130">
        <v>0</v>
      </c>
      <c r="AC110" s="130">
        <v>0</v>
      </c>
      <c r="AD110" s="130">
        <v>0</v>
      </c>
      <c r="AE110" s="130">
        <v>0</v>
      </c>
      <c r="AF110" s="130">
        <v>10</v>
      </c>
      <c r="AG110" t="s">
        <v>1812</v>
      </c>
    </row>
    <row r="111" spans="1:33" x14ac:dyDescent="0.25">
      <c r="A111">
        <v>296</v>
      </c>
      <c r="B111" t="s">
        <v>1813</v>
      </c>
      <c r="C111" t="s">
        <v>1701</v>
      </c>
      <c r="D111">
        <v>7634</v>
      </c>
      <c r="E111">
        <v>8398</v>
      </c>
      <c r="F111">
        <v>50</v>
      </c>
      <c r="G111">
        <v>2000</v>
      </c>
      <c r="H111">
        <v>0</v>
      </c>
      <c r="I111">
        <v>4.9000000000000004</v>
      </c>
      <c r="J111" s="29">
        <v>4.83</v>
      </c>
      <c r="K111" s="130">
        <v>0.11</v>
      </c>
      <c r="L111" s="130">
        <v>1.8</v>
      </c>
      <c r="M111" s="130">
        <v>0.1</v>
      </c>
      <c r="N111" s="130">
        <v>0</v>
      </c>
      <c r="O111" s="130">
        <v>0.6</v>
      </c>
      <c r="P111" s="130">
        <v>0.88500000000000001</v>
      </c>
      <c r="Q111" s="130">
        <v>0.8</v>
      </c>
      <c r="R111" s="130">
        <v>0</v>
      </c>
      <c r="S111" s="130">
        <v>0</v>
      </c>
      <c r="T111" s="130">
        <v>0</v>
      </c>
      <c r="U111" s="130">
        <v>-50</v>
      </c>
      <c r="V111" s="130">
        <v>0</v>
      </c>
      <c r="W111" s="130">
        <v>0</v>
      </c>
      <c r="X111" s="130">
        <v>0</v>
      </c>
      <c r="Y111" s="130">
        <v>0</v>
      </c>
      <c r="Z111" s="149">
        <v>2</v>
      </c>
      <c r="AA111" s="130">
        <v>0.95</v>
      </c>
      <c r="AB111" s="130">
        <v>0</v>
      </c>
      <c r="AC111" s="130">
        <v>0</v>
      </c>
      <c r="AD111" s="130">
        <v>0</v>
      </c>
      <c r="AE111" s="130">
        <v>0</v>
      </c>
      <c r="AF111" s="130">
        <v>10</v>
      </c>
      <c r="AG111" t="s">
        <v>1814</v>
      </c>
    </row>
    <row r="112" spans="1:33" x14ac:dyDescent="0.25">
      <c r="A112">
        <v>297</v>
      </c>
      <c r="B112" t="s">
        <v>1815</v>
      </c>
      <c r="C112" t="s">
        <v>1778</v>
      </c>
      <c r="D112">
        <v>222000</v>
      </c>
      <c r="E112">
        <v>244200</v>
      </c>
      <c r="F112">
        <v>260</v>
      </c>
      <c r="G112">
        <v>2500</v>
      </c>
      <c r="H112">
        <v>149</v>
      </c>
      <c r="I112">
        <v>1.5</v>
      </c>
      <c r="J112" s="29">
        <v>4.18</v>
      </c>
      <c r="K112" s="130">
        <v>0.11</v>
      </c>
      <c r="L112" s="130">
        <v>1.8</v>
      </c>
      <c r="M112" s="130">
        <v>0.1</v>
      </c>
      <c r="N112" s="130">
        <v>0.42</v>
      </c>
      <c r="O112" s="130">
        <v>0.64</v>
      </c>
      <c r="P112" s="130">
        <v>0.88500000000000001</v>
      </c>
      <c r="Q112" s="130">
        <v>0.7</v>
      </c>
      <c r="R112" s="130">
        <v>0</v>
      </c>
      <c r="S112" s="130">
        <v>0</v>
      </c>
      <c r="T112" s="130">
        <v>0</v>
      </c>
      <c r="U112" s="130">
        <v>-50</v>
      </c>
      <c r="V112" s="130">
        <v>0</v>
      </c>
      <c r="W112" s="130">
        <v>0</v>
      </c>
      <c r="X112" s="130">
        <v>0</v>
      </c>
      <c r="Y112" s="130">
        <v>0</v>
      </c>
      <c r="Z112" s="149">
        <v>2</v>
      </c>
      <c r="AA112" s="130">
        <v>0.95</v>
      </c>
      <c r="AB112" s="130">
        <v>0</v>
      </c>
      <c r="AC112" s="130">
        <v>0</v>
      </c>
      <c r="AD112" s="130">
        <v>0</v>
      </c>
      <c r="AE112" s="130">
        <v>0</v>
      </c>
      <c r="AF112" s="130">
        <v>10</v>
      </c>
      <c r="AG112" t="s">
        <v>1816</v>
      </c>
    </row>
    <row r="113" spans="1:33" x14ac:dyDescent="0.25">
      <c r="A113">
        <v>298</v>
      </c>
      <c r="B113" t="s">
        <v>1817</v>
      </c>
      <c r="C113" t="s">
        <v>1701</v>
      </c>
      <c r="D113">
        <v>13000</v>
      </c>
      <c r="E113">
        <v>14300</v>
      </c>
      <c r="F113">
        <v>550</v>
      </c>
      <c r="G113">
        <v>20000</v>
      </c>
      <c r="H113">
        <v>0</v>
      </c>
      <c r="I113">
        <v>4.9000000000000004</v>
      </c>
      <c r="J113" s="29">
        <v>1.61</v>
      </c>
      <c r="K113" s="130">
        <v>0.1</v>
      </c>
      <c r="L113" s="130">
        <v>1.8</v>
      </c>
      <c r="M113" s="130">
        <v>0.1</v>
      </c>
      <c r="N113" s="130">
        <v>0</v>
      </c>
      <c r="O113" s="130">
        <v>0.64</v>
      </c>
      <c r="P113" s="130">
        <v>0.88500000000000001</v>
      </c>
      <c r="Q113" s="130">
        <v>0.8</v>
      </c>
      <c r="R113" s="130">
        <v>0</v>
      </c>
      <c r="S113" s="130">
        <v>0</v>
      </c>
      <c r="T113" s="130">
        <v>0</v>
      </c>
      <c r="U113" s="130">
        <v>0</v>
      </c>
      <c r="V113" s="130">
        <v>0</v>
      </c>
      <c r="W113" s="130">
        <v>0</v>
      </c>
      <c r="X113" s="130">
        <v>0</v>
      </c>
      <c r="Y113" s="130">
        <v>0</v>
      </c>
      <c r="Z113" s="149">
        <v>0</v>
      </c>
      <c r="AA113" s="130">
        <v>0</v>
      </c>
      <c r="AB113" s="130">
        <v>0</v>
      </c>
      <c r="AC113" s="130">
        <v>0</v>
      </c>
      <c r="AD113" s="130">
        <v>0</v>
      </c>
      <c r="AE113" s="130">
        <v>0</v>
      </c>
      <c r="AF113" s="130">
        <v>10</v>
      </c>
      <c r="AG113" t="s">
        <v>1818</v>
      </c>
    </row>
    <row r="114" spans="1:33" x14ac:dyDescent="0.25">
      <c r="A114">
        <v>299</v>
      </c>
      <c r="B114" t="s">
        <v>1819</v>
      </c>
      <c r="C114" t="s">
        <v>1701</v>
      </c>
      <c r="D114">
        <v>7634</v>
      </c>
      <c r="E114">
        <v>8398</v>
      </c>
      <c r="F114">
        <v>210</v>
      </c>
      <c r="G114">
        <v>2500</v>
      </c>
      <c r="H114">
        <v>0</v>
      </c>
      <c r="I114">
        <v>4.9000000000000004</v>
      </c>
      <c r="J114" s="29">
        <v>6.44</v>
      </c>
      <c r="K114" s="130">
        <v>0.11</v>
      </c>
      <c r="L114" s="130">
        <v>1.8</v>
      </c>
      <c r="M114" s="130">
        <v>0.1</v>
      </c>
      <c r="N114" s="130">
        <v>0</v>
      </c>
      <c r="O114" s="130">
        <v>0.6</v>
      </c>
      <c r="P114" s="130">
        <v>0.88500000000000001</v>
      </c>
      <c r="Q114" s="130">
        <v>0.8</v>
      </c>
      <c r="R114" s="130">
        <v>0</v>
      </c>
      <c r="S114" s="130">
        <v>0</v>
      </c>
      <c r="T114" s="130">
        <v>0</v>
      </c>
      <c r="U114" s="130">
        <v>0</v>
      </c>
      <c r="V114" s="130">
        <v>0</v>
      </c>
      <c r="W114" s="130">
        <v>0</v>
      </c>
      <c r="X114" s="130">
        <v>0</v>
      </c>
      <c r="Y114" s="130">
        <v>0</v>
      </c>
      <c r="Z114" s="149">
        <v>0</v>
      </c>
      <c r="AA114" s="130">
        <v>0</v>
      </c>
      <c r="AB114" s="130">
        <v>0</v>
      </c>
      <c r="AC114" s="130">
        <v>0</v>
      </c>
      <c r="AD114" s="130">
        <v>0</v>
      </c>
      <c r="AE114" s="130">
        <v>0</v>
      </c>
      <c r="AF114" s="130">
        <v>10</v>
      </c>
      <c r="AG114" t="s">
        <v>1820</v>
      </c>
    </row>
    <row r="115" spans="1:33" x14ac:dyDescent="0.25">
      <c r="A115">
        <v>300</v>
      </c>
      <c r="B115" t="s">
        <v>1821</v>
      </c>
      <c r="C115" t="s">
        <v>1701</v>
      </c>
      <c r="D115">
        <v>7634</v>
      </c>
      <c r="E115">
        <v>8398</v>
      </c>
      <c r="F115">
        <v>120</v>
      </c>
      <c r="G115">
        <v>2500</v>
      </c>
      <c r="H115">
        <v>0</v>
      </c>
      <c r="I115">
        <v>4.9000000000000004</v>
      </c>
      <c r="J115" s="29">
        <v>7.24</v>
      </c>
      <c r="K115" s="130">
        <v>0.11</v>
      </c>
      <c r="L115" s="130">
        <v>1.8</v>
      </c>
      <c r="M115" s="130">
        <v>0.1</v>
      </c>
      <c r="N115" s="130">
        <v>0</v>
      </c>
      <c r="O115" s="130">
        <v>0.6</v>
      </c>
      <c r="P115" s="130">
        <v>0.88500000000000001</v>
      </c>
      <c r="Q115" s="130">
        <v>0.8</v>
      </c>
      <c r="R115" s="130">
        <v>0</v>
      </c>
      <c r="S115" s="130">
        <v>0</v>
      </c>
      <c r="T115" s="130">
        <v>0</v>
      </c>
      <c r="U115" s="130">
        <v>-50</v>
      </c>
      <c r="V115" s="130">
        <v>0</v>
      </c>
      <c r="W115" s="130">
        <v>0</v>
      </c>
      <c r="X115" s="130">
        <v>0</v>
      </c>
      <c r="Y115" s="130">
        <v>0</v>
      </c>
      <c r="Z115" s="149">
        <v>2</v>
      </c>
      <c r="AA115" s="130">
        <v>0.95</v>
      </c>
      <c r="AB115" s="130">
        <v>0</v>
      </c>
      <c r="AC115" s="130">
        <v>0</v>
      </c>
      <c r="AD115" s="130">
        <v>0</v>
      </c>
      <c r="AE115" s="130">
        <v>0</v>
      </c>
      <c r="AF115" s="130">
        <v>10</v>
      </c>
      <c r="AG115" t="s">
        <v>1822</v>
      </c>
    </row>
    <row r="116" spans="1:33" x14ac:dyDescent="0.25">
      <c r="A116">
        <v>302</v>
      </c>
      <c r="B116" t="s">
        <v>1823</v>
      </c>
      <c r="C116" t="s">
        <v>1778</v>
      </c>
      <c r="D116">
        <v>101935</v>
      </c>
      <c r="E116">
        <v>112129</v>
      </c>
      <c r="F116">
        <v>145</v>
      </c>
      <c r="G116">
        <v>2000</v>
      </c>
      <c r="H116">
        <v>149</v>
      </c>
      <c r="I116">
        <v>4.9000000000000004</v>
      </c>
      <c r="J116" s="29">
        <v>6.92</v>
      </c>
      <c r="K116" s="130">
        <v>0.11</v>
      </c>
      <c r="L116" s="130">
        <v>1.8</v>
      </c>
      <c r="M116" s="130">
        <v>0.1</v>
      </c>
      <c r="N116" s="130">
        <v>0.42</v>
      </c>
      <c r="O116" s="130">
        <v>0.64</v>
      </c>
      <c r="P116" s="130">
        <v>0.88500000000000001</v>
      </c>
      <c r="Q116" s="130">
        <v>0.75</v>
      </c>
      <c r="R116" s="130">
        <v>0</v>
      </c>
      <c r="S116" s="130">
        <v>0</v>
      </c>
      <c r="T116" s="130">
        <v>0</v>
      </c>
      <c r="U116" s="130">
        <v>-50</v>
      </c>
      <c r="V116" s="130">
        <v>0</v>
      </c>
      <c r="W116" s="130">
        <v>0</v>
      </c>
      <c r="X116" s="130">
        <v>0</v>
      </c>
      <c r="Y116" s="130">
        <v>0</v>
      </c>
      <c r="Z116" s="149">
        <v>2</v>
      </c>
      <c r="AA116" s="130">
        <v>0.95</v>
      </c>
      <c r="AB116" s="130">
        <v>0</v>
      </c>
      <c r="AC116" s="130">
        <v>0</v>
      </c>
      <c r="AD116" s="130">
        <v>0</v>
      </c>
      <c r="AE116" s="130">
        <v>0</v>
      </c>
      <c r="AF116" s="130">
        <v>10</v>
      </c>
      <c r="AG116" t="s">
        <v>1824</v>
      </c>
    </row>
    <row r="117" spans="1:33" x14ac:dyDescent="0.25">
      <c r="A117">
        <v>303</v>
      </c>
      <c r="B117" t="s">
        <v>1825</v>
      </c>
      <c r="C117" t="s">
        <v>1701</v>
      </c>
      <c r="D117">
        <v>2000</v>
      </c>
      <c r="E117">
        <v>2200</v>
      </c>
      <c r="F117">
        <v>20</v>
      </c>
      <c r="G117">
        <v>525</v>
      </c>
      <c r="H117">
        <v>0</v>
      </c>
      <c r="I117">
        <v>4.9000000000000004</v>
      </c>
      <c r="J117" s="29">
        <v>19.309999999999999</v>
      </c>
      <c r="K117" s="130">
        <v>0.19</v>
      </c>
      <c r="L117" s="130">
        <v>1.3</v>
      </c>
      <c r="M117" s="130">
        <v>0.1</v>
      </c>
      <c r="N117" s="130">
        <v>0</v>
      </c>
      <c r="O117" s="130">
        <v>0.6</v>
      </c>
      <c r="P117" s="130">
        <v>0.88500000000000001</v>
      </c>
      <c r="Q117" s="130">
        <v>0.50900000000000001</v>
      </c>
      <c r="R117" s="130">
        <v>0</v>
      </c>
      <c r="S117" s="130">
        <v>0</v>
      </c>
      <c r="T117" s="130">
        <v>0</v>
      </c>
      <c r="U117" s="130">
        <v>0</v>
      </c>
      <c r="V117" s="130">
        <v>0</v>
      </c>
      <c r="W117" s="130">
        <v>0</v>
      </c>
      <c r="X117" s="130">
        <v>0</v>
      </c>
      <c r="Y117" s="130">
        <v>0</v>
      </c>
      <c r="Z117" s="149">
        <v>12</v>
      </c>
      <c r="AA117" s="130">
        <v>0</v>
      </c>
      <c r="AB117" s="130">
        <v>0</v>
      </c>
      <c r="AC117" s="130">
        <v>0</v>
      </c>
      <c r="AD117" s="130">
        <v>0</v>
      </c>
      <c r="AE117" s="130">
        <v>0</v>
      </c>
      <c r="AF117" s="130">
        <v>10</v>
      </c>
      <c r="AG117" t="s">
        <v>1826</v>
      </c>
    </row>
    <row r="118" spans="1:33" x14ac:dyDescent="0.25">
      <c r="A118">
        <v>304</v>
      </c>
      <c r="B118" t="s">
        <v>1827</v>
      </c>
      <c r="C118" t="s">
        <v>1701</v>
      </c>
      <c r="D118">
        <v>8649</v>
      </c>
      <c r="E118">
        <v>9514</v>
      </c>
      <c r="F118">
        <v>50</v>
      </c>
      <c r="G118">
        <v>2000</v>
      </c>
      <c r="H118">
        <v>0</v>
      </c>
      <c r="I118">
        <v>4.9000000000000004</v>
      </c>
      <c r="J118" s="29">
        <v>4.0199999999999996</v>
      </c>
      <c r="K118" s="130">
        <v>0.59</v>
      </c>
      <c r="L118" s="130">
        <v>1.3</v>
      </c>
      <c r="M118" s="130">
        <v>0.1</v>
      </c>
      <c r="N118" s="130">
        <v>0</v>
      </c>
      <c r="O118" s="130">
        <v>0.6</v>
      </c>
      <c r="P118" s="130">
        <v>0.88500000000000001</v>
      </c>
      <c r="Q118" s="130">
        <v>0.8</v>
      </c>
      <c r="R118" s="130">
        <v>0</v>
      </c>
      <c r="S118" s="130">
        <v>0.5</v>
      </c>
      <c r="T118" s="130">
        <v>20</v>
      </c>
      <c r="U118" s="130">
        <v>180</v>
      </c>
      <c r="V118" s="130">
        <v>0</v>
      </c>
      <c r="W118" s="130">
        <v>0</v>
      </c>
      <c r="X118" s="130">
        <v>0</v>
      </c>
      <c r="Y118" s="130">
        <v>0</v>
      </c>
      <c r="Z118" s="149">
        <v>0</v>
      </c>
      <c r="AA118" s="130">
        <v>0</v>
      </c>
      <c r="AB118" s="130">
        <v>0</v>
      </c>
      <c r="AC118" s="130">
        <v>0</v>
      </c>
      <c r="AD118" s="130">
        <v>0</v>
      </c>
      <c r="AE118" s="130">
        <v>0</v>
      </c>
      <c r="AF118" s="130">
        <v>10</v>
      </c>
      <c r="AG118" t="s">
        <v>1828</v>
      </c>
    </row>
    <row r="119" spans="1:33" x14ac:dyDescent="0.25">
      <c r="A119">
        <v>305</v>
      </c>
      <c r="B119" t="s">
        <v>1829</v>
      </c>
      <c r="C119" t="s">
        <v>1701</v>
      </c>
      <c r="D119">
        <v>81923</v>
      </c>
      <c r="E119">
        <v>90115</v>
      </c>
      <c r="F119">
        <v>60</v>
      </c>
      <c r="G119">
        <v>2000</v>
      </c>
      <c r="H119">
        <v>0</v>
      </c>
      <c r="I119">
        <v>4.9000000000000004</v>
      </c>
      <c r="J119" s="29">
        <v>3.2</v>
      </c>
      <c r="K119" s="130">
        <v>0.12</v>
      </c>
      <c r="L119" s="130">
        <v>2.2999999999999998</v>
      </c>
      <c r="M119" s="130">
        <v>0.1</v>
      </c>
      <c r="N119" s="130">
        <v>0</v>
      </c>
      <c r="O119" s="130">
        <v>0.64</v>
      </c>
      <c r="P119" s="130">
        <v>0.88500000000000001</v>
      </c>
      <c r="Q119" s="130">
        <v>0.55000000000000004</v>
      </c>
      <c r="R119" s="130">
        <v>0</v>
      </c>
      <c r="S119" s="130">
        <v>0</v>
      </c>
      <c r="T119" s="130">
        <v>0</v>
      </c>
      <c r="U119" s="130">
        <v>100</v>
      </c>
      <c r="V119" s="130">
        <v>0</v>
      </c>
      <c r="W119" s="130">
        <v>0</v>
      </c>
      <c r="X119" s="130">
        <v>0</v>
      </c>
      <c r="Y119" s="130">
        <v>0</v>
      </c>
      <c r="Z119" s="149">
        <v>2</v>
      </c>
      <c r="AA119" s="130">
        <v>0.95</v>
      </c>
      <c r="AB119" s="130">
        <v>0.4</v>
      </c>
      <c r="AC119" s="130">
        <v>0</v>
      </c>
      <c r="AD119" s="130">
        <v>0</v>
      </c>
      <c r="AE119" s="130">
        <v>0</v>
      </c>
      <c r="AF119" s="130">
        <v>10</v>
      </c>
      <c r="AG119" t="s">
        <v>1830</v>
      </c>
    </row>
    <row r="120" spans="1:33" x14ac:dyDescent="0.25">
      <c r="A120">
        <v>306</v>
      </c>
      <c r="B120" t="s">
        <v>1831</v>
      </c>
      <c r="C120" t="s">
        <v>1701</v>
      </c>
      <c r="D120">
        <v>5717</v>
      </c>
      <c r="E120">
        <v>6288</v>
      </c>
      <c r="F120">
        <v>40</v>
      </c>
      <c r="G120">
        <v>1200</v>
      </c>
      <c r="H120">
        <v>0</v>
      </c>
      <c r="I120">
        <v>4.9000000000000004</v>
      </c>
      <c r="J120" s="29">
        <v>4.0199999999999996</v>
      </c>
      <c r="K120" s="130">
        <v>0.06</v>
      </c>
      <c r="L120" s="130">
        <v>2</v>
      </c>
      <c r="M120" s="130">
        <v>0.1</v>
      </c>
      <c r="N120" s="130">
        <v>0</v>
      </c>
      <c r="O120" s="130">
        <v>0.6</v>
      </c>
      <c r="P120" s="130">
        <v>0.88500000000000001</v>
      </c>
      <c r="Q120" s="130">
        <v>0.8</v>
      </c>
      <c r="R120" s="130">
        <v>0</v>
      </c>
      <c r="S120" s="130">
        <v>0</v>
      </c>
      <c r="T120" s="130">
        <v>0</v>
      </c>
      <c r="U120" s="130">
        <v>180</v>
      </c>
      <c r="V120" s="130">
        <v>0</v>
      </c>
      <c r="W120" s="130">
        <v>0</v>
      </c>
      <c r="X120" s="130">
        <v>0</v>
      </c>
      <c r="Y120" s="130">
        <v>0</v>
      </c>
      <c r="Z120" s="149">
        <v>0</v>
      </c>
      <c r="AA120" s="130">
        <v>0</v>
      </c>
      <c r="AB120" s="130">
        <v>0</v>
      </c>
      <c r="AC120" s="130">
        <v>0</v>
      </c>
      <c r="AD120" s="130">
        <v>0</v>
      </c>
      <c r="AE120" s="130">
        <v>0</v>
      </c>
      <c r="AF120" s="130">
        <v>10</v>
      </c>
      <c r="AG120" t="s">
        <v>1832</v>
      </c>
    </row>
    <row r="121" spans="1:33" x14ac:dyDescent="0.25">
      <c r="A121">
        <v>307</v>
      </c>
      <c r="B121" t="s">
        <v>1833</v>
      </c>
      <c r="C121" t="s">
        <v>1701</v>
      </c>
      <c r="D121">
        <v>16320</v>
      </c>
      <c r="E121">
        <v>17952</v>
      </c>
      <c r="F121">
        <v>70</v>
      </c>
      <c r="G121">
        <v>1200</v>
      </c>
      <c r="H121">
        <v>0</v>
      </c>
      <c r="I121">
        <v>4.9000000000000004</v>
      </c>
      <c r="J121" s="29">
        <v>4.0199999999999996</v>
      </c>
      <c r="K121" s="130">
        <v>0.06</v>
      </c>
      <c r="L121" s="130">
        <v>2</v>
      </c>
      <c r="M121" s="130">
        <v>0.1</v>
      </c>
      <c r="N121" s="130">
        <v>0</v>
      </c>
      <c r="O121" s="130">
        <v>0.6</v>
      </c>
      <c r="P121" s="130">
        <v>0.88500000000000001</v>
      </c>
      <c r="Q121" s="130">
        <v>0.8</v>
      </c>
      <c r="R121" s="130">
        <v>0</v>
      </c>
      <c r="S121" s="130">
        <v>0</v>
      </c>
      <c r="T121" s="130">
        <v>0</v>
      </c>
      <c r="U121" s="130">
        <v>180</v>
      </c>
      <c r="V121" s="130">
        <v>0</v>
      </c>
      <c r="W121" s="130">
        <v>0</v>
      </c>
      <c r="X121" s="130">
        <v>0</v>
      </c>
      <c r="Y121" s="130">
        <v>0</v>
      </c>
      <c r="Z121" s="149">
        <v>0</v>
      </c>
      <c r="AA121" s="130">
        <v>0</v>
      </c>
      <c r="AB121" s="130">
        <v>0</v>
      </c>
      <c r="AC121" s="130">
        <v>0</v>
      </c>
      <c r="AD121" s="130">
        <v>0</v>
      </c>
      <c r="AE121" s="130">
        <v>0</v>
      </c>
      <c r="AF121" s="130">
        <v>10</v>
      </c>
      <c r="AG121" t="s">
        <v>1834</v>
      </c>
    </row>
    <row r="122" spans="1:33" x14ac:dyDescent="0.25">
      <c r="A122">
        <v>308</v>
      </c>
      <c r="B122" t="s">
        <v>1835</v>
      </c>
      <c r="C122" t="s">
        <v>1701</v>
      </c>
      <c r="D122">
        <v>7329</v>
      </c>
      <c r="E122">
        <v>8062</v>
      </c>
      <c r="F122">
        <v>50</v>
      </c>
      <c r="G122">
        <v>1200</v>
      </c>
      <c r="H122">
        <v>0</v>
      </c>
      <c r="I122">
        <v>4.9000000000000004</v>
      </c>
      <c r="J122" s="29">
        <v>1.61</v>
      </c>
      <c r="K122" s="130">
        <v>0.46</v>
      </c>
      <c r="L122" s="130">
        <v>1.7</v>
      </c>
      <c r="M122" s="130">
        <v>0.1</v>
      </c>
      <c r="N122" s="130">
        <v>0</v>
      </c>
      <c r="O122" s="130">
        <v>0.6</v>
      </c>
      <c r="P122" s="130">
        <v>0.88500000000000001</v>
      </c>
      <c r="Q122" s="130">
        <v>0.8</v>
      </c>
      <c r="R122" s="130">
        <v>0</v>
      </c>
      <c r="S122" s="130">
        <v>0</v>
      </c>
      <c r="T122" s="130">
        <v>0</v>
      </c>
      <c r="U122" s="130">
        <v>180</v>
      </c>
      <c r="V122" s="130">
        <v>0</v>
      </c>
      <c r="W122" s="130">
        <v>0</v>
      </c>
      <c r="X122" s="130">
        <v>0</v>
      </c>
      <c r="Y122" s="130">
        <v>0</v>
      </c>
      <c r="Z122" s="149">
        <v>0</v>
      </c>
      <c r="AA122" s="130">
        <v>0</v>
      </c>
      <c r="AB122" s="130">
        <v>0</v>
      </c>
      <c r="AC122" s="130">
        <v>0</v>
      </c>
      <c r="AD122" s="130">
        <v>0</v>
      </c>
      <c r="AE122" s="130">
        <v>0</v>
      </c>
      <c r="AF122" s="130">
        <v>10</v>
      </c>
      <c r="AG122" t="s">
        <v>1836</v>
      </c>
    </row>
    <row r="123" spans="1:33" x14ac:dyDescent="0.25">
      <c r="A123">
        <v>309</v>
      </c>
      <c r="B123" t="s">
        <v>1837</v>
      </c>
      <c r="C123" t="s">
        <v>1701</v>
      </c>
      <c r="D123">
        <v>63208</v>
      </c>
      <c r="E123">
        <v>69528</v>
      </c>
      <c r="F123">
        <v>100</v>
      </c>
      <c r="G123">
        <v>2000</v>
      </c>
      <c r="H123">
        <v>0</v>
      </c>
      <c r="I123">
        <v>4.9000000000000004</v>
      </c>
      <c r="J123" s="29">
        <v>16.09</v>
      </c>
      <c r="K123" s="130">
        <v>0.19</v>
      </c>
      <c r="L123" s="130">
        <v>1.3</v>
      </c>
      <c r="M123" s="130">
        <v>0.1</v>
      </c>
      <c r="N123" s="130">
        <v>0</v>
      </c>
      <c r="O123" s="130">
        <v>0.6</v>
      </c>
      <c r="P123" s="130">
        <v>0.88500000000000001</v>
      </c>
      <c r="Q123" s="130">
        <v>0.82499999999999996</v>
      </c>
      <c r="R123" s="130">
        <v>0</v>
      </c>
      <c r="S123" s="130">
        <v>0</v>
      </c>
      <c r="T123" s="130">
        <v>0</v>
      </c>
      <c r="U123" s="130">
        <v>0</v>
      </c>
      <c r="V123" s="130">
        <v>0</v>
      </c>
      <c r="W123" s="130">
        <v>0</v>
      </c>
      <c r="X123" s="130">
        <v>0</v>
      </c>
      <c r="Y123" s="130">
        <v>0</v>
      </c>
      <c r="Z123" s="149">
        <v>12</v>
      </c>
      <c r="AA123" s="130">
        <v>0</v>
      </c>
      <c r="AB123" s="130">
        <v>0</v>
      </c>
      <c r="AC123" s="130">
        <v>0</v>
      </c>
      <c r="AD123" s="130">
        <v>0</v>
      </c>
      <c r="AE123" s="130">
        <v>0</v>
      </c>
      <c r="AF123" s="130">
        <v>10</v>
      </c>
      <c r="AG123" t="s">
        <v>1838</v>
      </c>
    </row>
    <row r="124" spans="1:33" x14ac:dyDescent="0.25">
      <c r="A124">
        <v>310</v>
      </c>
      <c r="B124" t="s">
        <v>1839</v>
      </c>
      <c r="C124" t="s">
        <v>1701</v>
      </c>
      <c r="D124">
        <v>28970</v>
      </c>
      <c r="E124">
        <v>31867</v>
      </c>
      <c r="F124">
        <v>100</v>
      </c>
      <c r="G124">
        <v>2500</v>
      </c>
      <c r="H124">
        <v>0</v>
      </c>
      <c r="I124">
        <v>1.5</v>
      </c>
      <c r="J124" s="29">
        <v>4.51</v>
      </c>
      <c r="K124" s="130">
        <v>0.15</v>
      </c>
      <c r="L124" s="130">
        <v>1.6</v>
      </c>
      <c r="M124" s="130">
        <v>0.1</v>
      </c>
      <c r="N124" s="130">
        <v>0</v>
      </c>
      <c r="O124" s="130">
        <v>0.56000000000000005</v>
      </c>
      <c r="P124" s="130">
        <v>0.88500000000000001</v>
      </c>
      <c r="Q124" s="130">
        <v>0.6</v>
      </c>
      <c r="R124" s="130">
        <v>0</v>
      </c>
      <c r="S124" s="130">
        <v>0</v>
      </c>
      <c r="T124" s="130">
        <v>0</v>
      </c>
      <c r="U124" s="130">
        <v>-50</v>
      </c>
      <c r="V124" s="130">
        <v>0</v>
      </c>
      <c r="W124" s="130">
        <v>0</v>
      </c>
      <c r="X124" s="130">
        <v>0</v>
      </c>
      <c r="Y124" s="130">
        <v>0</v>
      </c>
      <c r="Z124" s="149">
        <v>2</v>
      </c>
      <c r="AA124" s="130">
        <v>0.95</v>
      </c>
      <c r="AB124" s="130">
        <v>0.9</v>
      </c>
      <c r="AC124" s="130">
        <v>0</v>
      </c>
      <c r="AD124" s="130">
        <v>0</v>
      </c>
      <c r="AE124" s="130">
        <v>0</v>
      </c>
      <c r="AF124" s="130">
        <v>10</v>
      </c>
      <c r="AG124" t="s">
        <v>1840</v>
      </c>
    </row>
    <row r="125" spans="1:33" x14ac:dyDescent="0.25">
      <c r="A125">
        <v>313</v>
      </c>
      <c r="B125" t="s">
        <v>1841</v>
      </c>
      <c r="C125" t="s">
        <v>1701</v>
      </c>
      <c r="D125">
        <v>13198</v>
      </c>
      <c r="E125">
        <v>14518</v>
      </c>
      <c r="F125">
        <v>100</v>
      </c>
      <c r="G125">
        <v>2500</v>
      </c>
      <c r="H125">
        <v>0</v>
      </c>
      <c r="I125">
        <v>3.7</v>
      </c>
      <c r="J125" s="29">
        <v>6.4</v>
      </c>
      <c r="K125" s="130">
        <v>0.23</v>
      </c>
      <c r="L125" s="130">
        <v>1.8</v>
      </c>
      <c r="M125" s="130">
        <v>0.1</v>
      </c>
      <c r="N125" s="130">
        <v>0</v>
      </c>
      <c r="O125" s="130">
        <v>0.6</v>
      </c>
      <c r="P125" s="130">
        <v>0.88500000000000001</v>
      </c>
      <c r="Q125" s="130">
        <v>0.8</v>
      </c>
      <c r="R125" s="130">
        <v>0</v>
      </c>
      <c r="S125" s="130">
        <v>0</v>
      </c>
      <c r="T125" s="130">
        <v>0</v>
      </c>
      <c r="U125" s="130">
        <v>-25</v>
      </c>
      <c r="V125" s="130">
        <v>0</v>
      </c>
      <c r="W125" s="130">
        <v>0</v>
      </c>
      <c r="X125" s="130">
        <v>0</v>
      </c>
      <c r="Y125" s="130">
        <v>0</v>
      </c>
      <c r="Z125" s="149">
        <v>2</v>
      </c>
      <c r="AA125" s="130">
        <v>0.8</v>
      </c>
      <c r="AB125" s="130">
        <v>0.8</v>
      </c>
      <c r="AC125" s="130">
        <v>0</v>
      </c>
      <c r="AD125" s="130">
        <v>0</v>
      </c>
      <c r="AE125" s="130">
        <v>0</v>
      </c>
      <c r="AF125" s="130">
        <v>10</v>
      </c>
      <c r="AG125" t="s">
        <v>2279</v>
      </c>
    </row>
    <row r="126" spans="1:33" x14ac:dyDescent="0.25">
      <c r="A126">
        <v>314</v>
      </c>
      <c r="B126" t="s">
        <v>1842</v>
      </c>
      <c r="C126" t="s">
        <v>1701</v>
      </c>
      <c r="D126">
        <v>16300</v>
      </c>
      <c r="E126">
        <v>17930</v>
      </c>
      <c r="F126">
        <v>100</v>
      </c>
      <c r="G126">
        <v>2000</v>
      </c>
      <c r="H126">
        <v>0</v>
      </c>
      <c r="I126">
        <v>3.7</v>
      </c>
      <c r="J126" s="29">
        <v>16.100000000000001</v>
      </c>
      <c r="K126" s="130">
        <v>0.1</v>
      </c>
      <c r="L126" s="130">
        <v>1.8</v>
      </c>
      <c r="M126" s="130">
        <v>0.1</v>
      </c>
      <c r="N126" s="130">
        <v>0</v>
      </c>
      <c r="O126" s="130">
        <v>0.56000000000000005</v>
      </c>
      <c r="P126" s="130">
        <v>0.88500000000000001</v>
      </c>
      <c r="Q126" s="130">
        <v>0.82499999999999996</v>
      </c>
      <c r="R126" s="130">
        <v>0</v>
      </c>
      <c r="S126" s="130">
        <v>0</v>
      </c>
      <c r="T126" s="130">
        <v>0</v>
      </c>
      <c r="U126" s="130">
        <v>0</v>
      </c>
      <c r="V126" s="130">
        <v>0</v>
      </c>
      <c r="W126" s="130">
        <v>0</v>
      </c>
      <c r="X126" s="130">
        <v>0</v>
      </c>
      <c r="Y126" s="130">
        <v>0</v>
      </c>
      <c r="Z126" s="149">
        <v>2</v>
      </c>
      <c r="AA126" s="130">
        <v>0.999</v>
      </c>
      <c r="AB126" s="130">
        <v>0.999</v>
      </c>
      <c r="AC126" s="130">
        <v>0</v>
      </c>
      <c r="AD126" s="130">
        <v>0</v>
      </c>
      <c r="AE126" s="130">
        <v>0</v>
      </c>
      <c r="AF126" s="130">
        <v>10</v>
      </c>
      <c r="AG126" t="s">
        <v>2279</v>
      </c>
    </row>
    <row r="127" spans="1:33" x14ac:dyDescent="0.25">
      <c r="A127">
        <v>315</v>
      </c>
      <c r="B127" t="s">
        <v>1843</v>
      </c>
      <c r="C127" t="s">
        <v>1701</v>
      </c>
      <c r="D127">
        <v>17600</v>
      </c>
      <c r="E127">
        <v>19360</v>
      </c>
      <c r="F127">
        <v>100</v>
      </c>
      <c r="G127">
        <v>2000</v>
      </c>
      <c r="H127">
        <v>0</v>
      </c>
      <c r="I127">
        <v>3.7</v>
      </c>
      <c r="J127" s="29">
        <v>16.100000000000001</v>
      </c>
      <c r="K127" s="130">
        <v>0.23</v>
      </c>
      <c r="L127" s="130">
        <v>1.8</v>
      </c>
      <c r="M127" s="130">
        <v>0.1</v>
      </c>
      <c r="N127" s="130">
        <v>0</v>
      </c>
      <c r="O127" s="130">
        <v>0.56000000000000005</v>
      </c>
      <c r="P127" s="130">
        <v>0.88500000000000001</v>
      </c>
      <c r="Q127" s="130">
        <v>0.82499999999999996</v>
      </c>
      <c r="R127" s="130">
        <v>0</v>
      </c>
      <c r="S127" s="130">
        <v>0</v>
      </c>
      <c r="T127" s="130">
        <v>0</v>
      </c>
      <c r="U127" s="130">
        <v>-25</v>
      </c>
      <c r="V127" s="130">
        <v>0</v>
      </c>
      <c r="W127" s="130">
        <v>0</v>
      </c>
      <c r="X127" s="130">
        <v>0</v>
      </c>
      <c r="Y127" s="130">
        <v>0</v>
      </c>
      <c r="Z127" s="149">
        <v>2</v>
      </c>
      <c r="AA127" s="130">
        <v>0.999</v>
      </c>
      <c r="AB127" s="130">
        <v>0.999</v>
      </c>
      <c r="AC127" s="130">
        <v>0</v>
      </c>
      <c r="AD127" s="130">
        <v>0</v>
      </c>
      <c r="AE127" s="130">
        <v>0</v>
      </c>
      <c r="AF127" s="130">
        <v>10</v>
      </c>
      <c r="AG127" t="s">
        <v>2279</v>
      </c>
    </row>
    <row r="128" spans="1:33" x14ac:dyDescent="0.25">
      <c r="A128">
        <v>316</v>
      </c>
      <c r="B128" t="s">
        <v>1844</v>
      </c>
      <c r="C128" t="s">
        <v>1778</v>
      </c>
      <c r="D128">
        <v>16300</v>
      </c>
      <c r="E128">
        <v>17930</v>
      </c>
      <c r="F128">
        <v>100</v>
      </c>
      <c r="G128">
        <v>2500</v>
      </c>
      <c r="H128">
        <v>149</v>
      </c>
      <c r="I128">
        <v>3.7</v>
      </c>
      <c r="J128" s="29">
        <v>4.8</v>
      </c>
      <c r="K128" s="130">
        <v>0.1</v>
      </c>
      <c r="L128" s="130">
        <v>1.8</v>
      </c>
      <c r="M128" s="130">
        <v>0.1</v>
      </c>
      <c r="N128" s="130">
        <v>0</v>
      </c>
      <c r="O128" s="130">
        <v>0.6</v>
      </c>
      <c r="P128" s="130">
        <v>0.88500000000000001</v>
      </c>
      <c r="Q128" s="130">
        <v>0.8</v>
      </c>
      <c r="R128" s="130">
        <v>0</v>
      </c>
      <c r="S128" s="130">
        <v>0</v>
      </c>
      <c r="T128" s="130">
        <v>0</v>
      </c>
      <c r="U128" s="130">
        <v>-25</v>
      </c>
      <c r="V128" s="130">
        <v>0</v>
      </c>
      <c r="W128" s="130">
        <v>0</v>
      </c>
      <c r="X128" s="130">
        <v>0</v>
      </c>
      <c r="Y128" s="130">
        <v>0</v>
      </c>
      <c r="Z128" s="149">
        <v>2</v>
      </c>
      <c r="AA128" s="130">
        <v>0.95</v>
      </c>
      <c r="AB128" s="130">
        <v>0.9</v>
      </c>
      <c r="AC128" s="130">
        <v>0</v>
      </c>
      <c r="AD128" s="130">
        <v>0</v>
      </c>
      <c r="AE128" s="130">
        <v>0</v>
      </c>
      <c r="AF128" s="130">
        <v>10</v>
      </c>
      <c r="AG128" t="s">
        <v>2279</v>
      </c>
    </row>
    <row r="129" spans="1:33" x14ac:dyDescent="0.25">
      <c r="A129">
        <v>317</v>
      </c>
      <c r="B129" t="s">
        <v>1845</v>
      </c>
      <c r="C129" t="s">
        <v>1701</v>
      </c>
      <c r="D129">
        <v>13810</v>
      </c>
      <c r="E129">
        <v>15191</v>
      </c>
      <c r="F129">
        <v>100</v>
      </c>
      <c r="G129">
        <v>2500</v>
      </c>
      <c r="H129">
        <v>0</v>
      </c>
      <c r="I129">
        <v>2.7</v>
      </c>
      <c r="J129" s="29">
        <v>9.65</v>
      </c>
      <c r="K129" s="130">
        <v>0.18</v>
      </c>
      <c r="L129" s="130">
        <v>1.6</v>
      </c>
      <c r="M129" s="130">
        <v>0.1</v>
      </c>
      <c r="N129" s="130">
        <v>0</v>
      </c>
      <c r="O129" s="130">
        <v>0.6</v>
      </c>
      <c r="P129" s="130">
        <v>0.88500000000000001</v>
      </c>
      <c r="Q129" s="130">
        <v>0.8</v>
      </c>
      <c r="R129" s="130">
        <v>0</v>
      </c>
      <c r="S129" s="130">
        <v>0</v>
      </c>
      <c r="T129" s="130">
        <v>0</v>
      </c>
      <c r="U129" s="130">
        <v>-50</v>
      </c>
      <c r="V129" s="130">
        <v>0</v>
      </c>
      <c r="W129" s="130">
        <v>0</v>
      </c>
      <c r="X129" s="130">
        <v>0</v>
      </c>
      <c r="Y129" s="130">
        <v>0</v>
      </c>
      <c r="Z129" s="149">
        <v>0</v>
      </c>
      <c r="AA129" s="130">
        <v>0</v>
      </c>
      <c r="AB129" s="130">
        <v>0</v>
      </c>
      <c r="AC129" s="130">
        <v>0</v>
      </c>
      <c r="AD129" s="130">
        <v>0</v>
      </c>
      <c r="AE129" s="130">
        <v>0</v>
      </c>
      <c r="AF129" s="130">
        <v>10</v>
      </c>
      <c r="AG129" t="s">
        <v>2280</v>
      </c>
    </row>
    <row r="130" spans="1:33" x14ac:dyDescent="0.25">
      <c r="A130">
        <v>318</v>
      </c>
      <c r="B130" t="s">
        <v>1846</v>
      </c>
      <c r="C130" t="s">
        <v>1778</v>
      </c>
      <c r="D130">
        <v>21500</v>
      </c>
      <c r="E130">
        <v>23650</v>
      </c>
      <c r="F130">
        <v>100</v>
      </c>
      <c r="G130">
        <v>2500</v>
      </c>
      <c r="H130">
        <v>75</v>
      </c>
      <c r="I130">
        <v>2.7</v>
      </c>
      <c r="J130" s="29">
        <v>7.24</v>
      </c>
      <c r="K130" s="130">
        <v>0.18</v>
      </c>
      <c r="L130" s="130">
        <v>1.6</v>
      </c>
      <c r="M130" s="130">
        <v>0.1</v>
      </c>
      <c r="N130" s="130">
        <v>0.53</v>
      </c>
      <c r="O130" s="130">
        <v>0.6</v>
      </c>
      <c r="P130" s="130">
        <v>0.88500000000000001</v>
      </c>
      <c r="Q130" s="130">
        <v>0.8</v>
      </c>
      <c r="R130" s="130">
        <v>0</v>
      </c>
      <c r="S130" s="130">
        <v>0</v>
      </c>
      <c r="T130" s="130">
        <v>0</v>
      </c>
      <c r="U130" s="130">
        <v>-50</v>
      </c>
      <c r="V130" s="130">
        <v>0</v>
      </c>
      <c r="W130" s="130">
        <v>0</v>
      </c>
      <c r="X130" s="130">
        <v>0</v>
      </c>
      <c r="Y130" s="130">
        <v>0</v>
      </c>
      <c r="Z130" s="149">
        <v>0</v>
      </c>
      <c r="AA130" s="130">
        <v>0</v>
      </c>
      <c r="AB130" s="130">
        <v>0</v>
      </c>
      <c r="AC130" s="130">
        <v>0</v>
      </c>
      <c r="AD130" s="130">
        <v>0</v>
      </c>
      <c r="AE130" s="130">
        <v>0</v>
      </c>
      <c r="AF130" s="130">
        <v>10</v>
      </c>
      <c r="AG130" t="s">
        <v>2280</v>
      </c>
    </row>
    <row r="131" spans="1:33" x14ac:dyDescent="0.25">
      <c r="A131">
        <v>319</v>
      </c>
      <c r="B131" t="s">
        <v>1847</v>
      </c>
      <c r="C131" t="s">
        <v>1701</v>
      </c>
      <c r="D131">
        <v>13700</v>
      </c>
      <c r="E131">
        <v>15070</v>
      </c>
      <c r="F131">
        <v>100</v>
      </c>
      <c r="G131">
        <v>2500</v>
      </c>
      <c r="H131">
        <v>0</v>
      </c>
      <c r="I131">
        <v>2.1</v>
      </c>
      <c r="J131" s="29">
        <v>7.24</v>
      </c>
      <c r="K131" s="130">
        <v>0.16</v>
      </c>
      <c r="L131" s="130">
        <v>2</v>
      </c>
      <c r="M131" s="130">
        <v>0.1</v>
      </c>
      <c r="N131" s="130">
        <v>0</v>
      </c>
      <c r="O131" s="130">
        <v>0.6</v>
      </c>
      <c r="P131" s="130">
        <v>0.88500000000000001</v>
      </c>
      <c r="Q131" s="130">
        <v>0.8</v>
      </c>
      <c r="R131" s="130">
        <v>0</v>
      </c>
      <c r="S131" s="130">
        <v>0</v>
      </c>
      <c r="T131" s="130">
        <v>0</v>
      </c>
      <c r="U131" s="130">
        <v>-50</v>
      </c>
      <c r="V131" s="130">
        <v>0</v>
      </c>
      <c r="W131" s="130">
        <v>0</v>
      </c>
      <c r="X131" s="130">
        <v>0</v>
      </c>
      <c r="Y131" s="130">
        <v>0</v>
      </c>
      <c r="Z131" s="149">
        <v>0</v>
      </c>
      <c r="AA131" s="130">
        <v>0</v>
      </c>
      <c r="AB131" s="130">
        <v>0</v>
      </c>
      <c r="AC131" s="130">
        <v>0</v>
      </c>
      <c r="AD131" s="130">
        <v>0</v>
      </c>
      <c r="AE131" s="130">
        <v>0</v>
      </c>
      <c r="AF131" s="130">
        <v>10</v>
      </c>
      <c r="AG131" t="s">
        <v>2281</v>
      </c>
    </row>
    <row r="132" spans="1:33" x14ac:dyDescent="0.25">
      <c r="A132">
        <v>320</v>
      </c>
      <c r="B132" t="s">
        <v>1882</v>
      </c>
      <c r="C132" t="s">
        <v>1778</v>
      </c>
      <c r="D132">
        <v>13810</v>
      </c>
      <c r="E132">
        <v>15191</v>
      </c>
      <c r="F132">
        <v>100</v>
      </c>
      <c r="G132">
        <v>2500</v>
      </c>
      <c r="H132">
        <v>0</v>
      </c>
      <c r="I132">
        <v>2.7</v>
      </c>
      <c r="J132" s="29">
        <v>9.65</v>
      </c>
      <c r="K132" s="130">
        <v>0.18</v>
      </c>
      <c r="L132" s="130">
        <v>1.6</v>
      </c>
      <c r="M132" s="130">
        <v>0.1</v>
      </c>
      <c r="N132" s="130">
        <v>0</v>
      </c>
      <c r="O132" s="130">
        <v>0.6</v>
      </c>
      <c r="P132" s="130">
        <v>0.88500000000000001</v>
      </c>
      <c r="Q132" s="130">
        <v>0.8</v>
      </c>
      <c r="R132" s="130">
        <v>0</v>
      </c>
      <c r="S132" s="130">
        <v>0</v>
      </c>
      <c r="T132" s="130">
        <v>0</v>
      </c>
      <c r="U132" s="130">
        <v>-50</v>
      </c>
      <c r="V132" s="130">
        <v>0</v>
      </c>
      <c r="W132" s="130">
        <v>0</v>
      </c>
      <c r="X132" s="130">
        <v>0</v>
      </c>
      <c r="Y132" s="130">
        <v>0</v>
      </c>
      <c r="Z132" s="149">
        <v>0</v>
      </c>
      <c r="AA132" s="130">
        <v>0.9</v>
      </c>
      <c r="AB132" s="130">
        <v>0.3</v>
      </c>
      <c r="AC132" s="130">
        <v>0</v>
      </c>
      <c r="AD132" s="130">
        <v>0</v>
      </c>
      <c r="AE132" s="130">
        <v>0</v>
      </c>
      <c r="AF132" s="130">
        <v>10</v>
      </c>
      <c r="AG132" t="s">
        <v>1883</v>
      </c>
    </row>
    <row r="133" spans="1:33" x14ac:dyDescent="0.25">
      <c r="A133">
        <v>321</v>
      </c>
      <c r="B133" t="s">
        <v>1848</v>
      </c>
      <c r="C133" t="s">
        <v>1701</v>
      </c>
      <c r="D133">
        <v>3306</v>
      </c>
      <c r="E133">
        <v>3636</v>
      </c>
      <c r="F133">
        <v>100</v>
      </c>
      <c r="G133">
        <v>2000</v>
      </c>
      <c r="H133">
        <v>0</v>
      </c>
      <c r="I133">
        <v>2.1</v>
      </c>
      <c r="J133" s="29">
        <v>8.0500000000000007</v>
      </c>
      <c r="K133" s="130">
        <v>0.46</v>
      </c>
      <c r="L133" s="130">
        <v>1.7</v>
      </c>
      <c r="M133" s="130">
        <v>0.1</v>
      </c>
      <c r="N133" s="130">
        <v>0</v>
      </c>
      <c r="O133" s="130">
        <v>0.6</v>
      </c>
      <c r="P133" s="130">
        <v>0.88500000000000001</v>
      </c>
      <c r="Q133" s="130">
        <v>0.8</v>
      </c>
      <c r="R133" s="130">
        <v>0</v>
      </c>
      <c r="S133" s="130">
        <v>0</v>
      </c>
      <c r="T133" s="130">
        <v>0</v>
      </c>
      <c r="U133" s="130">
        <v>-50</v>
      </c>
      <c r="V133" s="130">
        <v>0</v>
      </c>
      <c r="W133" s="130">
        <v>0</v>
      </c>
      <c r="X133" s="130">
        <v>0</v>
      </c>
      <c r="Y133" s="130">
        <v>0</v>
      </c>
      <c r="Z133" s="149">
        <v>0</v>
      </c>
      <c r="AA133" s="130">
        <v>0</v>
      </c>
      <c r="AB133" s="130">
        <v>0</v>
      </c>
      <c r="AC133" s="130">
        <v>0</v>
      </c>
      <c r="AD133" s="130">
        <v>0</v>
      </c>
      <c r="AE133" s="130">
        <v>0</v>
      </c>
      <c r="AF133" s="130">
        <v>10</v>
      </c>
      <c r="AG133" t="s">
        <v>2281</v>
      </c>
    </row>
    <row r="134" spans="1:33" x14ac:dyDescent="0.25">
      <c r="A134">
        <v>322</v>
      </c>
      <c r="B134" t="s">
        <v>1880</v>
      </c>
      <c r="C134" t="s">
        <v>1778</v>
      </c>
      <c r="D134">
        <v>13810</v>
      </c>
      <c r="E134">
        <v>15191</v>
      </c>
      <c r="F134">
        <v>100</v>
      </c>
      <c r="G134">
        <v>2500</v>
      </c>
      <c r="H134">
        <v>0</v>
      </c>
      <c r="I134">
        <v>2.7</v>
      </c>
      <c r="J134" s="29">
        <v>9.65</v>
      </c>
      <c r="K134" s="130">
        <v>0.18</v>
      </c>
      <c r="L134" s="130">
        <v>1.6</v>
      </c>
      <c r="M134" s="130">
        <v>0.1</v>
      </c>
      <c r="N134" s="130">
        <v>0</v>
      </c>
      <c r="O134" s="130">
        <v>0.6</v>
      </c>
      <c r="P134" s="130">
        <v>0.88500000000000001</v>
      </c>
      <c r="Q134" s="130">
        <v>0.8</v>
      </c>
      <c r="R134" s="130">
        <v>0</v>
      </c>
      <c r="S134" s="130">
        <v>0</v>
      </c>
      <c r="T134" s="130">
        <v>0</v>
      </c>
      <c r="U134" s="130">
        <v>-50</v>
      </c>
      <c r="V134" s="130">
        <v>0</v>
      </c>
      <c r="W134" s="130">
        <v>0</v>
      </c>
      <c r="X134" s="130">
        <v>0</v>
      </c>
      <c r="Y134" s="130">
        <v>0</v>
      </c>
      <c r="Z134" s="149">
        <v>22</v>
      </c>
      <c r="AA134" s="130">
        <v>0.9</v>
      </c>
      <c r="AB134" s="130">
        <v>0.3</v>
      </c>
      <c r="AC134" s="130">
        <v>0</v>
      </c>
      <c r="AD134" s="130">
        <v>0</v>
      </c>
      <c r="AE134" s="130">
        <v>0</v>
      </c>
      <c r="AF134" s="130">
        <v>10</v>
      </c>
      <c r="AG134" t="s">
        <v>1881</v>
      </c>
    </row>
    <row r="135" spans="1:33" x14ac:dyDescent="0.25">
      <c r="A135">
        <v>323</v>
      </c>
      <c r="B135" t="s">
        <v>1849</v>
      </c>
      <c r="C135" t="s">
        <v>1701</v>
      </c>
      <c r="D135">
        <v>4807</v>
      </c>
      <c r="E135">
        <v>5287</v>
      </c>
      <c r="F135">
        <v>100</v>
      </c>
      <c r="G135">
        <v>2000</v>
      </c>
      <c r="H135">
        <v>0</v>
      </c>
      <c r="I135">
        <v>3</v>
      </c>
      <c r="J135" s="29">
        <v>7.24</v>
      </c>
      <c r="K135" s="130">
        <v>0.17</v>
      </c>
      <c r="L135" s="130">
        <v>1.4</v>
      </c>
      <c r="M135" s="130">
        <v>0.1</v>
      </c>
      <c r="N135" s="130">
        <v>0</v>
      </c>
      <c r="O135" s="130">
        <v>0.6</v>
      </c>
      <c r="P135" s="130">
        <v>0.88500000000000001</v>
      </c>
      <c r="Q135" s="130">
        <v>0.8</v>
      </c>
      <c r="R135" s="130">
        <v>0</v>
      </c>
      <c r="S135" s="130">
        <v>0</v>
      </c>
      <c r="T135" s="130">
        <v>0</v>
      </c>
      <c r="U135" s="130">
        <v>-50</v>
      </c>
      <c r="V135" s="130">
        <v>0</v>
      </c>
      <c r="W135" s="130">
        <v>0</v>
      </c>
      <c r="X135" s="130">
        <v>0</v>
      </c>
      <c r="Y135" s="130">
        <v>0</v>
      </c>
      <c r="Z135" s="149">
        <v>0</v>
      </c>
      <c r="AA135" s="130">
        <v>0</v>
      </c>
      <c r="AB135" s="130">
        <v>0</v>
      </c>
      <c r="AC135" s="130">
        <v>0</v>
      </c>
      <c r="AD135" s="130">
        <v>0</v>
      </c>
      <c r="AE135" s="130">
        <v>0</v>
      </c>
      <c r="AF135" s="130">
        <v>10</v>
      </c>
      <c r="AG135" t="s">
        <v>2282</v>
      </c>
    </row>
    <row r="136" spans="1:33" x14ac:dyDescent="0.25">
      <c r="A136">
        <v>324</v>
      </c>
      <c r="B136" t="s">
        <v>1850</v>
      </c>
      <c r="C136" t="s">
        <v>1701</v>
      </c>
      <c r="D136">
        <v>5410</v>
      </c>
      <c r="E136">
        <v>5951</v>
      </c>
      <c r="F136">
        <v>100</v>
      </c>
      <c r="G136">
        <v>2500</v>
      </c>
      <c r="H136">
        <v>0</v>
      </c>
      <c r="I136">
        <v>3</v>
      </c>
      <c r="J136" s="29">
        <v>6.44</v>
      </c>
      <c r="K136" s="130">
        <v>0.17</v>
      </c>
      <c r="L136" s="130">
        <v>1.4</v>
      </c>
      <c r="M136" s="130">
        <v>0.1</v>
      </c>
      <c r="N136" s="130">
        <v>0</v>
      </c>
      <c r="O136" s="130">
        <v>0.6</v>
      </c>
      <c r="P136" s="130">
        <v>0.88500000000000001</v>
      </c>
      <c r="Q136" s="130">
        <v>0.8</v>
      </c>
      <c r="R136" s="130">
        <v>0</v>
      </c>
      <c r="S136" s="130">
        <v>0</v>
      </c>
      <c r="T136" s="130">
        <v>0</v>
      </c>
      <c r="U136" s="130">
        <v>-50</v>
      </c>
      <c r="V136" s="130">
        <v>0</v>
      </c>
      <c r="W136" s="130">
        <v>0</v>
      </c>
      <c r="X136" s="130">
        <v>0</v>
      </c>
      <c r="Y136" s="130">
        <v>0</v>
      </c>
      <c r="Z136" s="149">
        <v>0</v>
      </c>
      <c r="AA136" s="130">
        <v>0</v>
      </c>
      <c r="AB136" s="130">
        <v>0</v>
      </c>
      <c r="AC136" s="130">
        <v>0</v>
      </c>
      <c r="AD136" s="130">
        <v>0</v>
      </c>
      <c r="AE136" s="130">
        <v>0</v>
      </c>
      <c r="AF136" s="130">
        <v>10</v>
      </c>
      <c r="AG136" t="s">
        <v>2282</v>
      </c>
    </row>
    <row r="137" spans="1:33" x14ac:dyDescent="0.25">
      <c r="A137">
        <v>326</v>
      </c>
      <c r="B137" t="s">
        <v>1851</v>
      </c>
      <c r="C137" t="s">
        <v>1701</v>
      </c>
      <c r="D137">
        <v>18461</v>
      </c>
      <c r="E137">
        <v>20307</v>
      </c>
      <c r="F137">
        <v>34</v>
      </c>
      <c r="G137">
        <v>2000</v>
      </c>
      <c r="H137">
        <v>0</v>
      </c>
      <c r="I137">
        <v>4.3</v>
      </c>
      <c r="J137" s="29">
        <v>3.22</v>
      </c>
      <c r="K137" s="130">
        <v>0.06</v>
      </c>
      <c r="L137" s="130">
        <v>2</v>
      </c>
      <c r="M137" s="130">
        <v>0.1</v>
      </c>
      <c r="N137" s="130">
        <v>0</v>
      </c>
      <c r="O137" s="130">
        <v>0.6</v>
      </c>
      <c r="P137" s="130">
        <v>0.88500000000000001</v>
      </c>
      <c r="Q137" s="130">
        <v>0.7</v>
      </c>
      <c r="R137" s="130">
        <v>0</v>
      </c>
      <c r="S137" s="130">
        <v>0</v>
      </c>
      <c r="T137" s="130">
        <v>0</v>
      </c>
      <c r="U137" s="130">
        <v>0</v>
      </c>
      <c r="V137" s="130">
        <v>0</v>
      </c>
      <c r="W137" s="130">
        <v>0</v>
      </c>
      <c r="X137" s="130">
        <v>0</v>
      </c>
      <c r="Y137" s="130">
        <v>0</v>
      </c>
      <c r="Z137" s="149">
        <v>0</v>
      </c>
      <c r="AA137" s="130">
        <v>0</v>
      </c>
      <c r="AB137" s="130">
        <v>0</v>
      </c>
      <c r="AC137" s="130">
        <v>0</v>
      </c>
      <c r="AD137" s="130">
        <v>0</v>
      </c>
      <c r="AE137" s="130">
        <v>0</v>
      </c>
      <c r="AF137" s="130">
        <v>10</v>
      </c>
      <c r="AG137" t="s">
        <v>2283</v>
      </c>
    </row>
    <row r="138" spans="1:33" x14ac:dyDescent="0.25">
      <c r="A138">
        <v>327</v>
      </c>
      <c r="B138" t="s">
        <v>1852</v>
      </c>
      <c r="C138" t="s">
        <v>1778</v>
      </c>
      <c r="D138">
        <v>1399</v>
      </c>
      <c r="E138">
        <v>1539</v>
      </c>
      <c r="F138">
        <v>45</v>
      </c>
      <c r="G138">
        <v>2000</v>
      </c>
      <c r="H138">
        <v>63</v>
      </c>
      <c r="I138">
        <v>4.3</v>
      </c>
      <c r="J138" s="29">
        <v>8.3699999999999992</v>
      </c>
      <c r="K138" s="130">
        <v>0.06</v>
      </c>
      <c r="L138" s="130">
        <v>2</v>
      </c>
      <c r="M138" s="130">
        <v>0.1</v>
      </c>
      <c r="N138" s="130">
        <v>0.42</v>
      </c>
      <c r="O138" s="130">
        <v>0.6</v>
      </c>
      <c r="P138" s="130">
        <v>0.88500000000000001</v>
      </c>
      <c r="Q138" s="130">
        <v>0.7</v>
      </c>
      <c r="R138" s="130">
        <v>0</v>
      </c>
      <c r="S138" s="130">
        <v>0</v>
      </c>
      <c r="T138" s="130">
        <v>0</v>
      </c>
      <c r="U138" s="130">
        <v>0</v>
      </c>
      <c r="V138" s="130">
        <v>0</v>
      </c>
      <c r="W138" s="130">
        <v>0</v>
      </c>
      <c r="X138" s="130">
        <v>0</v>
      </c>
      <c r="Y138" s="130">
        <v>0</v>
      </c>
      <c r="Z138" s="149">
        <v>0</v>
      </c>
      <c r="AA138" s="130">
        <v>0</v>
      </c>
      <c r="AB138" s="130">
        <v>0</v>
      </c>
      <c r="AC138" s="130">
        <v>0</v>
      </c>
      <c r="AD138" s="130">
        <v>0</v>
      </c>
      <c r="AE138" s="130">
        <v>0</v>
      </c>
      <c r="AF138" s="130">
        <v>10</v>
      </c>
      <c r="AG138" t="s">
        <v>1853</v>
      </c>
    </row>
    <row r="139" spans="1:33" x14ac:dyDescent="0.25">
      <c r="A139">
        <v>328</v>
      </c>
      <c r="B139" t="s">
        <v>1854</v>
      </c>
      <c r="C139" t="s">
        <v>1701</v>
      </c>
      <c r="D139">
        <v>63200</v>
      </c>
      <c r="E139">
        <v>69520</v>
      </c>
      <c r="F139">
        <v>100</v>
      </c>
      <c r="G139">
        <v>2000</v>
      </c>
      <c r="H139">
        <v>0</v>
      </c>
      <c r="I139">
        <v>0.3</v>
      </c>
      <c r="J139" s="29">
        <v>16.100000000000001</v>
      </c>
      <c r="K139" s="130">
        <v>0.43</v>
      </c>
      <c r="L139" s="130">
        <v>1.8</v>
      </c>
      <c r="M139" s="130">
        <v>0.1</v>
      </c>
      <c r="N139" s="130">
        <v>0</v>
      </c>
      <c r="O139" s="130">
        <v>0.6</v>
      </c>
      <c r="P139" s="130">
        <v>0.88500000000000001</v>
      </c>
      <c r="Q139" s="130">
        <v>0.82499999999999996</v>
      </c>
      <c r="R139" s="130">
        <v>0</v>
      </c>
      <c r="S139" s="130">
        <v>0</v>
      </c>
      <c r="T139" s="130">
        <v>0</v>
      </c>
      <c r="U139" s="130">
        <v>0</v>
      </c>
      <c r="V139" s="130">
        <v>0</v>
      </c>
      <c r="W139" s="130">
        <v>0</v>
      </c>
      <c r="X139" s="130">
        <v>0</v>
      </c>
      <c r="Y139" s="130">
        <v>0</v>
      </c>
      <c r="Z139" s="149">
        <v>12</v>
      </c>
      <c r="AA139" s="130">
        <v>0</v>
      </c>
      <c r="AB139" s="130">
        <v>0</v>
      </c>
      <c r="AC139" s="130">
        <v>0</v>
      </c>
      <c r="AD139" s="130">
        <v>0</v>
      </c>
      <c r="AE139" s="130">
        <v>0</v>
      </c>
      <c r="AF139" s="130">
        <v>10</v>
      </c>
      <c r="AG139" t="s">
        <v>1855</v>
      </c>
    </row>
    <row r="140" spans="1:33" x14ac:dyDescent="0.25">
      <c r="A140">
        <v>329</v>
      </c>
      <c r="B140" t="s">
        <v>1856</v>
      </c>
      <c r="C140" t="s">
        <v>1701</v>
      </c>
      <c r="D140">
        <v>3535</v>
      </c>
      <c r="E140">
        <v>3889</v>
      </c>
      <c r="F140">
        <v>100</v>
      </c>
      <c r="G140">
        <v>2000</v>
      </c>
      <c r="H140">
        <v>0</v>
      </c>
      <c r="I140">
        <v>2.7</v>
      </c>
      <c r="J140" s="29">
        <v>6.44</v>
      </c>
      <c r="K140" s="130">
        <v>0.44</v>
      </c>
      <c r="L140" s="130">
        <v>2</v>
      </c>
      <c r="M140" s="130">
        <v>0.1</v>
      </c>
      <c r="N140" s="130">
        <v>0</v>
      </c>
      <c r="O140" s="130">
        <v>0.6</v>
      </c>
      <c r="P140" s="130">
        <v>0.88500000000000001</v>
      </c>
      <c r="Q140" s="130">
        <v>0.8</v>
      </c>
      <c r="R140" s="130">
        <v>0</v>
      </c>
      <c r="S140" s="130">
        <v>0</v>
      </c>
      <c r="T140" s="130">
        <v>0</v>
      </c>
      <c r="U140" s="130">
        <v>-75</v>
      </c>
      <c r="V140" s="130">
        <v>0</v>
      </c>
      <c r="W140" s="130">
        <v>0</v>
      </c>
      <c r="X140" s="130">
        <v>0</v>
      </c>
      <c r="Y140" s="130">
        <v>0</v>
      </c>
      <c r="Z140" s="149">
        <v>0</v>
      </c>
      <c r="AA140" s="130">
        <v>0</v>
      </c>
      <c r="AB140" s="130">
        <v>0</v>
      </c>
      <c r="AC140" s="130">
        <v>0</v>
      </c>
      <c r="AD140" s="130">
        <v>0</v>
      </c>
      <c r="AE140" s="130">
        <v>0</v>
      </c>
      <c r="AF140" s="130">
        <v>10</v>
      </c>
      <c r="AG140" t="s">
        <v>2284</v>
      </c>
    </row>
    <row r="141" spans="1:33" x14ac:dyDescent="0.25">
      <c r="A141">
        <v>331</v>
      </c>
      <c r="B141" t="s">
        <v>1857</v>
      </c>
      <c r="C141" t="s">
        <v>1701</v>
      </c>
      <c r="D141">
        <v>4768</v>
      </c>
      <c r="E141">
        <v>5245</v>
      </c>
      <c r="F141">
        <v>100</v>
      </c>
      <c r="G141">
        <v>2000</v>
      </c>
      <c r="H141">
        <v>0</v>
      </c>
      <c r="I141">
        <v>2.7</v>
      </c>
      <c r="J141" s="29">
        <v>5.63</v>
      </c>
      <c r="K141" s="130">
        <v>0.44</v>
      </c>
      <c r="L141" s="130">
        <v>2</v>
      </c>
      <c r="M141" s="130">
        <v>0.1</v>
      </c>
      <c r="N141" s="130">
        <v>0</v>
      </c>
      <c r="O141" s="130">
        <v>0.6</v>
      </c>
      <c r="P141" s="130">
        <v>0.88500000000000001</v>
      </c>
      <c r="Q141" s="130">
        <v>0.8</v>
      </c>
      <c r="R141" s="130">
        <v>0</v>
      </c>
      <c r="S141" s="130">
        <v>0</v>
      </c>
      <c r="T141" s="130">
        <v>0</v>
      </c>
      <c r="U141" s="130">
        <v>-75</v>
      </c>
      <c r="V141" s="130">
        <v>0</v>
      </c>
      <c r="W141" s="130">
        <v>0</v>
      </c>
      <c r="X141" s="130">
        <v>0</v>
      </c>
      <c r="Y141" s="130">
        <v>0</v>
      </c>
      <c r="Z141" s="149">
        <v>0</v>
      </c>
      <c r="AA141" s="130">
        <v>0</v>
      </c>
      <c r="AB141" s="130">
        <v>0</v>
      </c>
      <c r="AC141" s="130">
        <v>0</v>
      </c>
      <c r="AD141" s="130">
        <v>0</v>
      </c>
      <c r="AE141" s="130">
        <v>0</v>
      </c>
      <c r="AF141" s="130">
        <v>10</v>
      </c>
      <c r="AG141" t="s">
        <v>2284</v>
      </c>
    </row>
    <row r="142" spans="1:33" x14ac:dyDescent="0.25">
      <c r="A142">
        <v>333</v>
      </c>
      <c r="B142" t="s">
        <v>1858</v>
      </c>
      <c r="C142" t="s">
        <v>1701</v>
      </c>
      <c r="D142">
        <v>4243</v>
      </c>
      <c r="E142">
        <v>4667</v>
      </c>
      <c r="F142">
        <v>100</v>
      </c>
      <c r="G142">
        <v>2000</v>
      </c>
      <c r="H142">
        <v>0</v>
      </c>
      <c r="I142">
        <v>2.7</v>
      </c>
      <c r="J142" s="29">
        <v>4.83</v>
      </c>
      <c r="K142" s="130">
        <v>0.16</v>
      </c>
      <c r="L142" s="130">
        <v>1.6</v>
      </c>
      <c r="M142" s="130">
        <v>0.1</v>
      </c>
      <c r="N142" s="130">
        <v>0</v>
      </c>
      <c r="O142" s="130">
        <v>0.6</v>
      </c>
      <c r="P142" s="130">
        <v>0.88500000000000001</v>
      </c>
      <c r="Q142" s="130">
        <v>0.8</v>
      </c>
      <c r="R142" s="130">
        <v>0</v>
      </c>
      <c r="S142" s="130">
        <v>0</v>
      </c>
      <c r="T142" s="130">
        <v>0</v>
      </c>
      <c r="U142" s="130">
        <v>-50</v>
      </c>
      <c r="V142" s="130">
        <v>0</v>
      </c>
      <c r="W142" s="130">
        <v>0</v>
      </c>
      <c r="X142" s="130">
        <v>0</v>
      </c>
      <c r="Y142" s="130">
        <v>0</v>
      </c>
      <c r="Z142" s="149">
        <v>0</v>
      </c>
      <c r="AA142" s="130">
        <v>0</v>
      </c>
      <c r="AB142" s="130">
        <v>0</v>
      </c>
      <c r="AC142" s="130">
        <v>0</v>
      </c>
      <c r="AD142" s="130">
        <v>0</v>
      </c>
      <c r="AE142" s="130">
        <v>0</v>
      </c>
      <c r="AF142" s="130">
        <v>10</v>
      </c>
      <c r="AG142" t="s">
        <v>1859</v>
      </c>
    </row>
    <row r="143" spans="1:33" x14ac:dyDescent="0.25">
      <c r="A143">
        <v>334</v>
      </c>
      <c r="B143" t="s">
        <v>1860</v>
      </c>
      <c r="C143" t="s">
        <v>1778</v>
      </c>
      <c r="D143">
        <v>2690</v>
      </c>
      <c r="E143">
        <v>2959</v>
      </c>
      <c r="F143">
        <v>100</v>
      </c>
      <c r="G143">
        <v>2500</v>
      </c>
      <c r="H143">
        <v>149</v>
      </c>
      <c r="I143">
        <v>0.3</v>
      </c>
      <c r="J143" s="29">
        <v>5.63</v>
      </c>
      <c r="K143" s="130">
        <v>0.16</v>
      </c>
      <c r="L143" s="130">
        <v>1.6</v>
      </c>
      <c r="M143" s="130">
        <v>0.1</v>
      </c>
      <c r="N143" s="130">
        <v>0</v>
      </c>
      <c r="O143" s="130">
        <v>0.6</v>
      </c>
      <c r="P143" s="130">
        <v>0.88500000000000001</v>
      </c>
      <c r="Q143" s="130">
        <v>0.8</v>
      </c>
      <c r="R143" s="130">
        <v>0</v>
      </c>
      <c r="S143" s="130">
        <v>0</v>
      </c>
      <c r="T143" s="130">
        <v>0</v>
      </c>
      <c r="U143" s="130">
        <v>-50</v>
      </c>
      <c r="V143" s="130">
        <v>0</v>
      </c>
      <c r="W143" s="130">
        <v>0</v>
      </c>
      <c r="X143" s="130">
        <v>0</v>
      </c>
      <c r="Y143" s="130">
        <v>0</v>
      </c>
      <c r="Z143" s="149">
        <v>0</v>
      </c>
      <c r="AA143" s="130">
        <v>0</v>
      </c>
      <c r="AB143" s="130">
        <v>0</v>
      </c>
      <c r="AC143" s="130">
        <v>0</v>
      </c>
      <c r="AD143" s="130">
        <v>0</v>
      </c>
      <c r="AE143" s="130">
        <v>0</v>
      </c>
      <c r="AF143" s="130">
        <v>10</v>
      </c>
      <c r="AG143" t="s">
        <v>1861</v>
      </c>
    </row>
    <row r="144" spans="1:33" x14ac:dyDescent="0.25">
      <c r="A144">
        <v>336</v>
      </c>
      <c r="B144" t="s">
        <v>1862</v>
      </c>
      <c r="C144" t="s">
        <v>1778</v>
      </c>
      <c r="D144">
        <v>9558</v>
      </c>
      <c r="E144">
        <v>10514</v>
      </c>
      <c r="F144">
        <v>100</v>
      </c>
      <c r="G144">
        <v>1500</v>
      </c>
      <c r="H144">
        <v>4</v>
      </c>
      <c r="I144">
        <v>3</v>
      </c>
      <c r="J144" s="29">
        <v>3.22</v>
      </c>
      <c r="K144" s="130">
        <v>0.59</v>
      </c>
      <c r="L144" s="130">
        <v>1.3</v>
      </c>
      <c r="M144" s="130">
        <v>0</v>
      </c>
      <c r="N144" s="130">
        <v>0</v>
      </c>
      <c r="O144" s="130">
        <v>0.68</v>
      </c>
      <c r="P144" s="130">
        <v>0.9</v>
      </c>
      <c r="Q144" s="130">
        <v>0.65</v>
      </c>
      <c r="R144" s="130">
        <v>0</v>
      </c>
      <c r="S144" s="130">
        <v>0</v>
      </c>
      <c r="T144" s="130">
        <v>0</v>
      </c>
      <c r="U144" s="130">
        <v>100</v>
      </c>
      <c r="V144" s="130">
        <v>0</v>
      </c>
      <c r="W144" s="130">
        <v>0</v>
      </c>
      <c r="X144" s="130">
        <v>0</v>
      </c>
      <c r="Y144" s="130">
        <v>0</v>
      </c>
      <c r="Z144" s="149">
        <v>2</v>
      </c>
      <c r="AA144" s="130">
        <v>0.95</v>
      </c>
      <c r="AB144" s="130">
        <v>0.5</v>
      </c>
      <c r="AC144" s="130">
        <v>0</v>
      </c>
      <c r="AD144" s="130">
        <v>0</v>
      </c>
      <c r="AE144" s="130">
        <v>0</v>
      </c>
      <c r="AF144" s="130">
        <v>10</v>
      </c>
      <c r="AG144" t="s">
        <v>1863</v>
      </c>
    </row>
    <row r="145" spans="1:33" x14ac:dyDescent="0.25">
      <c r="A145">
        <v>338</v>
      </c>
      <c r="B145" t="s">
        <v>1864</v>
      </c>
      <c r="C145" t="s">
        <v>1778</v>
      </c>
      <c r="D145">
        <v>2573</v>
      </c>
      <c r="E145">
        <v>2830</v>
      </c>
      <c r="F145">
        <v>50</v>
      </c>
      <c r="G145">
        <v>1000</v>
      </c>
      <c r="H145">
        <v>9</v>
      </c>
      <c r="I145">
        <v>3</v>
      </c>
      <c r="J145" s="29">
        <v>6.44</v>
      </c>
      <c r="K145" s="130">
        <v>0.28000000000000003</v>
      </c>
      <c r="L145" s="130">
        <v>1.4</v>
      </c>
      <c r="M145" s="130">
        <v>0</v>
      </c>
      <c r="N145" s="130">
        <v>0</v>
      </c>
      <c r="O145" s="130">
        <v>1.5</v>
      </c>
      <c r="P145" s="130">
        <v>0.92</v>
      </c>
      <c r="Q145" s="130">
        <v>0.65</v>
      </c>
      <c r="R145" s="130">
        <v>0</v>
      </c>
      <c r="S145" s="130">
        <v>0</v>
      </c>
      <c r="T145" s="130">
        <v>0</v>
      </c>
      <c r="U145" s="130">
        <v>-25</v>
      </c>
      <c r="V145" s="130">
        <v>0</v>
      </c>
      <c r="W145" s="130">
        <v>0</v>
      </c>
      <c r="X145" s="130">
        <v>0</v>
      </c>
      <c r="Y145" s="130">
        <v>0</v>
      </c>
      <c r="Z145" s="149">
        <v>0</v>
      </c>
      <c r="AA145" s="130">
        <v>0</v>
      </c>
      <c r="AB145" s="130">
        <v>0</v>
      </c>
      <c r="AC145" s="130">
        <v>0</v>
      </c>
      <c r="AD145" s="130">
        <v>0</v>
      </c>
      <c r="AE145" s="130">
        <v>0</v>
      </c>
      <c r="AF145" s="130">
        <v>10</v>
      </c>
      <c r="AG145" t="s">
        <v>1865</v>
      </c>
    </row>
    <row r="146" spans="1:33" x14ac:dyDescent="0.25">
      <c r="A146">
        <v>339</v>
      </c>
      <c r="B146" t="s">
        <v>1866</v>
      </c>
      <c r="C146" t="s">
        <v>1778</v>
      </c>
      <c r="D146">
        <v>43457</v>
      </c>
      <c r="E146">
        <v>47802</v>
      </c>
      <c r="F146">
        <v>270</v>
      </c>
      <c r="G146">
        <v>1890</v>
      </c>
      <c r="H146">
        <v>0</v>
      </c>
      <c r="I146">
        <v>3.7</v>
      </c>
      <c r="J146" s="29">
        <v>5.63</v>
      </c>
      <c r="K146" s="130">
        <v>0.04</v>
      </c>
      <c r="L146" s="130">
        <v>2.1</v>
      </c>
      <c r="M146" s="130">
        <v>0.1</v>
      </c>
      <c r="N146" s="130">
        <v>0</v>
      </c>
      <c r="O146" s="130">
        <v>0.6</v>
      </c>
      <c r="P146" s="130">
        <v>0.88500000000000001</v>
      </c>
      <c r="Q146" s="130">
        <v>0.7</v>
      </c>
      <c r="R146" s="130">
        <v>0</v>
      </c>
      <c r="S146" s="130">
        <v>0</v>
      </c>
      <c r="T146" s="130">
        <v>0</v>
      </c>
      <c r="U146" s="130">
        <v>-50</v>
      </c>
      <c r="V146" s="130">
        <v>0</v>
      </c>
      <c r="W146" s="130">
        <v>0</v>
      </c>
      <c r="X146" s="130">
        <v>0</v>
      </c>
      <c r="Y146" s="130">
        <v>0</v>
      </c>
      <c r="Z146" s="149">
        <v>2</v>
      </c>
      <c r="AA146" s="130">
        <v>0.95</v>
      </c>
      <c r="AB146" s="130">
        <v>0</v>
      </c>
      <c r="AC146" s="130">
        <v>0</v>
      </c>
      <c r="AD146" s="130">
        <v>0</v>
      </c>
      <c r="AE146" s="130">
        <v>0</v>
      </c>
      <c r="AF146" s="130">
        <v>10</v>
      </c>
      <c r="AG146" t="s">
        <v>1867</v>
      </c>
    </row>
    <row r="147" spans="1:33" x14ac:dyDescent="0.25">
      <c r="A147">
        <v>340</v>
      </c>
      <c r="B147" t="s">
        <v>1868</v>
      </c>
      <c r="C147" t="s">
        <v>1701</v>
      </c>
      <c r="D147">
        <v>862</v>
      </c>
      <c r="E147">
        <v>948</v>
      </c>
      <c r="F147">
        <v>40</v>
      </c>
      <c r="G147">
        <v>800</v>
      </c>
      <c r="H147">
        <v>0</v>
      </c>
      <c r="I147">
        <v>12.2</v>
      </c>
      <c r="J147" s="29">
        <v>8.0500000000000007</v>
      </c>
      <c r="K147" s="130">
        <v>0.19</v>
      </c>
      <c r="L147" s="130">
        <v>1.3</v>
      </c>
      <c r="M147" s="130">
        <v>0</v>
      </c>
      <c r="N147" s="130">
        <v>0</v>
      </c>
      <c r="O147" s="130">
        <v>0.8</v>
      </c>
      <c r="P147" s="130">
        <v>0.94</v>
      </c>
      <c r="Q147" s="130">
        <v>0.65</v>
      </c>
      <c r="R147" s="130">
        <v>0</v>
      </c>
      <c r="S147" s="130">
        <v>0</v>
      </c>
      <c r="T147" s="130">
        <v>0</v>
      </c>
      <c r="U147" s="130">
        <v>0</v>
      </c>
      <c r="V147" s="130">
        <v>0</v>
      </c>
      <c r="W147" s="130">
        <v>0</v>
      </c>
      <c r="X147" s="130">
        <v>0</v>
      </c>
      <c r="Y147" s="130">
        <v>0</v>
      </c>
      <c r="Z147" s="149">
        <v>0</v>
      </c>
      <c r="AA147" s="130">
        <v>0</v>
      </c>
      <c r="AB147" s="130">
        <v>0</v>
      </c>
      <c r="AC147" s="130">
        <v>0</v>
      </c>
      <c r="AD147" s="130">
        <v>0</v>
      </c>
      <c r="AE147" s="130">
        <v>0</v>
      </c>
      <c r="AF147" s="130">
        <v>10</v>
      </c>
      <c r="AG147" t="s">
        <v>1869</v>
      </c>
    </row>
    <row r="148" spans="1:33" x14ac:dyDescent="0.25">
      <c r="A148">
        <v>341</v>
      </c>
      <c r="B148" t="s">
        <v>1870</v>
      </c>
      <c r="C148" t="s">
        <v>1701</v>
      </c>
      <c r="D148">
        <v>6462</v>
      </c>
      <c r="E148">
        <v>7108</v>
      </c>
      <c r="F148">
        <v>200</v>
      </c>
      <c r="G148">
        <v>3000</v>
      </c>
      <c r="H148">
        <v>0</v>
      </c>
      <c r="I148">
        <v>3</v>
      </c>
      <c r="J148" s="29">
        <v>5.63</v>
      </c>
      <c r="K148" s="130">
        <v>0.19</v>
      </c>
      <c r="L148" s="130">
        <v>1.3</v>
      </c>
      <c r="M148" s="130">
        <v>0</v>
      </c>
      <c r="N148" s="130">
        <v>0</v>
      </c>
      <c r="O148" s="130">
        <v>0.6</v>
      </c>
      <c r="P148" s="130">
        <v>0.88500000000000001</v>
      </c>
      <c r="Q148" s="130">
        <v>0.75</v>
      </c>
      <c r="R148" s="130">
        <v>0</v>
      </c>
      <c r="S148" s="130">
        <v>0</v>
      </c>
      <c r="T148" s="130">
        <v>0</v>
      </c>
      <c r="U148" s="130">
        <v>0</v>
      </c>
      <c r="V148" s="130">
        <v>0</v>
      </c>
      <c r="W148" s="130">
        <v>0</v>
      </c>
      <c r="X148" s="130">
        <v>0</v>
      </c>
      <c r="Y148" s="130">
        <v>0</v>
      </c>
      <c r="Z148" s="149">
        <v>0</v>
      </c>
      <c r="AA148" s="130">
        <v>0</v>
      </c>
      <c r="AB148" s="130">
        <v>0</v>
      </c>
      <c r="AC148" s="130">
        <v>0</v>
      </c>
      <c r="AD148" s="130">
        <v>0</v>
      </c>
      <c r="AE148" s="130">
        <v>0</v>
      </c>
      <c r="AF148" s="130">
        <v>10</v>
      </c>
      <c r="AG148" t="s">
        <v>1871</v>
      </c>
    </row>
    <row r="149" spans="1:33" x14ac:dyDescent="0.25">
      <c r="A149">
        <v>343</v>
      </c>
      <c r="B149" t="s">
        <v>1872</v>
      </c>
      <c r="C149" t="s">
        <v>1701</v>
      </c>
      <c r="D149">
        <v>63245</v>
      </c>
      <c r="E149">
        <v>69570</v>
      </c>
      <c r="F149">
        <v>100</v>
      </c>
      <c r="G149">
        <v>1500</v>
      </c>
      <c r="H149">
        <v>0</v>
      </c>
      <c r="I149">
        <v>2.4</v>
      </c>
      <c r="J149" s="29">
        <v>4.83</v>
      </c>
      <c r="K149" s="130">
        <v>0.19</v>
      </c>
      <c r="L149" s="130">
        <v>1.3</v>
      </c>
      <c r="M149" s="130">
        <v>0.1</v>
      </c>
      <c r="N149" s="130">
        <v>0</v>
      </c>
      <c r="O149" s="130">
        <v>0.6</v>
      </c>
      <c r="P149" s="130">
        <v>0.88500000000000001</v>
      </c>
      <c r="Q149" s="130">
        <v>0.7</v>
      </c>
      <c r="R149" s="130">
        <v>0</v>
      </c>
      <c r="S149" s="130">
        <v>0</v>
      </c>
      <c r="T149" s="130">
        <v>0</v>
      </c>
      <c r="U149" s="130">
        <v>0</v>
      </c>
      <c r="V149" s="130">
        <v>0</v>
      </c>
      <c r="W149" s="130">
        <v>0</v>
      </c>
      <c r="X149" s="130">
        <v>0</v>
      </c>
      <c r="Y149" s="130">
        <v>0</v>
      </c>
      <c r="Z149" s="149">
        <v>0</v>
      </c>
      <c r="AA149" s="130">
        <v>0</v>
      </c>
      <c r="AB149" s="130">
        <v>0</v>
      </c>
      <c r="AC149" s="130">
        <v>0</v>
      </c>
      <c r="AD149" s="130">
        <v>0</v>
      </c>
      <c r="AE149" s="130">
        <v>0</v>
      </c>
      <c r="AF149" s="130">
        <v>10</v>
      </c>
      <c r="AG149" t="s">
        <v>1873</v>
      </c>
    </row>
    <row r="150" spans="1:33" x14ac:dyDescent="0.25">
      <c r="A150">
        <v>344</v>
      </c>
      <c r="B150" t="s">
        <v>1874</v>
      </c>
      <c r="C150" t="s">
        <v>1778</v>
      </c>
      <c r="D150">
        <v>17680</v>
      </c>
      <c r="E150">
        <v>19448</v>
      </c>
      <c r="F150">
        <v>400</v>
      </c>
      <c r="G150">
        <v>4000</v>
      </c>
      <c r="H150">
        <v>130</v>
      </c>
      <c r="I150">
        <v>0.3</v>
      </c>
      <c r="J150" s="29">
        <v>48.27</v>
      </c>
      <c r="K150" s="130">
        <v>7.0000000000000001E-3</v>
      </c>
      <c r="L150" s="130">
        <v>2</v>
      </c>
      <c r="M150" s="130">
        <v>0.1</v>
      </c>
      <c r="N150" s="130">
        <v>0.53</v>
      </c>
      <c r="O150" s="130">
        <v>0.6</v>
      </c>
      <c r="P150" s="130">
        <v>0.88500000000000001</v>
      </c>
      <c r="Q150" s="130">
        <v>0.8</v>
      </c>
      <c r="R150" s="130">
        <v>0</v>
      </c>
      <c r="S150" s="130">
        <v>0</v>
      </c>
      <c r="T150" s="130">
        <v>0</v>
      </c>
      <c r="U150" s="130">
        <v>0</v>
      </c>
      <c r="V150" s="130">
        <v>0</v>
      </c>
      <c r="W150" s="130">
        <v>0</v>
      </c>
      <c r="X150" s="130">
        <v>0</v>
      </c>
      <c r="Y150" s="130">
        <v>0</v>
      </c>
      <c r="Z150" s="149">
        <v>0</v>
      </c>
      <c r="AA150" s="130">
        <v>0</v>
      </c>
      <c r="AB150" s="130">
        <v>0</v>
      </c>
      <c r="AC150" s="130">
        <v>0</v>
      </c>
      <c r="AD150" s="130">
        <v>0</v>
      </c>
      <c r="AE150" s="130">
        <v>0</v>
      </c>
      <c r="AF150" s="130">
        <v>10</v>
      </c>
      <c r="AG150" t="s">
        <v>1875</v>
      </c>
    </row>
    <row r="151" spans="1:33" x14ac:dyDescent="0.25">
      <c r="A151">
        <v>345</v>
      </c>
      <c r="B151" t="s">
        <v>1876</v>
      </c>
      <c r="C151" t="s">
        <v>1778</v>
      </c>
      <c r="D151">
        <v>18643</v>
      </c>
      <c r="E151">
        <v>20507</v>
      </c>
      <c r="F151">
        <v>210</v>
      </c>
      <c r="G151">
        <v>4000</v>
      </c>
      <c r="H151">
        <v>130</v>
      </c>
      <c r="I151">
        <v>0.3</v>
      </c>
      <c r="J151" s="29">
        <v>48.27</v>
      </c>
      <c r="K151" s="130">
        <v>7.0000000000000001E-3</v>
      </c>
      <c r="L151" s="130">
        <v>2</v>
      </c>
      <c r="M151" s="130">
        <v>0.1</v>
      </c>
      <c r="N151" s="130">
        <v>0.53</v>
      </c>
      <c r="O151" s="130">
        <v>0.6</v>
      </c>
      <c r="P151" s="130">
        <v>0.88500000000000001</v>
      </c>
      <c r="Q151" s="130">
        <v>0.8</v>
      </c>
      <c r="R151" s="130">
        <v>0</v>
      </c>
      <c r="S151" s="130">
        <v>0</v>
      </c>
      <c r="T151" s="130">
        <v>0</v>
      </c>
      <c r="U151" s="130">
        <v>0</v>
      </c>
      <c r="V151" s="130">
        <v>0</v>
      </c>
      <c r="W151" s="130">
        <v>0</v>
      </c>
      <c r="X151" s="130">
        <v>0</v>
      </c>
      <c r="Y151" s="130">
        <v>0</v>
      </c>
      <c r="Z151" s="149">
        <v>0</v>
      </c>
      <c r="AA151" s="130">
        <v>0</v>
      </c>
      <c r="AB151" s="130">
        <v>0</v>
      </c>
      <c r="AC151" s="130">
        <v>0</v>
      </c>
      <c r="AD151" s="130">
        <v>0</v>
      </c>
      <c r="AE151" s="130">
        <v>0</v>
      </c>
      <c r="AF151" s="130">
        <v>10</v>
      </c>
      <c r="AG151" t="s">
        <v>1877</v>
      </c>
    </row>
    <row r="152" spans="1:33" x14ac:dyDescent="0.25">
      <c r="A152">
        <v>346</v>
      </c>
      <c r="B152" t="s">
        <v>1878</v>
      </c>
      <c r="C152" t="s">
        <v>1778</v>
      </c>
      <c r="D152">
        <v>105944</v>
      </c>
      <c r="E152">
        <v>116538</v>
      </c>
      <c r="F152">
        <v>350</v>
      </c>
      <c r="G152">
        <v>4500</v>
      </c>
      <c r="H152">
        <v>224</v>
      </c>
      <c r="I152">
        <v>0.3</v>
      </c>
      <c r="J152" s="29">
        <v>72.400000000000006</v>
      </c>
      <c r="K152" s="130">
        <v>7.0000000000000001E-3</v>
      </c>
      <c r="L152" s="130">
        <v>2</v>
      </c>
      <c r="M152" s="130">
        <v>0.1</v>
      </c>
      <c r="N152" s="130">
        <v>0.42</v>
      </c>
      <c r="O152" s="130">
        <v>0.6</v>
      </c>
      <c r="P152" s="130">
        <v>0.88500000000000001</v>
      </c>
      <c r="Q152" s="130">
        <v>0.8</v>
      </c>
      <c r="R152" s="130">
        <v>0</v>
      </c>
      <c r="S152" s="130">
        <v>0</v>
      </c>
      <c r="T152" s="130">
        <v>0</v>
      </c>
      <c r="U152" s="130">
        <v>0</v>
      </c>
      <c r="V152" s="130">
        <v>0</v>
      </c>
      <c r="W152" s="130">
        <v>0</v>
      </c>
      <c r="X152" s="130">
        <v>0</v>
      </c>
      <c r="Y152" s="130">
        <v>0</v>
      </c>
      <c r="Z152" s="149">
        <v>12</v>
      </c>
      <c r="AA152" s="130">
        <v>0</v>
      </c>
      <c r="AB152" s="130">
        <v>0</v>
      </c>
      <c r="AC152" s="130">
        <v>0</v>
      </c>
      <c r="AD152" s="130">
        <v>0</v>
      </c>
      <c r="AE152" s="130">
        <v>0</v>
      </c>
      <c r="AF152" s="130">
        <v>10</v>
      </c>
      <c r="AG152" t="s">
        <v>1879</v>
      </c>
    </row>
    <row r="153" spans="1:33" x14ac:dyDescent="0.25">
      <c r="A153">
        <v>352</v>
      </c>
      <c r="B153" t="s">
        <v>1884</v>
      </c>
      <c r="C153" t="s">
        <v>1778</v>
      </c>
      <c r="D153">
        <v>44280</v>
      </c>
      <c r="E153">
        <v>48708</v>
      </c>
      <c r="F153">
        <v>185</v>
      </c>
      <c r="G153">
        <v>4000</v>
      </c>
      <c r="H153">
        <v>149</v>
      </c>
      <c r="I153">
        <v>0.3</v>
      </c>
      <c r="J153" s="29">
        <v>40.22</v>
      </c>
      <c r="K153" s="130">
        <v>7.0000000000000001E-3</v>
      </c>
      <c r="L153" s="130">
        <v>2</v>
      </c>
      <c r="M153" s="130">
        <v>0.1</v>
      </c>
      <c r="N153" s="130">
        <v>0.42</v>
      </c>
      <c r="O153" s="130">
        <v>0.6</v>
      </c>
      <c r="P153" s="130">
        <v>0.88500000000000001</v>
      </c>
      <c r="Q153" s="130">
        <v>0.8</v>
      </c>
      <c r="R153" s="130">
        <v>0</v>
      </c>
      <c r="S153" s="130">
        <v>0</v>
      </c>
      <c r="T153" s="130">
        <v>0</v>
      </c>
      <c r="U153" s="130">
        <v>0</v>
      </c>
      <c r="V153" s="130">
        <v>0</v>
      </c>
      <c r="W153" s="130">
        <v>0</v>
      </c>
      <c r="X153" s="130">
        <v>0</v>
      </c>
      <c r="Y153" s="130">
        <v>0</v>
      </c>
      <c r="Z153" s="149">
        <v>12</v>
      </c>
      <c r="AA153" s="130">
        <v>0</v>
      </c>
      <c r="AB153" s="130">
        <v>0</v>
      </c>
      <c r="AC153" s="130">
        <v>0</v>
      </c>
      <c r="AD153" s="130">
        <v>0</v>
      </c>
      <c r="AE153" s="130">
        <v>0</v>
      </c>
      <c r="AF153" s="130">
        <v>10</v>
      </c>
      <c r="AG153" t="s">
        <v>1885</v>
      </c>
    </row>
    <row r="154" spans="1:33" x14ac:dyDescent="0.25">
      <c r="A154">
        <v>355</v>
      </c>
      <c r="B154" t="s">
        <v>1886</v>
      </c>
      <c r="C154" t="s">
        <v>1778</v>
      </c>
      <c r="D154">
        <v>50200</v>
      </c>
      <c r="E154">
        <v>55220</v>
      </c>
      <c r="F154">
        <v>100</v>
      </c>
      <c r="G154">
        <v>2000</v>
      </c>
      <c r="H154">
        <v>0</v>
      </c>
      <c r="I154">
        <v>6.7</v>
      </c>
      <c r="J154" s="29">
        <v>4.83</v>
      </c>
      <c r="K154" s="130">
        <v>0.04</v>
      </c>
      <c r="L154" s="130">
        <v>2.1</v>
      </c>
      <c r="M154" s="130">
        <v>0.1</v>
      </c>
      <c r="N154" s="130">
        <v>0</v>
      </c>
      <c r="O154" s="130">
        <v>0.64</v>
      </c>
      <c r="P154" s="130">
        <v>0.88500000000000001</v>
      </c>
      <c r="Q154" s="130">
        <v>0.75</v>
      </c>
      <c r="R154" s="130">
        <v>0</v>
      </c>
      <c r="S154" s="130">
        <v>0</v>
      </c>
      <c r="T154" s="130">
        <v>0</v>
      </c>
      <c r="U154" s="130">
        <v>-50</v>
      </c>
      <c r="V154" s="130">
        <v>0</v>
      </c>
      <c r="W154" s="130">
        <v>0</v>
      </c>
      <c r="X154" s="130">
        <v>0</v>
      </c>
      <c r="Y154" s="130">
        <v>0</v>
      </c>
      <c r="Z154" s="149">
        <v>2</v>
      </c>
      <c r="AA154" s="130">
        <v>0.95</v>
      </c>
      <c r="AB154" s="130">
        <v>0</v>
      </c>
      <c r="AC154" s="130">
        <v>0</v>
      </c>
      <c r="AD154" s="130">
        <v>0</v>
      </c>
      <c r="AE154" s="130">
        <v>0</v>
      </c>
      <c r="AF154" s="130">
        <v>10</v>
      </c>
      <c r="AG154" t="s">
        <v>1804</v>
      </c>
    </row>
    <row r="155" spans="1:33" x14ac:dyDescent="0.25">
      <c r="A155">
        <v>356</v>
      </c>
      <c r="B155" t="s">
        <v>1887</v>
      </c>
      <c r="C155" t="s">
        <v>1701</v>
      </c>
      <c r="D155">
        <v>16053</v>
      </c>
      <c r="E155">
        <v>17658</v>
      </c>
      <c r="F155">
        <v>150</v>
      </c>
      <c r="G155">
        <v>2500</v>
      </c>
      <c r="H155">
        <v>0</v>
      </c>
      <c r="I155">
        <v>7.3</v>
      </c>
      <c r="J155" s="29">
        <v>7.24</v>
      </c>
      <c r="K155" s="130">
        <v>0.18</v>
      </c>
      <c r="L155" s="130">
        <v>1.7</v>
      </c>
      <c r="M155" s="130">
        <v>0</v>
      </c>
      <c r="N155" s="130">
        <v>0</v>
      </c>
      <c r="O155" s="130">
        <v>0.6</v>
      </c>
      <c r="P155" s="130">
        <v>0.88500000000000001</v>
      </c>
      <c r="Q155" s="130">
        <v>0.75</v>
      </c>
      <c r="R155" s="130">
        <v>0</v>
      </c>
      <c r="S155" s="130">
        <v>0.7</v>
      </c>
      <c r="T155" s="130">
        <v>50</v>
      </c>
      <c r="U155" s="130">
        <v>100</v>
      </c>
      <c r="V155" s="130">
        <v>0</v>
      </c>
      <c r="W155" s="130">
        <v>0</v>
      </c>
      <c r="X155" s="130">
        <v>0</v>
      </c>
      <c r="Y155" s="130">
        <v>0</v>
      </c>
      <c r="Z155" s="149">
        <v>0</v>
      </c>
      <c r="AA155" s="130">
        <v>0</v>
      </c>
      <c r="AB155" s="130">
        <v>0</v>
      </c>
      <c r="AC155" s="130">
        <v>0</v>
      </c>
      <c r="AD155" s="130">
        <v>0</v>
      </c>
      <c r="AE155" s="130">
        <v>0</v>
      </c>
      <c r="AF155" s="130">
        <v>10</v>
      </c>
      <c r="AG155" t="s">
        <v>1754</v>
      </c>
    </row>
    <row r="156" spans="1:33" x14ac:dyDescent="0.25">
      <c r="A156">
        <v>359</v>
      </c>
      <c r="B156" t="s">
        <v>1888</v>
      </c>
      <c r="C156" t="s">
        <v>1778</v>
      </c>
      <c r="D156">
        <v>139181</v>
      </c>
      <c r="E156">
        <v>153099</v>
      </c>
      <c r="F156">
        <v>50</v>
      </c>
      <c r="G156">
        <v>2000</v>
      </c>
      <c r="H156">
        <v>75</v>
      </c>
      <c r="I156">
        <v>2.1</v>
      </c>
      <c r="J156" s="29">
        <v>16.09</v>
      </c>
      <c r="K156" s="130">
        <v>7.0000000000000001E-3</v>
      </c>
      <c r="L156" s="130">
        <v>2</v>
      </c>
      <c r="M156" s="130">
        <v>0.1</v>
      </c>
      <c r="N156" s="130">
        <v>0.42</v>
      </c>
      <c r="O156" s="130">
        <v>0.6</v>
      </c>
      <c r="P156" s="130">
        <v>0.88500000000000001</v>
      </c>
      <c r="Q156" s="130">
        <v>0.85</v>
      </c>
      <c r="R156" s="130">
        <v>0</v>
      </c>
      <c r="S156" s="130">
        <v>0.1</v>
      </c>
      <c r="T156" s="130">
        <v>13</v>
      </c>
      <c r="U156" s="130">
        <v>5</v>
      </c>
      <c r="V156" s="130">
        <v>0</v>
      </c>
      <c r="W156" s="130">
        <v>0</v>
      </c>
      <c r="X156" s="130">
        <v>0</v>
      </c>
      <c r="Y156" s="130">
        <v>0</v>
      </c>
      <c r="Z156" s="149">
        <v>0</v>
      </c>
      <c r="AA156" s="130">
        <v>0</v>
      </c>
      <c r="AB156" s="130">
        <v>0</v>
      </c>
      <c r="AC156" s="130">
        <v>0</v>
      </c>
      <c r="AD156" s="130">
        <v>0</v>
      </c>
      <c r="AE156" s="130">
        <v>0</v>
      </c>
      <c r="AF156" s="130">
        <v>10</v>
      </c>
      <c r="AG156" t="s">
        <v>1888</v>
      </c>
    </row>
    <row r="157" spans="1:33" x14ac:dyDescent="0.25">
      <c r="A157">
        <v>362</v>
      </c>
      <c r="B157" t="s">
        <v>1889</v>
      </c>
      <c r="C157" t="s">
        <v>1701</v>
      </c>
      <c r="D157">
        <v>7634</v>
      </c>
      <c r="E157">
        <v>8398</v>
      </c>
      <c r="F157">
        <v>50</v>
      </c>
      <c r="G157">
        <v>2500</v>
      </c>
      <c r="H157">
        <v>0</v>
      </c>
      <c r="I157">
        <v>4.9000000000000004</v>
      </c>
      <c r="J157" s="29">
        <v>7.24</v>
      </c>
      <c r="K157" s="130">
        <v>0.28000000000000003</v>
      </c>
      <c r="L157" s="130">
        <v>1.4</v>
      </c>
      <c r="M157" s="130">
        <v>0.1</v>
      </c>
      <c r="N157" s="130">
        <v>0</v>
      </c>
      <c r="O157" s="130">
        <v>0.6</v>
      </c>
      <c r="P157" s="130">
        <v>0.88500000000000001</v>
      </c>
      <c r="Q157" s="130">
        <v>0.8</v>
      </c>
      <c r="R157" s="130">
        <v>0</v>
      </c>
      <c r="S157" s="130">
        <v>0</v>
      </c>
      <c r="T157" s="130">
        <v>0</v>
      </c>
      <c r="U157" s="130">
        <v>-50</v>
      </c>
      <c r="V157" s="130">
        <v>0</v>
      </c>
      <c r="W157" s="130">
        <v>0</v>
      </c>
      <c r="X157" s="130">
        <v>0</v>
      </c>
      <c r="Y157" s="130">
        <v>0</v>
      </c>
      <c r="Z157" s="149">
        <v>0</v>
      </c>
      <c r="AA157" s="130">
        <v>0</v>
      </c>
      <c r="AB157" s="130">
        <v>0</v>
      </c>
      <c r="AC157" s="130">
        <v>0</v>
      </c>
      <c r="AD157" s="130">
        <v>0</v>
      </c>
      <c r="AE157" s="130">
        <v>0</v>
      </c>
      <c r="AF157" s="130">
        <v>10</v>
      </c>
      <c r="AG157" t="s">
        <v>1890</v>
      </c>
    </row>
    <row r="158" spans="1:33" x14ac:dyDescent="0.25">
      <c r="A158">
        <v>365</v>
      </c>
      <c r="B158" t="s">
        <v>1891</v>
      </c>
      <c r="C158" t="s">
        <v>1701</v>
      </c>
      <c r="D158">
        <v>15504</v>
      </c>
      <c r="E158">
        <v>17054</v>
      </c>
      <c r="F158">
        <v>100</v>
      </c>
      <c r="G158">
        <v>2000</v>
      </c>
      <c r="H158">
        <v>0</v>
      </c>
      <c r="I158">
        <v>2.1</v>
      </c>
      <c r="J158" s="29">
        <v>4.83</v>
      </c>
      <c r="K158" s="130">
        <v>0.28999999999999998</v>
      </c>
      <c r="L158" s="130">
        <v>1.8</v>
      </c>
      <c r="M158" s="130">
        <v>0.1</v>
      </c>
      <c r="N158" s="130">
        <v>0</v>
      </c>
      <c r="O158" s="130">
        <v>0.6</v>
      </c>
      <c r="P158" s="130">
        <v>0.88500000000000001</v>
      </c>
      <c r="Q158" s="130">
        <v>0.8</v>
      </c>
      <c r="R158" s="130">
        <v>0</v>
      </c>
      <c r="S158" s="130">
        <v>0.25</v>
      </c>
      <c r="T158" s="130">
        <v>0.13</v>
      </c>
      <c r="U158" s="130">
        <v>0</v>
      </c>
      <c r="V158" s="130">
        <v>0</v>
      </c>
      <c r="W158" s="130">
        <v>0</v>
      </c>
      <c r="X158" s="130">
        <v>0</v>
      </c>
      <c r="Y158" s="130">
        <v>0</v>
      </c>
      <c r="Z158" s="149">
        <v>0</v>
      </c>
      <c r="AA158" s="130">
        <v>0</v>
      </c>
      <c r="AB158" s="130">
        <v>0</v>
      </c>
      <c r="AC158" s="130">
        <v>0</v>
      </c>
      <c r="AD158" s="130">
        <v>0</v>
      </c>
      <c r="AE158" s="130">
        <v>0</v>
      </c>
      <c r="AF158" s="130">
        <v>10</v>
      </c>
      <c r="AG158" t="s">
        <v>1892</v>
      </c>
    </row>
    <row r="159" spans="1:33" x14ac:dyDescent="0.25">
      <c r="A159">
        <v>368</v>
      </c>
      <c r="B159" t="s">
        <v>1893</v>
      </c>
      <c r="C159" t="s">
        <v>1778</v>
      </c>
      <c r="D159">
        <v>8539</v>
      </c>
      <c r="E159">
        <v>9393</v>
      </c>
      <c r="F159">
        <v>100</v>
      </c>
      <c r="G159">
        <v>2500</v>
      </c>
      <c r="H159">
        <v>75</v>
      </c>
      <c r="I159">
        <v>1.8</v>
      </c>
      <c r="J159" s="29">
        <v>4.83</v>
      </c>
      <c r="K159" s="130">
        <v>7.0000000000000001E-3</v>
      </c>
      <c r="L159" s="130">
        <v>2</v>
      </c>
      <c r="M159" s="130">
        <v>0.1</v>
      </c>
      <c r="N159" s="130">
        <v>0.42</v>
      </c>
      <c r="O159" s="130">
        <v>0.6</v>
      </c>
      <c r="P159" s="130">
        <v>0.88500000000000001</v>
      </c>
      <c r="Q159" s="130">
        <v>0.8</v>
      </c>
      <c r="R159" s="130">
        <v>0</v>
      </c>
      <c r="S159" s="130">
        <v>0</v>
      </c>
      <c r="T159" s="130">
        <v>0</v>
      </c>
      <c r="U159" s="130">
        <v>0</v>
      </c>
      <c r="V159" s="130">
        <v>0</v>
      </c>
      <c r="W159" s="130">
        <v>0</v>
      </c>
      <c r="X159" s="130">
        <v>0</v>
      </c>
      <c r="Y159" s="130">
        <v>0</v>
      </c>
      <c r="Z159" s="149">
        <v>0</v>
      </c>
      <c r="AA159" s="130">
        <v>0</v>
      </c>
      <c r="AB159" s="130">
        <v>0</v>
      </c>
      <c r="AC159" s="130">
        <v>0</v>
      </c>
      <c r="AD159" s="130">
        <v>0</v>
      </c>
      <c r="AE159" s="130">
        <v>0</v>
      </c>
      <c r="AF159" s="130">
        <v>10</v>
      </c>
      <c r="AG159" t="s">
        <v>1894</v>
      </c>
    </row>
    <row r="160" spans="1:33" x14ac:dyDescent="0.25">
      <c r="A160">
        <v>369</v>
      </c>
      <c r="B160" t="s">
        <v>1895</v>
      </c>
      <c r="C160" t="s">
        <v>1701</v>
      </c>
      <c r="D160">
        <v>2342</v>
      </c>
      <c r="E160">
        <v>2576</v>
      </c>
      <c r="F160">
        <v>100</v>
      </c>
      <c r="G160">
        <v>2500</v>
      </c>
      <c r="H160">
        <v>0</v>
      </c>
      <c r="I160">
        <v>2.4</v>
      </c>
      <c r="J160" s="29">
        <v>16.09</v>
      </c>
      <c r="K160" s="130">
        <v>0.19</v>
      </c>
      <c r="L160" s="130">
        <v>1.3</v>
      </c>
      <c r="M160" s="130">
        <v>0.1</v>
      </c>
      <c r="N160" s="130">
        <v>0</v>
      </c>
      <c r="O160" s="130">
        <v>0.6</v>
      </c>
      <c r="P160" s="130">
        <v>0.88500000000000001</v>
      </c>
      <c r="Q160" s="130">
        <v>0.82499999999999996</v>
      </c>
      <c r="R160" s="130">
        <v>0</v>
      </c>
      <c r="S160" s="130">
        <v>0</v>
      </c>
      <c r="T160" s="130">
        <v>0</v>
      </c>
      <c r="U160" s="130">
        <v>0</v>
      </c>
      <c r="V160" s="130">
        <v>0</v>
      </c>
      <c r="W160" s="130">
        <v>0</v>
      </c>
      <c r="X160" s="130">
        <v>0</v>
      </c>
      <c r="Y160" s="130">
        <v>0</v>
      </c>
      <c r="Z160" s="149">
        <v>12</v>
      </c>
      <c r="AA160" s="130">
        <v>0</v>
      </c>
      <c r="AB160" s="130">
        <v>0</v>
      </c>
      <c r="AC160" s="130">
        <v>0</v>
      </c>
      <c r="AD160" s="130">
        <v>0</v>
      </c>
      <c r="AE160" s="130">
        <v>0</v>
      </c>
      <c r="AF160" s="130">
        <v>10</v>
      </c>
      <c r="AG160" t="s">
        <v>1896</v>
      </c>
    </row>
    <row r="161" spans="1:33" x14ac:dyDescent="0.25">
      <c r="A161">
        <v>378</v>
      </c>
      <c r="B161" t="s">
        <v>1897</v>
      </c>
      <c r="C161" t="s">
        <v>1701</v>
      </c>
      <c r="D161">
        <v>9579</v>
      </c>
      <c r="E161">
        <v>10537</v>
      </c>
      <c r="F161">
        <v>100</v>
      </c>
      <c r="G161">
        <v>2500</v>
      </c>
      <c r="H161">
        <v>0</v>
      </c>
      <c r="I161">
        <v>2.1</v>
      </c>
      <c r="J161" s="29">
        <v>4.83</v>
      </c>
      <c r="K161" s="130">
        <v>0.28999999999999998</v>
      </c>
      <c r="L161" s="130">
        <v>1.8</v>
      </c>
      <c r="M161" s="130">
        <v>0.1</v>
      </c>
      <c r="N161" s="130">
        <v>0</v>
      </c>
      <c r="O161" s="130">
        <v>0.6</v>
      </c>
      <c r="P161" s="130">
        <v>0.88500000000000001</v>
      </c>
      <c r="Q161" s="130">
        <v>0.7</v>
      </c>
      <c r="R161" s="130">
        <v>0</v>
      </c>
      <c r="S161" s="130">
        <v>0</v>
      </c>
      <c r="T161" s="130">
        <v>0</v>
      </c>
      <c r="U161" s="130">
        <v>0</v>
      </c>
      <c r="V161" s="130">
        <v>0</v>
      </c>
      <c r="W161" s="130">
        <v>0</v>
      </c>
      <c r="X161" s="130">
        <v>0</v>
      </c>
      <c r="Y161" s="130">
        <v>0</v>
      </c>
      <c r="Z161" s="149">
        <v>0</v>
      </c>
      <c r="AA161" s="130">
        <v>0</v>
      </c>
      <c r="AB161" s="130">
        <v>0</v>
      </c>
      <c r="AC161" s="130">
        <v>0</v>
      </c>
      <c r="AD161" s="130">
        <v>0</v>
      </c>
      <c r="AE161" s="130">
        <v>0</v>
      </c>
      <c r="AF161" s="130">
        <v>10</v>
      </c>
      <c r="AG161" t="s">
        <v>1898</v>
      </c>
    </row>
    <row r="162" spans="1:33" x14ac:dyDescent="0.25">
      <c r="A162">
        <v>380</v>
      </c>
      <c r="B162" t="s">
        <v>1899</v>
      </c>
      <c r="C162" t="s">
        <v>1701</v>
      </c>
      <c r="D162">
        <v>1542</v>
      </c>
      <c r="E162">
        <v>1696</v>
      </c>
      <c r="F162">
        <v>20</v>
      </c>
      <c r="G162">
        <v>1200</v>
      </c>
      <c r="H162">
        <v>0</v>
      </c>
      <c r="I162">
        <v>2.1</v>
      </c>
      <c r="J162" s="29">
        <v>1.61</v>
      </c>
      <c r="K162" s="130">
        <v>0.32</v>
      </c>
      <c r="L162" s="130">
        <v>2.1</v>
      </c>
      <c r="M162" s="130">
        <v>0.1</v>
      </c>
      <c r="N162" s="130">
        <v>0</v>
      </c>
      <c r="O162" s="130">
        <v>0.6</v>
      </c>
      <c r="P162" s="130">
        <v>0.88500000000000001</v>
      </c>
      <c r="Q162" s="130">
        <v>0.8</v>
      </c>
      <c r="R162" s="130">
        <v>0</v>
      </c>
      <c r="S162" s="130">
        <v>0</v>
      </c>
      <c r="T162" s="130">
        <v>0</v>
      </c>
      <c r="U162" s="130">
        <v>0</v>
      </c>
      <c r="V162" s="130">
        <v>0</v>
      </c>
      <c r="W162" s="130">
        <v>0</v>
      </c>
      <c r="X162" s="130">
        <v>0</v>
      </c>
      <c r="Y162" s="130">
        <v>0</v>
      </c>
      <c r="Z162" s="149">
        <v>0</v>
      </c>
      <c r="AA162" s="130">
        <v>0</v>
      </c>
      <c r="AB162" s="130">
        <v>0</v>
      </c>
      <c r="AC162" s="130">
        <v>0</v>
      </c>
      <c r="AD162" s="130">
        <v>0</v>
      </c>
      <c r="AE162" s="130">
        <v>0</v>
      </c>
      <c r="AF162" s="130">
        <v>10</v>
      </c>
      <c r="AG162" t="s">
        <v>1900</v>
      </c>
    </row>
    <row r="163" spans="1:33" x14ac:dyDescent="0.25">
      <c r="A163">
        <v>381</v>
      </c>
      <c r="B163" t="s">
        <v>1901</v>
      </c>
      <c r="C163" t="s">
        <v>1778</v>
      </c>
      <c r="D163">
        <v>135101</v>
      </c>
      <c r="E163">
        <v>148612</v>
      </c>
      <c r="F163">
        <v>100</v>
      </c>
      <c r="G163">
        <v>12000</v>
      </c>
      <c r="H163">
        <v>224</v>
      </c>
      <c r="I163">
        <v>3</v>
      </c>
      <c r="J163" s="29">
        <v>4.83</v>
      </c>
      <c r="K163" s="130">
        <v>3.0000000000000001E-3</v>
      </c>
      <c r="L163" s="130">
        <v>2</v>
      </c>
      <c r="M163" s="130">
        <v>0.1</v>
      </c>
      <c r="N163" s="130">
        <v>0.42</v>
      </c>
      <c r="O163" s="130">
        <v>0.68</v>
      </c>
      <c r="P163" s="130">
        <v>0.92</v>
      </c>
      <c r="Q163" s="130">
        <v>0.6</v>
      </c>
      <c r="R163" s="130">
        <v>0</v>
      </c>
      <c r="S163" s="130">
        <v>0</v>
      </c>
      <c r="T163" s="130">
        <v>0</v>
      </c>
      <c r="U163" s="130">
        <v>0</v>
      </c>
      <c r="V163" s="130">
        <v>0</v>
      </c>
      <c r="W163" s="130">
        <v>0</v>
      </c>
      <c r="X163" s="130">
        <v>0</v>
      </c>
      <c r="Y163" s="130">
        <v>0</v>
      </c>
      <c r="Z163" s="149">
        <v>0</v>
      </c>
      <c r="AA163" s="130">
        <v>0</v>
      </c>
      <c r="AB163" s="130">
        <v>0</v>
      </c>
      <c r="AC163" s="130">
        <v>0</v>
      </c>
      <c r="AD163" s="130">
        <v>0</v>
      </c>
      <c r="AE163" s="130">
        <v>0</v>
      </c>
      <c r="AF163" s="130">
        <v>10</v>
      </c>
      <c r="AG163" t="s">
        <v>1902</v>
      </c>
    </row>
    <row r="164" spans="1:33" x14ac:dyDescent="0.25">
      <c r="A164">
        <v>382</v>
      </c>
      <c r="B164" t="s">
        <v>1903</v>
      </c>
      <c r="C164" t="s">
        <v>1904</v>
      </c>
      <c r="D164">
        <v>4308</v>
      </c>
      <c r="E164">
        <v>4739</v>
      </c>
      <c r="F164">
        <v>126</v>
      </c>
      <c r="G164">
        <v>73167</v>
      </c>
      <c r="H164">
        <v>15</v>
      </c>
      <c r="I164">
        <v>0.3</v>
      </c>
      <c r="J164" s="29">
        <v>5.04</v>
      </c>
      <c r="K164" s="130">
        <v>0.19</v>
      </c>
      <c r="L164" s="130">
        <v>1.3</v>
      </c>
      <c r="M164" s="130">
        <v>0</v>
      </c>
      <c r="N164" s="130">
        <v>0</v>
      </c>
      <c r="O164" s="130">
        <v>0.9</v>
      </c>
      <c r="P164" s="130">
        <v>0.96</v>
      </c>
      <c r="Q164" s="130">
        <v>1</v>
      </c>
      <c r="R164" s="130">
        <v>0</v>
      </c>
      <c r="S164" s="130">
        <v>0</v>
      </c>
      <c r="T164" s="130">
        <v>0</v>
      </c>
      <c r="U164" s="130">
        <v>0</v>
      </c>
      <c r="V164" s="130">
        <v>0</v>
      </c>
      <c r="W164" s="130">
        <v>0</v>
      </c>
      <c r="X164" s="130">
        <v>0</v>
      </c>
      <c r="Y164" s="130">
        <v>0</v>
      </c>
      <c r="Z164" s="149">
        <v>8</v>
      </c>
      <c r="AA164" s="130">
        <v>0</v>
      </c>
      <c r="AB164" s="130">
        <v>0</v>
      </c>
      <c r="AC164" s="130">
        <v>0</v>
      </c>
      <c r="AD164" s="130">
        <v>0</v>
      </c>
      <c r="AE164" s="130">
        <v>0</v>
      </c>
      <c r="AF164" s="130">
        <v>10</v>
      </c>
      <c r="AG164" t="s">
        <v>1905</v>
      </c>
    </row>
    <row r="165" spans="1:33" x14ac:dyDescent="0.25">
      <c r="A165">
        <v>383</v>
      </c>
      <c r="B165" t="s">
        <v>1906</v>
      </c>
      <c r="C165" t="s">
        <v>1701</v>
      </c>
      <c r="D165">
        <v>364</v>
      </c>
      <c r="E165">
        <v>400</v>
      </c>
      <c r="F165">
        <v>100</v>
      </c>
      <c r="G165">
        <v>1000</v>
      </c>
      <c r="H165">
        <v>0</v>
      </c>
      <c r="I165">
        <v>0.9</v>
      </c>
      <c r="J165" s="29">
        <v>1.77</v>
      </c>
      <c r="K165" s="130">
        <v>0.19</v>
      </c>
      <c r="L165" s="130">
        <v>1.3</v>
      </c>
      <c r="M165" s="130">
        <v>0</v>
      </c>
      <c r="N165" s="130">
        <v>0</v>
      </c>
      <c r="O165" s="130">
        <v>0.6</v>
      </c>
      <c r="P165" s="130">
        <v>0.88500000000000001</v>
      </c>
      <c r="Q165" s="130">
        <v>0.6</v>
      </c>
      <c r="R165" s="130">
        <v>0</v>
      </c>
      <c r="S165" s="130">
        <v>0</v>
      </c>
      <c r="T165" s="130">
        <v>0</v>
      </c>
      <c r="U165" s="130">
        <v>0</v>
      </c>
      <c r="V165" s="130">
        <v>0</v>
      </c>
      <c r="W165" s="130">
        <v>0</v>
      </c>
      <c r="X165" s="130">
        <v>0</v>
      </c>
      <c r="Y165" s="130">
        <v>0</v>
      </c>
      <c r="Z165" s="149">
        <v>0</v>
      </c>
      <c r="AA165" s="130">
        <v>0</v>
      </c>
      <c r="AB165" s="130">
        <v>0</v>
      </c>
      <c r="AC165" s="130">
        <v>0</v>
      </c>
      <c r="AD165" s="130">
        <v>0</v>
      </c>
      <c r="AE165" s="130">
        <v>0</v>
      </c>
      <c r="AF165" s="130">
        <v>10</v>
      </c>
      <c r="AG165" t="s">
        <v>1907</v>
      </c>
    </row>
    <row r="166" spans="1:33" x14ac:dyDescent="0.25">
      <c r="A166">
        <v>389</v>
      </c>
      <c r="B166" t="s">
        <v>1908</v>
      </c>
      <c r="C166" t="s">
        <v>1701</v>
      </c>
      <c r="D166">
        <v>14390</v>
      </c>
      <c r="E166">
        <v>15829</v>
      </c>
      <c r="F166">
        <v>150</v>
      </c>
      <c r="G166">
        <v>2500</v>
      </c>
      <c r="H166">
        <v>0</v>
      </c>
      <c r="I166">
        <v>11</v>
      </c>
      <c r="J166" s="29">
        <v>6.44</v>
      </c>
      <c r="K166" s="130">
        <v>0.27</v>
      </c>
      <c r="L166" s="130">
        <v>1.4</v>
      </c>
      <c r="M166" s="130">
        <v>0</v>
      </c>
      <c r="N166" s="130">
        <v>0</v>
      </c>
      <c r="O166" s="130">
        <v>0.6</v>
      </c>
      <c r="P166" s="130">
        <v>0.88500000000000001</v>
      </c>
      <c r="Q166" s="130">
        <v>0.75</v>
      </c>
      <c r="R166" s="130">
        <v>0</v>
      </c>
      <c r="S166" s="130">
        <v>0.3</v>
      </c>
      <c r="T166" s="130">
        <v>20</v>
      </c>
      <c r="U166" s="130">
        <v>100</v>
      </c>
      <c r="V166" s="130">
        <v>25</v>
      </c>
      <c r="W166" s="130">
        <v>0.3</v>
      </c>
      <c r="X166" s="130">
        <v>0</v>
      </c>
      <c r="Y166" s="130">
        <v>0</v>
      </c>
      <c r="Z166" s="149">
        <v>0</v>
      </c>
      <c r="AA166" s="130">
        <v>0</v>
      </c>
      <c r="AB166" s="130">
        <v>0</v>
      </c>
      <c r="AC166" s="130">
        <v>0</v>
      </c>
      <c r="AD166" s="130">
        <v>0</v>
      </c>
      <c r="AE166" s="130">
        <v>0</v>
      </c>
      <c r="AF166" s="130">
        <v>10</v>
      </c>
      <c r="AG166" t="s">
        <v>1909</v>
      </c>
    </row>
    <row r="167" spans="1:33" x14ac:dyDescent="0.25">
      <c r="A167">
        <v>393</v>
      </c>
      <c r="B167" t="s">
        <v>1910</v>
      </c>
      <c r="C167" t="s">
        <v>1778</v>
      </c>
      <c r="D167">
        <v>166089</v>
      </c>
      <c r="E167">
        <v>182698</v>
      </c>
      <c r="F167">
        <v>400</v>
      </c>
      <c r="G167">
        <v>6000</v>
      </c>
      <c r="H167">
        <v>82</v>
      </c>
      <c r="I167">
        <v>3.7</v>
      </c>
      <c r="J167" s="29">
        <v>8.0500000000000007</v>
      </c>
      <c r="K167" s="130">
        <v>0.19</v>
      </c>
      <c r="L167" s="130">
        <v>1.4</v>
      </c>
      <c r="M167" s="130">
        <v>0.1</v>
      </c>
      <c r="N167" s="130">
        <v>0.42</v>
      </c>
      <c r="O167" s="130">
        <v>0.6</v>
      </c>
      <c r="P167" s="130">
        <v>0.88500000000000001</v>
      </c>
      <c r="Q167" s="130">
        <v>1</v>
      </c>
      <c r="R167" s="130">
        <v>0</v>
      </c>
      <c r="S167" s="130">
        <v>0</v>
      </c>
      <c r="T167" s="130">
        <v>0</v>
      </c>
      <c r="U167" s="130">
        <v>0</v>
      </c>
      <c r="V167" s="130">
        <v>0</v>
      </c>
      <c r="W167" s="130">
        <v>0</v>
      </c>
      <c r="X167" s="130">
        <v>0</v>
      </c>
      <c r="Y167" s="130">
        <v>0</v>
      </c>
      <c r="Z167" s="149">
        <v>2</v>
      </c>
      <c r="AA167" s="130">
        <v>0.95</v>
      </c>
      <c r="AB167" s="130">
        <v>0.95</v>
      </c>
      <c r="AC167" s="130">
        <v>0</v>
      </c>
      <c r="AD167" s="130">
        <v>0</v>
      </c>
      <c r="AE167" s="130">
        <v>0</v>
      </c>
      <c r="AF167" s="130">
        <v>10</v>
      </c>
      <c r="AG167" t="s">
        <v>1911</v>
      </c>
    </row>
    <row r="168" spans="1:33" x14ac:dyDescent="0.25">
      <c r="A168">
        <v>396</v>
      </c>
      <c r="B168" t="s">
        <v>1912</v>
      </c>
      <c r="C168" t="s">
        <v>1701</v>
      </c>
      <c r="D168">
        <v>23621</v>
      </c>
      <c r="E168">
        <v>25983</v>
      </c>
      <c r="F168">
        <v>150</v>
      </c>
      <c r="G168">
        <v>150</v>
      </c>
      <c r="H168">
        <v>0</v>
      </c>
      <c r="I168">
        <v>3.7</v>
      </c>
      <c r="J168" s="29">
        <v>4.0199999999999996</v>
      </c>
      <c r="K168" s="130">
        <v>0.19</v>
      </c>
      <c r="L168" s="130">
        <v>1.3</v>
      </c>
      <c r="M168" s="130">
        <v>0</v>
      </c>
      <c r="N168" s="130">
        <v>0</v>
      </c>
      <c r="O168" s="130">
        <v>0.6</v>
      </c>
      <c r="P168" s="130">
        <v>0.88500000000000001</v>
      </c>
      <c r="Q168" s="130">
        <v>0.6</v>
      </c>
      <c r="R168" s="130">
        <v>0</v>
      </c>
      <c r="S168" s="130">
        <v>0</v>
      </c>
      <c r="T168" s="130">
        <v>0</v>
      </c>
      <c r="U168" s="130">
        <v>0</v>
      </c>
      <c r="V168" s="130">
        <v>0</v>
      </c>
      <c r="W168" s="130">
        <v>0</v>
      </c>
      <c r="X168" s="130">
        <v>0</v>
      </c>
      <c r="Y168" s="130">
        <v>0</v>
      </c>
      <c r="Z168" s="149">
        <v>0</v>
      </c>
      <c r="AA168" s="130">
        <v>0</v>
      </c>
      <c r="AB168" s="130">
        <v>0</v>
      </c>
      <c r="AC168" s="130">
        <v>0</v>
      </c>
      <c r="AD168" s="130">
        <v>0</v>
      </c>
      <c r="AE168" s="130">
        <v>0</v>
      </c>
      <c r="AF168" s="130">
        <v>10</v>
      </c>
      <c r="AG168" t="s">
        <v>2285</v>
      </c>
    </row>
    <row r="169" spans="1:33" x14ac:dyDescent="0.25">
      <c r="A169">
        <v>397</v>
      </c>
      <c r="B169" t="s">
        <v>1913</v>
      </c>
      <c r="C169" t="s">
        <v>1701</v>
      </c>
      <c r="D169">
        <v>1400</v>
      </c>
      <c r="E169">
        <v>1540</v>
      </c>
      <c r="F169">
        <v>85</v>
      </c>
      <c r="G169">
        <v>510</v>
      </c>
      <c r="H169">
        <v>0</v>
      </c>
      <c r="I169">
        <v>5.5</v>
      </c>
      <c r="J169" s="29">
        <v>6.44</v>
      </c>
      <c r="K169" s="130">
        <v>0.19</v>
      </c>
      <c r="L169" s="130">
        <v>1.3</v>
      </c>
      <c r="M169" s="130">
        <v>0</v>
      </c>
      <c r="N169" s="130">
        <v>0</v>
      </c>
      <c r="O169" s="130">
        <v>0.6</v>
      </c>
      <c r="P169" s="130">
        <v>0.88500000000000001</v>
      </c>
      <c r="Q169" s="130">
        <v>1</v>
      </c>
      <c r="R169" s="130">
        <v>0</v>
      </c>
      <c r="S169" s="130">
        <v>0</v>
      </c>
      <c r="T169" s="130">
        <v>0</v>
      </c>
      <c r="U169" s="130">
        <v>-0.1</v>
      </c>
      <c r="V169" s="130">
        <v>0</v>
      </c>
      <c r="W169" s="130">
        <v>0</v>
      </c>
      <c r="X169" s="130">
        <v>0</v>
      </c>
      <c r="Y169" s="130">
        <v>0</v>
      </c>
      <c r="Z169" s="149">
        <v>14</v>
      </c>
      <c r="AA169" s="130">
        <v>0</v>
      </c>
      <c r="AB169" s="130">
        <v>0</v>
      </c>
      <c r="AC169" s="130">
        <v>0</v>
      </c>
      <c r="AD169" s="130">
        <v>0</v>
      </c>
      <c r="AE169" s="130">
        <v>0</v>
      </c>
      <c r="AF169" s="130">
        <v>10</v>
      </c>
      <c r="AG169" t="s">
        <v>1914</v>
      </c>
    </row>
    <row r="170" spans="1:33" x14ac:dyDescent="0.25">
      <c r="A170">
        <v>398</v>
      </c>
      <c r="B170" t="s">
        <v>1915</v>
      </c>
      <c r="C170" t="s">
        <v>1701</v>
      </c>
      <c r="D170">
        <v>8703</v>
      </c>
      <c r="E170">
        <v>9573</v>
      </c>
      <c r="F170">
        <v>400</v>
      </c>
      <c r="G170">
        <v>3600</v>
      </c>
      <c r="H170">
        <v>0</v>
      </c>
      <c r="I170">
        <v>2.4</v>
      </c>
      <c r="J170" s="29">
        <v>2.41</v>
      </c>
      <c r="K170" s="130">
        <v>0.19</v>
      </c>
      <c r="L170" s="130">
        <v>1.3</v>
      </c>
      <c r="M170" s="130">
        <v>0</v>
      </c>
      <c r="N170" s="130">
        <v>0</v>
      </c>
      <c r="O170" s="130">
        <v>0.6</v>
      </c>
      <c r="P170" s="130">
        <v>0.88500000000000001</v>
      </c>
      <c r="Q170" s="130">
        <v>1</v>
      </c>
      <c r="R170" s="130">
        <v>0</v>
      </c>
      <c r="S170" s="130">
        <v>0</v>
      </c>
      <c r="T170" s="130">
        <v>0</v>
      </c>
      <c r="U170" s="130">
        <v>0</v>
      </c>
      <c r="V170" s="130">
        <v>0</v>
      </c>
      <c r="W170" s="130">
        <v>0</v>
      </c>
      <c r="X170" s="130">
        <v>0</v>
      </c>
      <c r="Y170" s="130">
        <v>0</v>
      </c>
      <c r="Z170" s="149">
        <v>12</v>
      </c>
      <c r="AA170" s="130">
        <v>0</v>
      </c>
      <c r="AB170" s="130">
        <v>0</v>
      </c>
      <c r="AC170" s="130">
        <v>0</v>
      </c>
      <c r="AD170" s="130">
        <v>0</v>
      </c>
      <c r="AE170" s="130">
        <v>0</v>
      </c>
      <c r="AF170" s="130">
        <v>10</v>
      </c>
      <c r="AG170" t="s">
        <v>1916</v>
      </c>
    </row>
    <row r="171" spans="1:33" x14ac:dyDescent="0.25">
      <c r="A171">
        <v>402</v>
      </c>
      <c r="B171" t="s">
        <v>1917</v>
      </c>
      <c r="C171" t="s">
        <v>1701</v>
      </c>
      <c r="D171">
        <v>35573</v>
      </c>
      <c r="E171">
        <v>39131</v>
      </c>
      <c r="F171">
        <v>50</v>
      </c>
      <c r="G171">
        <v>2500</v>
      </c>
      <c r="H171">
        <v>0</v>
      </c>
      <c r="I171">
        <v>1.8</v>
      </c>
      <c r="J171" s="29">
        <v>3.22</v>
      </c>
      <c r="K171" s="130">
        <v>0.19</v>
      </c>
      <c r="L171" s="130">
        <v>1.4</v>
      </c>
      <c r="M171" s="130">
        <v>0.1</v>
      </c>
      <c r="N171" s="130">
        <v>0</v>
      </c>
      <c r="O171" s="130">
        <v>0.6</v>
      </c>
      <c r="P171" s="130">
        <v>0.88500000000000001</v>
      </c>
      <c r="Q171" s="130">
        <v>0.7</v>
      </c>
      <c r="R171" s="130">
        <v>0</v>
      </c>
      <c r="S171" s="130">
        <v>0.8</v>
      </c>
      <c r="T171" s="130">
        <v>20</v>
      </c>
      <c r="U171" s="130">
        <v>150</v>
      </c>
      <c r="V171" s="130">
        <v>0</v>
      </c>
      <c r="W171" s="130">
        <v>0</v>
      </c>
      <c r="X171" s="130">
        <v>0</v>
      </c>
      <c r="Y171" s="130">
        <v>0</v>
      </c>
      <c r="Z171" s="149">
        <v>2</v>
      </c>
      <c r="AA171" s="130">
        <v>0.95</v>
      </c>
      <c r="AB171" s="130">
        <v>0.95</v>
      </c>
      <c r="AC171" s="130">
        <v>0</v>
      </c>
      <c r="AD171" s="130">
        <v>0</v>
      </c>
      <c r="AE171" s="130">
        <v>0</v>
      </c>
      <c r="AF171" s="130">
        <v>10</v>
      </c>
      <c r="AG171" t="s">
        <v>1918</v>
      </c>
    </row>
    <row r="172" spans="1:33" x14ac:dyDescent="0.25">
      <c r="A172">
        <v>408</v>
      </c>
      <c r="B172" t="s">
        <v>1919</v>
      </c>
      <c r="C172" t="s">
        <v>1778</v>
      </c>
      <c r="D172">
        <v>60916</v>
      </c>
      <c r="E172">
        <v>67008</v>
      </c>
      <c r="F172">
        <v>425</v>
      </c>
      <c r="G172">
        <v>4500</v>
      </c>
      <c r="H172">
        <v>0</v>
      </c>
      <c r="I172">
        <v>1.8</v>
      </c>
      <c r="J172" s="29">
        <v>4.83</v>
      </c>
      <c r="K172" s="130">
        <v>0.19</v>
      </c>
      <c r="L172" s="130">
        <v>1.3</v>
      </c>
      <c r="M172" s="130">
        <v>0.1</v>
      </c>
      <c r="N172" s="130">
        <v>0.42</v>
      </c>
      <c r="O172" s="130">
        <v>0.6</v>
      </c>
      <c r="P172" s="130">
        <v>0.88500000000000001</v>
      </c>
      <c r="Q172" s="130">
        <v>1</v>
      </c>
      <c r="R172" s="130">
        <v>0</v>
      </c>
      <c r="S172" s="130">
        <v>0</v>
      </c>
      <c r="T172" s="130">
        <v>0</v>
      </c>
      <c r="U172" s="130">
        <v>0</v>
      </c>
      <c r="V172" s="130">
        <v>0</v>
      </c>
      <c r="W172" s="130">
        <v>0</v>
      </c>
      <c r="X172" s="130">
        <v>0</v>
      </c>
      <c r="Y172" s="130">
        <v>0</v>
      </c>
      <c r="Z172" s="149">
        <v>12</v>
      </c>
      <c r="AA172" s="130">
        <v>0</v>
      </c>
      <c r="AB172" s="130">
        <v>0</v>
      </c>
      <c r="AC172" s="130">
        <v>0</v>
      </c>
      <c r="AD172" s="130">
        <v>0</v>
      </c>
      <c r="AE172" s="130">
        <v>0</v>
      </c>
      <c r="AF172" s="130">
        <v>10</v>
      </c>
      <c r="AG172" t="s">
        <v>1920</v>
      </c>
    </row>
    <row r="173" spans="1:33" x14ac:dyDescent="0.25">
      <c r="A173">
        <v>410</v>
      </c>
      <c r="B173" t="s">
        <v>1921</v>
      </c>
      <c r="C173" t="s">
        <v>1701</v>
      </c>
      <c r="D173">
        <v>2736</v>
      </c>
      <c r="E173">
        <v>3009</v>
      </c>
      <c r="F173">
        <v>50</v>
      </c>
      <c r="G173">
        <v>2000</v>
      </c>
      <c r="H173">
        <v>0</v>
      </c>
      <c r="I173">
        <v>1.2</v>
      </c>
      <c r="J173" s="29">
        <v>4.83</v>
      </c>
      <c r="K173" s="130">
        <v>0.19</v>
      </c>
      <c r="L173" s="130">
        <v>1.4</v>
      </c>
      <c r="M173" s="130">
        <v>0.1</v>
      </c>
      <c r="N173" s="130">
        <v>0</v>
      </c>
      <c r="O173" s="130">
        <v>0.6</v>
      </c>
      <c r="P173" s="130">
        <v>0.88500000000000001</v>
      </c>
      <c r="Q173" s="130">
        <v>0.87</v>
      </c>
      <c r="R173" s="130">
        <v>0</v>
      </c>
      <c r="S173" s="130">
        <v>0</v>
      </c>
      <c r="T173" s="130">
        <v>0</v>
      </c>
      <c r="U173" s="130">
        <v>-50</v>
      </c>
      <c r="V173" s="130">
        <v>0</v>
      </c>
      <c r="W173" s="130">
        <v>0</v>
      </c>
      <c r="X173" s="130">
        <v>0</v>
      </c>
      <c r="Y173" s="130">
        <v>0</v>
      </c>
      <c r="Z173" s="149">
        <v>2</v>
      </c>
      <c r="AA173" s="130">
        <v>0.95</v>
      </c>
      <c r="AB173" s="130">
        <v>0.8</v>
      </c>
      <c r="AC173" s="130">
        <v>0</v>
      </c>
      <c r="AD173" s="130">
        <v>0</v>
      </c>
      <c r="AE173" s="130">
        <v>0</v>
      </c>
      <c r="AF173" s="130">
        <v>10</v>
      </c>
      <c r="AG173" t="s">
        <v>1922</v>
      </c>
    </row>
    <row r="174" spans="1:33" x14ac:dyDescent="0.25">
      <c r="A174">
        <v>417</v>
      </c>
      <c r="B174" t="s">
        <v>1923</v>
      </c>
      <c r="C174" t="s">
        <v>1701</v>
      </c>
      <c r="D174">
        <v>31423</v>
      </c>
      <c r="E174">
        <v>34565</v>
      </c>
      <c r="F174">
        <v>160</v>
      </c>
      <c r="G174">
        <v>1440</v>
      </c>
      <c r="H174">
        <v>0</v>
      </c>
      <c r="I174">
        <v>1.8</v>
      </c>
      <c r="J174" s="29">
        <v>4.83</v>
      </c>
      <c r="K174" s="130">
        <v>0.32</v>
      </c>
      <c r="L174" s="130">
        <v>2.1</v>
      </c>
      <c r="M174" s="130">
        <v>0</v>
      </c>
      <c r="N174" s="130">
        <v>0</v>
      </c>
      <c r="O174" s="130">
        <v>0.6</v>
      </c>
      <c r="P174" s="130">
        <v>0.88500000000000001</v>
      </c>
      <c r="Q174" s="130">
        <v>1</v>
      </c>
      <c r="R174" s="130">
        <v>0</v>
      </c>
      <c r="S174" s="130">
        <v>0.2</v>
      </c>
      <c r="T174" s="130">
        <v>10</v>
      </c>
      <c r="U174" s="130">
        <v>0</v>
      </c>
      <c r="V174" s="130">
        <v>0</v>
      </c>
      <c r="W174" s="130">
        <v>0</v>
      </c>
      <c r="X174" s="130">
        <v>0</v>
      </c>
      <c r="Y174" s="130">
        <v>0</v>
      </c>
      <c r="Z174" s="149">
        <v>5</v>
      </c>
      <c r="AA174" s="130">
        <v>0</v>
      </c>
      <c r="AB174" s="130">
        <v>0</v>
      </c>
      <c r="AC174" s="130">
        <v>0</v>
      </c>
      <c r="AD174" s="130">
        <v>0</v>
      </c>
      <c r="AE174" s="130">
        <v>0</v>
      </c>
      <c r="AF174" s="130">
        <v>10</v>
      </c>
      <c r="AG174" t="s">
        <v>1924</v>
      </c>
    </row>
    <row r="175" spans="1:33" x14ac:dyDescent="0.25">
      <c r="A175">
        <v>420</v>
      </c>
      <c r="B175" t="s">
        <v>1930</v>
      </c>
      <c r="C175" t="s">
        <v>1701</v>
      </c>
      <c r="D175">
        <v>0</v>
      </c>
      <c r="E175">
        <v>0</v>
      </c>
      <c r="F175">
        <v>0</v>
      </c>
      <c r="G175">
        <v>0</v>
      </c>
      <c r="H175">
        <v>0</v>
      </c>
      <c r="I175">
        <v>0</v>
      </c>
      <c r="J175" s="29">
        <v>0</v>
      </c>
      <c r="K175" s="130">
        <v>0</v>
      </c>
      <c r="L175" s="130">
        <v>0</v>
      </c>
      <c r="M175" s="130">
        <v>0</v>
      </c>
      <c r="N175" s="130">
        <v>0</v>
      </c>
      <c r="O175" s="130">
        <v>0</v>
      </c>
      <c r="P175" s="130">
        <v>0</v>
      </c>
      <c r="Q175" s="130">
        <v>0</v>
      </c>
      <c r="R175" s="130">
        <v>0</v>
      </c>
      <c r="S175" s="130">
        <v>0.7</v>
      </c>
      <c r="T175" s="130">
        <v>10</v>
      </c>
      <c r="U175" s="130">
        <v>40</v>
      </c>
      <c r="V175" s="130">
        <v>100</v>
      </c>
      <c r="W175" s="130">
        <v>1</v>
      </c>
      <c r="X175" s="130">
        <v>0</v>
      </c>
      <c r="Y175" s="130">
        <v>0</v>
      </c>
      <c r="Z175" s="149">
        <v>18</v>
      </c>
      <c r="AA175" s="130">
        <v>0</v>
      </c>
      <c r="AB175" s="130">
        <v>0</v>
      </c>
      <c r="AC175" s="130">
        <v>0.2</v>
      </c>
      <c r="AD175" s="130">
        <v>0</v>
      </c>
      <c r="AE175" s="130">
        <v>0</v>
      </c>
      <c r="AF175" s="130">
        <v>10</v>
      </c>
      <c r="AG175" t="s">
        <v>2286</v>
      </c>
    </row>
    <row r="176" spans="1:33" x14ac:dyDescent="0.25">
      <c r="A176">
        <v>421</v>
      </c>
      <c r="B176" t="s">
        <v>2287</v>
      </c>
      <c r="C176" t="s">
        <v>1701</v>
      </c>
      <c r="D176">
        <v>0</v>
      </c>
      <c r="E176">
        <v>0</v>
      </c>
      <c r="F176">
        <v>0</v>
      </c>
      <c r="G176">
        <v>0</v>
      </c>
      <c r="H176">
        <v>0</v>
      </c>
      <c r="I176">
        <v>0</v>
      </c>
      <c r="J176" s="29">
        <v>0</v>
      </c>
      <c r="K176" s="130">
        <v>0</v>
      </c>
      <c r="L176" s="130">
        <v>0</v>
      </c>
      <c r="M176" s="130">
        <v>0</v>
      </c>
      <c r="N176" s="130">
        <v>0</v>
      </c>
      <c r="O176" s="130">
        <v>0</v>
      </c>
      <c r="P176" s="130">
        <v>0</v>
      </c>
      <c r="Q176" s="130">
        <v>0</v>
      </c>
      <c r="R176" s="130">
        <v>0</v>
      </c>
      <c r="S176" s="130">
        <v>0.7</v>
      </c>
      <c r="T176" s="130">
        <v>10</v>
      </c>
      <c r="U176" s="130">
        <v>40</v>
      </c>
      <c r="V176" s="130">
        <v>100</v>
      </c>
      <c r="W176" s="130">
        <v>0.25</v>
      </c>
      <c r="X176" s="130">
        <v>100</v>
      </c>
      <c r="Y176" s="130">
        <v>0.4</v>
      </c>
      <c r="Z176" s="149">
        <v>17</v>
      </c>
      <c r="AA176" s="130">
        <v>0</v>
      </c>
      <c r="AB176" s="130">
        <v>0</v>
      </c>
      <c r="AC176" s="130">
        <v>0.2</v>
      </c>
      <c r="AD176" s="130">
        <v>0</v>
      </c>
      <c r="AE176" s="130">
        <v>0</v>
      </c>
      <c r="AF176" s="130">
        <v>10</v>
      </c>
      <c r="AG176" t="s">
        <v>2288</v>
      </c>
    </row>
    <row r="177" spans="1:33" x14ac:dyDescent="0.25">
      <c r="A177">
        <v>422</v>
      </c>
      <c r="B177" t="s">
        <v>1929</v>
      </c>
      <c r="C177" t="s">
        <v>1701</v>
      </c>
      <c r="D177">
        <v>0</v>
      </c>
      <c r="E177">
        <v>0</v>
      </c>
      <c r="F177">
        <v>0</v>
      </c>
      <c r="G177">
        <v>0</v>
      </c>
      <c r="H177">
        <v>0</v>
      </c>
      <c r="I177">
        <v>0</v>
      </c>
      <c r="J177" s="29">
        <v>0</v>
      </c>
      <c r="K177" s="130">
        <v>0</v>
      </c>
      <c r="L177" s="130">
        <v>0</v>
      </c>
      <c r="M177" s="130">
        <v>0</v>
      </c>
      <c r="N177" s="130">
        <v>0</v>
      </c>
      <c r="O177" s="130">
        <v>0</v>
      </c>
      <c r="P177" s="130">
        <v>0</v>
      </c>
      <c r="Q177" s="130">
        <v>0</v>
      </c>
      <c r="R177" s="130">
        <v>0</v>
      </c>
      <c r="S177" s="130">
        <v>0.05</v>
      </c>
      <c r="T177" s="130">
        <v>10</v>
      </c>
      <c r="U177" s="130">
        <v>100</v>
      </c>
      <c r="V177" s="130">
        <v>1000</v>
      </c>
      <c r="W177" s="130">
        <v>40</v>
      </c>
      <c r="X177" s="130">
        <v>1000</v>
      </c>
      <c r="Y177" s="130">
        <v>100</v>
      </c>
      <c r="Z177" s="149">
        <v>17</v>
      </c>
      <c r="AA177" s="130">
        <v>0</v>
      </c>
      <c r="AB177" s="130">
        <v>0</v>
      </c>
      <c r="AC177" s="130">
        <v>0.3</v>
      </c>
      <c r="AD177" s="130">
        <v>0</v>
      </c>
      <c r="AE177" s="130">
        <v>0</v>
      </c>
      <c r="AF177" s="130">
        <v>10</v>
      </c>
      <c r="AG177" t="s">
        <v>2289</v>
      </c>
    </row>
    <row r="178" spans="1:33" x14ac:dyDescent="0.25">
      <c r="A178">
        <v>423</v>
      </c>
      <c r="B178" t="s">
        <v>2290</v>
      </c>
      <c r="C178" t="s">
        <v>1701</v>
      </c>
      <c r="D178">
        <v>0</v>
      </c>
      <c r="E178">
        <v>0</v>
      </c>
      <c r="F178">
        <v>0</v>
      </c>
      <c r="G178">
        <v>0</v>
      </c>
      <c r="H178">
        <v>0</v>
      </c>
      <c r="I178">
        <v>0</v>
      </c>
      <c r="J178" s="29">
        <v>0</v>
      </c>
      <c r="K178" s="130">
        <v>0</v>
      </c>
      <c r="L178" s="130">
        <v>0</v>
      </c>
      <c r="M178" s="130">
        <v>0</v>
      </c>
      <c r="N178" s="130">
        <v>0</v>
      </c>
      <c r="O178" s="130">
        <v>0</v>
      </c>
      <c r="P178" s="130">
        <v>0</v>
      </c>
      <c r="Q178" s="130">
        <v>0</v>
      </c>
      <c r="R178" s="130">
        <v>0</v>
      </c>
      <c r="S178" s="130">
        <v>0</v>
      </c>
      <c r="T178" s="130">
        <v>0</v>
      </c>
      <c r="U178" s="130">
        <v>0</v>
      </c>
      <c r="V178" s="130">
        <v>0</v>
      </c>
      <c r="W178" s="130">
        <v>0</v>
      </c>
      <c r="X178" s="130">
        <v>0</v>
      </c>
      <c r="Y178" s="130">
        <v>0</v>
      </c>
      <c r="Z178" s="149">
        <v>3</v>
      </c>
      <c r="AA178" s="130">
        <v>0.95</v>
      </c>
      <c r="AB178" s="130">
        <v>0.5</v>
      </c>
      <c r="AC178" s="130">
        <v>0.25</v>
      </c>
      <c r="AD178" s="130">
        <v>0.5</v>
      </c>
      <c r="AE178" s="130">
        <v>0</v>
      </c>
      <c r="AF178" s="130">
        <v>10</v>
      </c>
      <c r="AG178" t="s">
        <v>2291</v>
      </c>
    </row>
    <row r="179" spans="1:33" x14ac:dyDescent="0.25">
      <c r="A179">
        <v>424</v>
      </c>
      <c r="B179" t="s">
        <v>1925</v>
      </c>
      <c r="C179" t="s">
        <v>1701</v>
      </c>
      <c r="D179">
        <v>0</v>
      </c>
      <c r="E179">
        <v>0</v>
      </c>
      <c r="F179">
        <v>0</v>
      </c>
      <c r="G179">
        <v>0</v>
      </c>
      <c r="H179">
        <v>0</v>
      </c>
      <c r="I179">
        <v>0</v>
      </c>
      <c r="J179" s="29">
        <v>0</v>
      </c>
      <c r="K179" s="130">
        <v>0</v>
      </c>
      <c r="L179" s="130">
        <v>0</v>
      </c>
      <c r="M179" s="130">
        <v>0</v>
      </c>
      <c r="N179" s="130">
        <v>0</v>
      </c>
      <c r="O179" s="130">
        <v>0</v>
      </c>
      <c r="P179" s="130">
        <v>0</v>
      </c>
      <c r="Q179" s="130">
        <v>0</v>
      </c>
      <c r="R179" s="130">
        <v>0</v>
      </c>
      <c r="S179" s="130">
        <v>0.5</v>
      </c>
      <c r="T179" s="130">
        <v>5</v>
      </c>
      <c r="U179" s="130">
        <v>75</v>
      </c>
      <c r="V179" s="130">
        <v>0</v>
      </c>
      <c r="W179" s="130">
        <v>0</v>
      </c>
      <c r="X179" s="130">
        <v>0</v>
      </c>
      <c r="Y179" s="130">
        <v>0</v>
      </c>
      <c r="Z179" s="149">
        <v>15</v>
      </c>
      <c r="AA179" s="130">
        <v>0</v>
      </c>
      <c r="AB179" s="130">
        <v>0</v>
      </c>
      <c r="AC179" s="130">
        <v>0.3</v>
      </c>
      <c r="AD179" s="130">
        <v>0</v>
      </c>
      <c r="AE179" s="130">
        <v>0</v>
      </c>
      <c r="AF179" s="130">
        <v>10</v>
      </c>
      <c r="AG179" t="s">
        <v>1926</v>
      </c>
    </row>
    <row r="180" spans="1:33" x14ac:dyDescent="0.25">
      <c r="A180">
        <v>425</v>
      </c>
      <c r="B180" t="s">
        <v>2002</v>
      </c>
      <c r="C180" t="s">
        <v>1701</v>
      </c>
      <c r="D180">
        <v>0</v>
      </c>
      <c r="E180">
        <v>0</v>
      </c>
      <c r="F180">
        <v>0</v>
      </c>
      <c r="G180">
        <v>0</v>
      </c>
      <c r="H180">
        <v>0</v>
      </c>
      <c r="I180">
        <v>0</v>
      </c>
      <c r="J180" s="29">
        <v>0</v>
      </c>
      <c r="K180" s="130">
        <v>0</v>
      </c>
      <c r="L180" s="130">
        <v>0</v>
      </c>
      <c r="M180" s="130">
        <v>0</v>
      </c>
      <c r="N180" s="130">
        <v>0</v>
      </c>
      <c r="O180" s="130">
        <v>0</v>
      </c>
      <c r="P180" s="130">
        <v>0</v>
      </c>
      <c r="Q180" s="130">
        <v>0</v>
      </c>
      <c r="R180" s="130">
        <v>0</v>
      </c>
      <c r="S180" s="130">
        <v>0.5</v>
      </c>
      <c r="T180" s="130">
        <v>5</v>
      </c>
      <c r="U180" s="130">
        <v>75</v>
      </c>
      <c r="V180" s="130">
        <v>0</v>
      </c>
      <c r="W180" s="130">
        <v>0</v>
      </c>
      <c r="X180" s="130">
        <v>0</v>
      </c>
      <c r="Y180" s="130">
        <v>0</v>
      </c>
      <c r="Z180" s="149">
        <v>16</v>
      </c>
      <c r="AA180" s="130">
        <v>0</v>
      </c>
      <c r="AB180" s="130">
        <v>0</v>
      </c>
      <c r="AC180" s="130">
        <v>0.3</v>
      </c>
      <c r="AD180" s="130">
        <v>0</v>
      </c>
      <c r="AE180" s="130">
        <v>0</v>
      </c>
      <c r="AF180" s="130">
        <v>10</v>
      </c>
      <c r="AG180" t="s">
        <v>2292</v>
      </c>
    </row>
    <row r="181" spans="1:33" x14ac:dyDescent="0.25">
      <c r="A181">
        <v>426</v>
      </c>
      <c r="B181" t="s">
        <v>1927</v>
      </c>
      <c r="C181" t="s">
        <v>1701</v>
      </c>
      <c r="D181">
        <v>0</v>
      </c>
      <c r="E181">
        <v>0</v>
      </c>
      <c r="F181">
        <v>0</v>
      </c>
      <c r="G181">
        <v>0</v>
      </c>
      <c r="H181">
        <v>0</v>
      </c>
      <c r="I181">
        <v>0</v>
      </c>
      <c r="J181" s="29">
        <v>0</v>
      </c>
      <c r="K181" s="130">
        <v>0</v>
      </c>
      <c r="L181" s="130">
        <v>0</v>
      </c>
      <c r="M181" s="130">
        <v>0</v>
      </c>
      <c r="N181" s="130">
        <v>0</v>
      </c>
      <c r="O181" s="130">
        <v>0</v>
      </c>
      <c r="P181" s="130">
        <v>0</v>
      </c>
      <c r="Q181" s="130">
        <v>0</v>
      </c>
      <c r="R181" s="130">
        <v>0</v>
      </c>
      <c r="S181" s="130">
        <v>0.05</v>
      </c>
      <c r="T181" s="130">
        <v>1</v>
      </c>
      <c r="U181" s="130">
        <v>-50</v>
      </c>
      <c r="V181" s="130">
        <v>0</v>
      </c>
      <c r="W181" s="130">
        <v>0</v>
      </c>
      <c r="X181" s="130">
        <v>0</v>
      </c>
      <c r="Y181" s="130">
        <v>0</v>
      </c>
      <c r="Z181" s="149">
        <v>19</v>
      </c>
      <c r="AA181" s="130">
        <v>0.5</v>
      </c>
      <c r="AB181" s="130">
        <v>15</v>
      </c>
      <c r="AC181" s="130">
        <v>0.05</v>
      </c>
      <c r="AD181" s="130">
        <v>0</v>
      </c>
      <c r="AE181" s="130">
        <v>0</v>
      </c>
      <c r="AF181" s="130">
        <v>10</v>
      </c>
      <c r="AG181" t="s">
        <v>2293</v>
      </c>
    </row>
    <row r="182" spans="1:33" x14ac:dyDescent="0.25">
      <c r="A182">
        <v>427</v>
      </c>
      <c r="B182" t="s">
        <v>2294</v>
      </c>
      <c r="C182" t="s">
        <v>1701</v>
      </c>
      <c r="D182">
        <v>0</v>
      </c>
      <c r="E182">
        <v>0</v>
      </c>
      <c r="F182">
        <v>0</v>
      </c>
      <c r="G182">
        <v>0</v>
      </c>
      <c r="H182">
        <v>0</v>
      </c>
      <c r="I182">
        <v>0</v>
      </c>
      <c r="J182" s="29">
        <v>0</v>
      </c>
      <c r="K182" s="130">
        <v>0</v>
      </c>
      <c r="L182" s="130">
        <v>0</v>
      </c>
      <c r="M182" s="130">
        <v>0</v>
      </c>
      <c r="N182" s="130">
        <v>0</v>
      </c>
      <c r="O182" s="130">
        <v>0</v>
      </c>
      <c r="P182" s="130">
        <v>0</v>
      </c>
      <c r="Q182" s="130">
        <v>0</v>
      </c>
      <c r="R182" s="130">
        <v>0</v>
      </c>
      <c r="S182" s="130">
        <v>0</v>
      </c>
      <c r="T182" s="130">
        <v>0</v>
      </c>
      <c r="U182" s="130">
        <v>0</v>
      </c>
      <c r="V182" s="130">
        <v>0</v>
      </c>
      <c r="W182" s="130">
        <v>0</v>
      </c>
      <c r="X182" s="130">
        <v>0</v>
      </c>
      <c r="Y182" s="130">
        <v>0</v>
      </c>
      <c r="Z182" s="149">
        <v>20</v>
      </c>
      <c r="AA182" s="130">
        <v>0</v>
      </c>
      <c r="AB182" s="130">
        <v>0</v>
      </c>
      <c r="AC182" s="130">
        <v>0</v>
      </c>
      <c r="AD182" s="130">
        <v>0</v>
      </c>
      <c r="AE182" s="130">
        <v>0</v>
      </c>
      <c r="AF182" s="130">
        <v>10</v>
      </c>
      <c r="AG182" t="s">
        <v>2295</v>
      </c>
    </row>
    <row r="183" spans="1:33" x14ac:dyDescent="0.25">
      <c r="A183">
        <v>428</v>
      </c>
      <c r="B183" t="s">
        <v>2003</v>
      </c>
      <c r="C183" t="s">
        <v>1701</v>
      </c>
      <c r="D183">
        <v>0</v>
      </c>
      <c r="E183">
        <v>0</v>
      </c>
      <c r="F183">
        <v>0</v>
      </c>
      <c r="G183">
        <v>0</v>
      </c>
      <c r="H183">
        <v>0</v>
      </c>
      <c r="I183">
        <v>0</v>
      </c>
      <c r="J183" s="29">
        <v>0</v>
      </c>
      <c r="K183" s="130">
        <v>0</v>
      </c>
      <c r="L183" s="130">
        <v>0</v>
      </c>
      <c r="M183" s="130">
        <v>0</v>
      </c>
      <c r="N183" s="130">
        <v>0</v>
      </c>
      <c r="O183" s="130">
        <v>0</v>
      </c>
      <c r="P183" s="130">
        <v>0</v>
      </c>
      <c r="Q183" s="130">
        <v>0</v>
      </c>
      <c r="R183" s="130">
        <v>0</v>
      </c>
      <c r="S183" s="130">
        <v>0</v>
      </c>
      <c r="T183" s="130">
        <v>0</v>
      </c>
      <c r="U183" s="130">
        <v>0</v>
      </c>
      <c r="V183" s="130">
        <v>0</v>
      </c>
      <c r="W183" s="130">
        <v>0</v>
      </c>
      <c r="X183" s="130">
        <v>0</v>
      </c>
      <c r="Y183" s="130">
        <v>0</v>
      </c>
      <c r="Z183" s="149">
        <v>25</v>
      </c>
      <c r="AA183" s="130">
        <v>0</v>
      </c>
      <c r="AB183" s="130">
        <v>0</v>
      </c>
      <c r="AC183" s="130">
        <v>0</v>
      </c>
      <c r="AD183" s="130">
        <v>0</v>
      </c>
      <c r="AE183" s="130">
        <v>0</v>
      </c>
      <c r="AF183" s="130">
        <v>10</v>
      </c>
      <c r="AG183" t="s">
        <v>2296</v>
      </c>
    </row>
    <row r="184" spans="1:33" x14ac:dyDescent="0.25">
      <c r="A184">
        <v>429</v>
      </c>
      <c r="B184" t="s">
        <v>2297</v>
      </c>
      <c r="C184" t="s">
        <v>1701</v>
      </c>
      <c r="D184">
        <v>0</v>
      </c>
      <c r="E184">
        <v>0</v>
      </c>
      <c r="F184">
        <v>0</v>
      </c>
      <c r="G184">
        <v>0</v>
      </c>
      <c r="H184">
        <v>0</v>
      </c>
      <c r="I184">
        <v>0</v>
      </c>
      <c r="J184" s="29">
        <v>0</v>
      </c>
      <c r="K184" s="130">
        <v>0</v>
      </c>
      <c r="L184" s="130">
        <v>0</v>
      </c>
      <c r="M184" s="130">
        <v>0</v>
      </c>
      <c r="N184" s="130">
        <v>0</v>
      </c>
      <c r="O184" s="130">
        <v>0</v>
      </c>
      <c r="P184" s="130">
        <v>0</v>
      </c>
      <c r="Q184" s="130">
        <v>0</v>
      </c>
      <c r="R184" s="130">
        <v>0</v>
      </c>
      <c r="S184" s="130">
        <v>0</v>
      </c>
      <c r="T184" s="130">
        <v>0</v>
      </c>
      <c r="U184" s="130">
        <v>0</v>
      </c>
      <c r="V184" s="130">
        <v>0</v>
      </c>
      <c r="W184" s="130">
        <v>0</v>
      </c>
      <c r="X184" s="130">
        <v>0</v>
      </c>
      <c r="Y184" s="130">
        <v>0</v>
      </c>
      <c r="Z184" s="149">
        <v>26</v>
      </c>
      <c r="AA184" s="130">
        <v>0</v>
      </c>
      <c r="AB184" s="130">
        <v>0</v>
      </c>
      <c r="AC184" s="130">
        <v>0</v>
      </c>
      <c r="AD184" s="130">
        <v>0</v>
      </c>
      <c r="AE184" s="130">
        <v>0</v>
      </c>
      <c r="AF184" s="130">
        <v>10</v>
      </c>
      <c r="AG184" t="s">
        <v>2298</v>
      </c>
    </row>
    <row r="185" spans="1:33" x14ac:dyDescent="0.25">
      <c r="A185">
        <v>451</v>
      </c>
      <c r="B185" t="s">
        <v>1928</v>
      </c>
      <c r="C185" t="s">
        <v>1701</v>
      </c>
      <c r="D185">
        <v>0</v>
      </c>
      <c r="E185">
        <v>0</v>
      </c>
      <c r="F185">
        <v>0</v>
      </c>
      <c r="G185">
        <v>0</v>
      </c>
      <c r="H185">
        <v>0</v>
      </c>
      <c r="I185">
        <v>0</v>
      </c>
      <c r="J185" s="29">
        <v>0</v>
      </c>
      <c r="K185" s="130">
        <v>0</v>
      </c>
      <c r="L185" s="130">
        <v>0</v>
      </c>
      <c r="M185" s="130">
        <v>0</v>
      </c>
      <c r="N185" s="130">
        <v>0</v>
      </c>
      <c r="O185" s="130">
        <v>0</v>
      </c>
      <c r="P185" s="130">
        <v>0</v>
      </c>
      <c r="Q185" s="130">
        <v>0</v>
      </c>
      <c r="R185" s="130">
        <v>0</v>
      </c>
      <c r="S185" s="130">
        <v>0</v>
      </c>
      <c r="T185" s="130">
        <v>0</v>
      </c>
      <c r="U185" s="130">
        <v>0</v>
      </c>
      <c r="V185" s="130">
        <v>0</v>
      </c>
      <c r="W185" s="130">
        <v>0</v>
      </c>
      <c r="X185" s="130">
        <v>0</v>
      </c>
      <c r="Y185" s="130">
        <v>0</v>
      </c>
      <c r="Z185" s="149">
        <v>1</v>
      </c>
      <c r="AA185" s="130">
        <v>0</v>
      </c>
      <c r="AB185" s="130">
        <v>0</v>
      </c>
      <c r="AC185" s="130">
        <v>0</v>
      </c>
      <c r="AD185" s="130">
        <v>0</v>
      </c>
      <c r="AE185" s="130">
        <v>0</v>
      </c>
      <c r="AF185" s="130">
        <v>10</v>
      </c>
      <c r="AG185" t="s">
        <v>1928</v>
      </c>
    </row>
    <row r="186" spans="1:33" x14ac:dyDescent="0.25">
      <c r="A186">
        <v>457</v>
      </c>
      <c r="B186" t="s">
        <v>2001</v>
      </c>
      <c r="C186" t="s">
        <v>1701</v>
      </c>
      <c r="D186">
        <v>28970</v>
      </c>
      <c r="E186">
        <v>31867</v>
      </c>
      <c r="F186">
        <v>100</v>
      </c>
      <c r="G186">
        <v>2500</v>
      </c>
      <c r="H186">
        <v>0</v>
      </c>
      <c r="I186">
        <v>1.5</v>
      </c>
      <c r="J186" s="29">
        <v>4.51</v>
      </c>
      <c r="K186" s="130">
        <v>0.15</v>
      </c>
      <c r="L186" s="130">
        <v>1.6</v>
      </c>
      <c r="M186" s="130">
        <v>0.1</v>
      </c>
      <c r="N186" s="130">
        <v>0</v>
      </c>
      <c r="O186" s="130">
        <v>0.56000000000000005</v>
      </c>
      <c r="P186" s="130">
        <v>0.88500000000000001</v>
      </c>
      <c r="Q186" s="130">
        <v>0.6</v>
      </c>
      <c r="R186" s="130">
        <v>0</v>
      </c>
      <c r="S186" s="130">
        <v>0</v>
      </c>
      <c r="T186" s="130">
        <v>0</v>
      </c>
      <c r="U186" s="130">
        <v>-200</v>
      </c>
      <c r="V186" s="130">
        <v>0</v>
      </c>
      <c r="W186" s="130">
        <v>0</v>
      </c>
      <c r="X186" s="130">
        <v>0</v>
      </c>
      <c r="Y186" s="130">
        <v>0</v>
      </c>
      <c r="Z186" s="149">
        <v>2</v>
      </c>
      <c r="AA186" s="130">
        <v>0.95</v>
      </c>
      <c r="AB186" s="130">
        <v>0.9</v>
      </c>
      <c r="AC186" s="130">
        <v>0</v>
      </c>
      <c r="AD186" s="130">
        <v>0</v>
      </c>
      <c r="AE186" s="130">
        <v>0</v>
      </c>
      <c r="AF186" s="130">
        <v>10</v>
      </c>
      <c r="AG186" t="s">
        <v>2001</v>
      </c>
    </row>
    <row r="187" spans="1:33" x14ac:dyDescent="0.25">
      <c r="A187">
        <v>500</v>
      </c>
      <c r="B187" t="s">
        <v>1935</v>
      </c>
      <c r="C187" t="s">
        <v>1904</v>
      </c>
      <c r="D187">
        <v>58589</v>
      </c>
      <c r="E187">
        <v>64448</v>
      </c>
      <c r="F187">
        <v>840</v>
      </c>
      <c r="G187">
        <v>15000</v>
      </c>
      <c r="H187">
        <v>7</v>
      </c>
      <c r="I187">
        <v>3</v>
      </c>
      <c r="J187" s="29">
        <v>3.22</v>
      </c>
      <c r="K187" s="130">
        <v>1.2E-2</v>
      </c>
      <c r="L187" s="130">
        <v>1.3</v>
      </c>
      <c r="M187" s="130">
        <v>4.3999999999999997E-2</v>
      </c>
      <c r="N187" s="130">
        <v>0</v>
      </c>
      <c r="O187" s="130">
        <v>0.68</v>
      </c>
      <c r="P187" s="130">
        <v>0.92</v>
      </c>
      <c r="Q187" s="130">
        <v>0.95</v>
      </c>
      <c r="R187" s="130">
        <v>0</v>
      </c>
      <c r="S187" s="130">
        <v>0</v>
      </c>
      <c r="T187" s="130">
        <v>0</v>
      </c>
      <c r="U187" s="130">
        <v>0</v>
      </c>
      <c r="V187" s="130">
        <v>0</v>
      </c>
      <c r="W187" s="130">
        <v>0</v>
      </c>
      <c r="X187" s="130">
        <v>0</v>
      </c>
      <c r="Y187" s="130">
        <v>0</v>
      </c>
      <c r="Z187" s="149">
        <v>8</v>
      </c>
      <c r="AA187" s="130">
        <v>0</v>
      </c>
      <c r="AB187" s="130">
        <v>0</v>
      </c>
      <c r="AC187" s="130">
        <v>0</v>
      </c>
      <c r="AD187" s="130">
        <v>0</v>
      </c>
      <c r="AE187" s="130">
        <v>0</v>
      </c>
      <c r="AF187" s="130">
        <v>10</v>
      </c>
      <c r="AG187" t="s">
        <v>1936</v>
      </c>
    </row>
    <row r="188" spans="1:33" x14ac:dyDescent="0.25">
      <c r="A188">
        <v>501</v>
      </c>
      <c r="B188" t="s">
        <v>1937</v>
      </c>
      <c r="C188" t="s">
        <v>1904</v>
      </c>
      <c r="D188">
        <v>9155</v>
      </c>
      <c r="E188">
        <v>10070</v>
      </c>
      <c r="F188">
        <v>840</v>
      </c>
      <c r="G188">
        <v>11000</v>
      </c>
      <c r="H188">
        <v>75</v>
      </c>
      <c r="I188">
        <v>3</v>
      </c>
      <c r="J188" s="29">
        <v>3.22</v>
      </c>
      <c r="K188" s="130">
        <v>1.2E-2</v>
      </c>
      <c r="L188" s="130">
        <v>1.3</v>
      </c>
      <c r="M188" s="130">
        <v>4.3999999999999997E-2</v>
      </c>
      <c r="N188" s="130">
        <v>0</v>
      </c>
      <c r="O188" s="130">
        <v>0.68</v>
      </c>
      <c r="P188" s="130">
        <v>0.92</v>
      </c>
      <c r="Q188" s="130">
        <v>0.82499999999999996</v>
      </c>
      <c r="R188" s="130">
        <v>0</v>
      </c>
      <c r="S188" s="130">
        <v>0</v>
      </c>
      <c r="T188" s="130">
        <v>0</v>
      </c>
      <c r="U188" s="130">
        <v>0</v>
      </c>
      <c r="V188" s="130">
        <v>0</v>
      </c>
      <c r="W188" s="130">
        <v>0</v>
      </c>
      <c r="X188" s="130">
        <v>0</v>
      </c>
      <c r="Y188" s="130">
        <v>0</v>
      </c>
      <c r="Z188" s="149">
        <v>8</v>
      </c>
      <c r="AA188" s="130">
        <v>0</v>
      </c>
      <c r="AB188" s="130">
        <v>0</v>
      </c>
      <c r="AC188" s="130">
        <v>0</v>
      </c>
      <c r="AD188" s="130">
        <v>0</v>
      </c>
      <c r="AE188" s="130">
        <v>0</v>
      </c>
      <c r="AF188" s="130">
        <v>10</v>
      </c>
      <c r="AG188" t="s">
        <v>1938</v>
      </c>
    </row>
    <row r="189" spans="1:33" x14ac:dyDescent="0.25">
      <c r="A189">
        <v>502</v>
      </c>
      <c r="B189" t="s">
        <v>1939</v>
      </c>
      <c r="C189" t="s">
        <v>1904</v>
      </c>
      <c r="D189">
        <v>32310</v>
      </c>
      <c r="E189">
        <v>35541</v>
      </c>
      <c r="F189">
        <v>100</v>
      </c>
      <c r="G189">
        <v>20000</v>
      </c>
      <c r="H189">
        <v>41</v>
      </c>
      <c r="I189">
        <v>2.4</v>
      </c>
      <c r="J189" s="29">
        <v>3.22</v>
      </c>
      <c r="K189" s="130">
        <v>0.19</v>
      </c>
      <c r="L189" s="130">
        <v>1.3</v>
      </c>
      <c r="M189" s="130">
        <v>4.3999999999999997E-2</v>
      </c>
      <c r="N189" s="130">
        <v>0</v>
      </c>
      <c r="O189" s="130">
        <v>0.68</v>
      </c>
      <c r="P189" s="130">
        <v>0.9</v>
      </c>
      <c r="Q189" s="130">
        <v>0.75</v>
      </c>
      <c r="R189" s="130">
        <v>0</v>
      </c>
      <c r="S189" s="130">
        <v>0</v>
      </c>
      <c r="T189" s="130">
        <v>0</v>
      </c>
      <c r="U189" s="130">
        <v>0</v>
      </c>
      <c r="V189" s="130">
        <v>0</v>
      </c>
      <c r="W189" s="130">
        <v>0</v>
      </c>
      <c r="X189" s="130">
        <v>0</v>
      </c>
      <c r="Y189" s="130">
        <v>0</v>
      </c>
      <c r="Z189" s="149">
        <v>8</v>
      </c>
      <c r="AA189" s="130">
        <v>0</v>
      </c>
      <c r="AB189" s="130">
        <v>0</v>
      </c>
      <c r="AC189" s="130">
        <v>0</v>
      </c>
      <c r="AD189" s="130">
        <v>0</v>
      </c>
      <c r="AE189" s="130">
        <v>0</v>
      </c>
      <c r="AF189" s="130">
        <v>10</v>
      </c>
      <c r="AG189" t="s">
        <v>1940</v>
      </c>
    </row>
    <row r="190" spans="1:33" x14ac:dyDescent="0.25">
      <c r="A190">
        <v>530</v>
      </c>
      <c r="B190" t="s">
        <v>1941</v>
      </c>
      <c r="C190" t="s">
        <v>1904</v>
      </c>
      <c r="D190">
        <v>13463</v>
      </c>
      <c r="E190">
        <v>14809</v>
      </c>
      <c r="F190">
        <v>200</v>
      </c>
      <c r="G190">
        <v>2000</v>
      </c>
      <c r="H190">
        <v>0</v>
      </c>
      <c r="I190">
        <v>0.9</v>
      </c>
      <c r="J190" s="29">
        <v>1.61</v>
      </c>
      <c r="K190" s="130">
        <v>0.19</v>
      </c>
      <c r="L190" s="130">
        <v>1.3</v>
      </c>
      <c r="M190" s="130">
        <v>1.1000000000000001</v>
      </c>
      <c r="N190" s="130">
        <v>0</v>
      </c>
      <c r="O190" s="130">
        <v>0.6</v>
      </c>
      <c r="P190" s="130">
        <v>1.097</v>
      </c>
      <c r="Q190" s="130">
        <v>0.95</v>
      </c>
      <c r="R190" s="130">
        <v>0</v>
      </c>
      <c r="S190" s="130">
        <v>0</v>
      </c>
      <c r="T190" s="130">
        <v>0</v>
      </c>
      <c r="U190" s="130">
        <v>0</v>
      </c>
      <c r="V190" s="130">
        <v>0</v>
      </c>
      <c r="W190" s="130">
        <v>0</v>
      </c>
      <c r="X190" s="130">
        <v>0</v>
      </c>
      <c r="Y190" s="130">
        <v>0</v>
      </c>
      <c r="Z190" s="149">
        <v>8</v>
      </c>
      <c r="AA190" s="130">
        <v>0</v>
      </c>
      <c r="AB190" s="130">
        <v>0</v>
      </c>
      <c r="AC190" s="130">
        <v>0</v>
      </c>
      <c r="AD190" s="130">
        <v>0</v>
      </c>
      <c r="AE190" s="130">
        <v>0</v>
      </c>
      <c r="AF190" s="130">
        <v>10</v>
      </c>
      <c r="AG190" t="s">
        <v>1942</v>
      </c>
    </row>
    <row r="191" spans="1:33" x14ac:dyDescent="0.25">
      <c r="A191">
        <v>531</v>
      </c>
      <c r="B191" t="s">
        <v>1943</v>
      </c>
      <c r="C191" t="s">
        <v>1904</v>
      </c>
      <c r="D191">
        <v>12170</v>
      </c>
      <c r="E191">
        <v>13387</v>
      </c>
      <c r="F191">
        <v>969</v>
      </c>
      <c r="G191">
        <v>14535</v>
      </c>
      <c r="H191">
        <v>0</v>
      </c>
      <c r="I191">
        <v>0.9</v>
      </c>
      <c r="J191" s="29">
        <v>4.83</v>
      </c>
      <c r="K191" s="130">
        <v>0.19</v>
      </c>
      <c r="L191" s="130">
        <v>1.3</v>
      </c>
      <c r="M191" s="130">
        <v>1.4999999999999999E-2</v>
      </c>
      <c r="N191" s="130">
        <v>0</v>
      </c>
      <c r="O191" s="130">
        <v>0.6</v>
      </c>
      <c r="P191" s="130">
        <v>1.07</v>
      </c>
      <c r="Q191" s="130">
        <v>0.55000000000000004</v>
      </c>
      <c r="R191" s="130">
        <v>0</v>
      </c>
      <c r="S191" s="130">
        <v>0</v>
      </c>
      <c r="T191" s="130">
        <v>0</v>
      </c>
      <c r="U191" s="130">
        <v>0</v>
      </c>
      <c r="V191" s="130">
        <v>0</v>
      </c>
      <c r="W191" s="130">
        <v>0</v>
      </c>
      <c r="X191" s="130">
        <v>0</v>
      </c>
      <c r="Y191" s="130">
        <v>0</v>
      </c>
      <c r="Z191" s="149">
        <v>8</v>
      </c>
      <c r="AA191" s="130">
        <v>0</v>
      </c>
      <c r="AB191" s="130">
        <v>0</v>
      </c>
      <c r="AC191" s="130">
        <v>0</v>
      </c>
      <c r="AD191" s="130">
        <v>0</v>
      </c>
      <c r="AE191" s="130">
        <v>0</v>
      </c>
      <c r="AF191" s="130">
        <v>10</v>
      </c>
      <c r="AG191" t="s">
        <v>1944</v>
      </c>
    </row>
    <row r="192" spans="1:33" x14ac:dyDescent="0.25">
      <c r="A192">
        <v>533</v>
      </c>
      <c r="B192" t="s">
        <v>1945</v>
      </c>
      <c r="C192" t="s">
        <v>1904</v>
      </c>
      <c r="D192">
        <v>34464</v>
      </c>
      <c r="E192">
        <v>37910</v>
      </c>
      <c r="F192">
        <v>3975</v>
      </c>
      <c r="G192">
        <v>79500</v>
      </c>
      <c r="H192">
        <v>0</v>
      </c>
      <c r="I192">
        <v>0.9</v>
      </c>
      <c r="J192" s="29">
        <v>4.83</v>
      </c>
      <c r="K192" s="130">
        <v>0.19</v>
      </c>
      <c r="L192" s="130">
        <v>1.3</v>
      </c>
      <c r="M192" s="130">
        <v>7.0000000000000007E-2</v>
      </c>
      <c r="N192" s="130">
        <v>0</v>
      </c>
      <c r="O192" s="130">
        <v>0.6</v>
      </c>
      <c r="P192" s="130">
        <v>0.6</v>
      </c>
      <c r="Q192" s="130">
        <v>0.55000000000000004</v>
      </c>
      <c r="R192" s="130">
        <v>0</v>
      </c>
      <c r="S192" s="130">
        <v>0</v>
      </c>
      <c r="T192" s="130">
        <v>0</v>
      </c>
      <c r="U192" s="130">
        <v>0</v>
      </c>
      <c r="V192" s="130">
        <v>0</v>
      </c>
      <c r="W192" s="130">
        <v>0</v>
      </c>
      <c r="X192" s="130">
        <v>0</v>
      </c>
      <c r="Y192" s="130">
        <v>0</v>
      </c>
      <c r="Z192" s="149">
        <v>8</v>
      </c>
      <c r="AA192" s="130">
        <v>0</v>
      </c>
      <c r="AB192" s="130">
        <v>0</v>
      </c>
      <c r="AC192" s="130">
        <v>0</v>
      </c>
      <c r="AD192" s="130">
        <v>0</v>
      </c>
      <c r="AE192" s="130">
        <v>0</v>
      </c>
      <c r="AF192" s="130">
        <v>10</v>
      </c>
      <c r="AG192" t="s">
        <v>1946</v>
      </c>
    </row>
    <row r="193" spans="1:33" s="106" customFormat="1" x14ac:dyDescent="0.25">
      <c r="A193" s="106">
        <v>534</v>
      </c>
      <c r="B193" s="106" t="s">
        <v>1947</v>
      </c>
      <c r="C193" s="106" t="s">
        <v>1904</v>
      </c>
      <c r="D193" s="106">
        <v>67851</v>
      </c>
      <c r="E193" s="106">
        <v>74636</v>
      </c>
      <c r="F193" s="106">
        <v>844</v>
      </c>
      <c r="G193" s="106">
        <v>16880</v>
      </c>
      <c r="H193" s="106">
        <v>0</v>
      </c>
      <c r="I193" s="106">
        <v>0.9</v>
      </c>
      <c r="J193" s="147">
        <v>4.83</v>
      </c>
      <c r="K193" s="148">
        <v>0.19</v>
      </c>
      <c r="L193" s="148">
        <v>1.3</v>
      </c>
      <c r="M193" s="148">
        <v>0.11</v>
      </c>
      <c r="N193" s="148">
        <v>0</v>
      </c>
      <c r="O193" s="148">
        <v>0.5</v>
      </c>
      <c r="P193" s="148">
        <v>1</v>
      </c>
      <c r="Q193" s="148">
        <v>0.8</v>
      </c>
      <c r="R193" s="148">
        <v>0</v>
      </c>
      <c r="S193" s="148">
        <v>0</v>
      </c>
      <c r="T193" s="148">
        <v>0</v>
      </c>
      <c r="U193" s="130">
        <v>0</v>
      </c>
      <c r="V193" s="130">
        <v>0</v>
      </c>
      <c r="W193" s="130">
        <v>0</v>
      </c>
      <c r="X193" s="148">
        <v>0</v>
      </c>
      <c r="Y193" s="148">
        <v>0</v>
      </c>
      <c r="Z193" s="150">
        <v>8</v>
      </c>
      <c r="AA193" s="148">
        <v>0</v>
      </c>
      <c r="AB193" s="148">
        <v>0</v>
      </c>
      <c r="AC193" s="148">
        <v>0</v>
      </c>
      <c r="AD193" s="148">
        <v>0</v>
      </c>
      <c r="AE193" s="148">
        <v>0</v>
      </c>
      <c r="AF193" s="130">
        <v>10</v>
      </c>
      <c r="AG193" s="106" t="s">
        <v>1948</v>
      </c>
    </row>
    <row r="194" spans="1:33" x14ac:dyDescent="0.25">
      <c r="A194">
        <v>560</v>
      </c>
      <c r="B194" t="s">
        <v>1949</v>
      </c>
      <c r="C194" t="s">
        <v>1717</v>
      </c>
      <c r="D194">
        <v>0</v>
      </c>
      <c r="E194">
        <v>8</v>
      </c>
      <c r="F194">
        <v>0</v>
      </c>
      <c r="G194">
        <v>0</v>
      </c>
      <c r="H194">
        <v>0</v>
      </c>
      <c r="I194">
        <v>0</v>
      </c>
      <c r="J194" s="29">
        <v>0</v>
      </c>
      <c r="K194" s="130">
        <v>0</v>
      </c>
      <c r="L194" s="130">
        <v>0</v>
      </c>
      <c r="M194" s="130">
        <v>0</v>
      </c>
      <c r="N194" s="130">
        <v>0</v>
      </c>
      <c r="O194" s="130">
        <v>0</v>
      </c>
      <c r="P194" s="130">
        <v>0</v>
      </c>
      <c r="Q194" s="130">
        <v>0</v>
      </c>
      <c r="R194" s="130">
        <v>0</v>
      </c>
      <c r="S194" s="130">
        <v>0</v>
      </c>
      <c r="T194" s="130">
        <v>0</v>
      </c>
      <c r="U194" s="130">
        <v>0</v>
      </c>
      <c r="V194" s="130">
        <v>0</v>
      </c>
      <c r="W194" s="130">
        <v>0</v>
      </c>
      <c r="X194" s="130">
        <v>0</v>
      </c>
      <c r="Y194" s="130">
        <v>0</v>
      </c>
      <c r="Z194" s="149">
        <v>12</v>
      </c>
      <c r="AA194" s="130">
        <v>0</v>
      </c>
      <c r="AB194" s="130">
        <v>0</v>
      </c>
      <c r="AC194" s="130">
        <v>0</v>
      </c>
      <c r="AD194" s="130">
        <v>0</v>
      </c>
      <c r="AE194" s="130">
        <v>0</v>
      </c>
      <c r="AF194" s="130">
        <v>10</v>
      </c>
      <c r="AG194" t="s">
        <v>1950</v>
      </c>
    </row>
    <row r="195" spans="1:33" x14ac:dyDescent="0.25">
      <c r="A195">
        <v>561</v>
      </c>
      <c r="B195" t="s">
        <v>1951</v>
      </c>
      <c r="C195" t="s">
        <v>1701</v>
      </c>
      <c r="D195">
        <v>17</v>
      </c>
      <c r="E195">
        <v>19</v>
      </c>
      <c r="F195">
        <v>840</v>
      </c>
      <c r="G195">
        <v>15000</v>
      </c>
      <c r="H195">
        <v>7</v>
      </c>
      <c r="I195">
        <v>3</v>
      </c>
      <c r="J195" s="29">
        <v>3.22</v>
      </c>
      <c r="K195" s="130">
        <v>0.63</v>
      </c>
      <c r="L195" s="130">
        <v>1.3</v>
      </c>
      <c r="M195" s="130">
        <v>0</v>
      </c>
      <c r="N195" s="130">
        <v>0.42</v>
      </c>
      <c r="O195" s="130">
        <v>0.68</v>
      </c>
      <c r="P195" s="130">
        <v>0.92</v>
      </c>
      <c r="Q195" s="130">
        <v>0.82499999999999996</v>
      </c>
      <c r="R195" s="130">
        <v>0</v>
      </c>
      <c r="S195" s="130">
        <v>0</v>
      </c>
      <c r="T195" s="130">
        <v>0</v>
      </c>
      <c r="U195" s="130">
        <v>0</v>
      </c>
      <c r="V195" s="130">
        <v>0</v>
      </c>
      <c r="W195" s="130">
        <v>0</v>
      </c>
      <c r="X195" s="130">
        <v>0</v>
      </c>
      <c r="Y195" s="130">
        <v>0</v>
      </c>
      <c r="Z195" s="149">
        <v>9</v>
      </c>
      <c r="AA195" s="130">
        <v>0</v>
      </c>
      <c r="AB195" s="130">
        <v>0</v>
      </c>
      <c r="AC195" s="130">
        <v>0</v>
      </c>
      <c r="AD195" s="130">
        <v>0</v>
      </c>
      <c r="AE195" s="130">
        <v>0</v>
      </c>
      <c r="AF195" s="130">
        <v>10</v>
      </c>
      <c r="AG195" t="s">
        <v>1952</v>
      </c>
    </row>
    <row r="196" spans="1:33" x14ac:dyDescent="0.25">
      <c r="A196">
        <v>562</v>
      </c>
      <c r="B196" t="s">
        <v>1953</v>
      </c>
      <c r="C196" t="s">
        <v>1717</v>
      </c>
      <c r="D196">
        <v>7</v>
      </c>
      <c r="E196">
        <v>0</v>
      </c>
      <c r="F196">
        <v>0</v>
      </c>
      <c r="G196">
        <v>0</v>
      </c>
      <c r="H196">
        <v>0</v>
      </c>
      <c r="I196">
        <v>0</v>
      </c>
      <c r="J196" s="29">
        <v>0</v>
      </c>
      <c r="K196" s="130">
        <v>0</v>
      </c>
      <c r="L196" s="130">
        <v>0</v>
      </c>
      <c r="M196" s="130">
        <v>0</v>
      </c>
      <c r="N196" s="130">
        <v>0</v>
      </c>
      <c r="O196" s="130">
        <v>0</v>
      </c>
      <c r="P196" s="130">
        <v>0</v>
      </c>
      <c r="Q196" s="130">
        <v>0</v>
      </c>
      <c r="R196" s="130">
        <v>0</v>
      </c>
      <c r="S196" s="130">
        <v>0</v>
      </c>
      <c r="T196" s="130">
        <v>0</v>
      </c>
      <c r="U196" s="130">
        <v>0</v>
      </c>
      <c r="V196" s="130">
        <v>0</v>
      </c>
      <c r="W196" s="130">
        <v>0</v>
      </c>
      <c r="X196" s="130">
        <v>0</v>
      </c>
      <c r="Y196" s="130">
        <v>0</v>
      </c>
      <c r="Z196" s="149">
        <v>7</v>
      </c>
      <c r="AA196" s="130">
        <v>0.95</v>
      </c>
      <c r="AB196" s="130">
        <v>0</v>
      </c>
      <c r="AC196" s="130">
        <v>0</v>
      </c>
      <c r="AD196" s="130">
        <v>0</v>
      </c>
      <c r="AE196" s="130">
        <v>0</v>
      </c>
      <c r="AF196" s="130">
        <v>10</v>
      </c>
      <c r="AG196" t="s">
        <v>1954</v>
      </c>
    </row>
    <row r="197" spans="1:33" x14ac:dyDescent="0.25">
      <c r="A197">
        <v>563</v>
      </c>
      <c r="B197" t="s">
        <v>1955</v>
      </c>
      <c r="C197" t="s">
        <v>1717</v>
      </c>
      <c r="D197">
        <v>62</v>
      </c>
      <c r="E197">
        <v>0</v>
      </c>
      <c r="F197">
        <v>0</v>
      </c>
      <c r="G197">
        <v>0</v>
      </c>
      <c r="H197">
        <v>0</v>
      </c>
      <c r="I197">
        <v>0</v>
      </c>
      <c r="J197" s="29">
        <v>0</v>
      </c>
      <c r="K197" s="130">
        <v>0</v>
      </c>
      <c r="L197" s="130">
        <v>0</v>
      </c>
      <c r="M197" s="130">
        <v>0</v>
      </c>
      <c r="N197" s="130">
        <v>0</v>
      </c>
      <c r="O197" s="130">
        <v>0</v>
      </c>
      <c r="P197" s="130">
        <v>0</v>
      </c>
      <c r="Q197" s="130">
        <v>0</v>
      </c>
      <c r="R197" s="130">
        <v>0</v>
      </c>
      <c r="S197" s="130">
        <v>0</v>
      </c>
      <c r="T197" s="130">
        <v>0</v>
      </c>
      <c r="U197" s="130">
        <v>0</v>
      </c>
      <c r="V197" s="130">
        <v>0</v>
      </c>
      <c r="W197" s="130">
        <v>0</v>
      </c>
      <c r="X197" s="130">
        <v>0</v>
      </c>
      <c r="Y197" s="130">
        <v>0</v>
      </c>
      <c r="Z197" s="149">
        <v>0</v>
      </c>
      <c r="AA197" s="130">
        <v>0</v>
      </c>
      <c r="AB197" s="130">
        <v>5</v>
      </c>
      <c r="AC197" s="130">
        <v>0</v>
      </c>
      <c r="AD197" s="130">
        <v>0.02</v>
      </c>
      <c r="AE197" s="130">
        <v>0</v>
      </c>
      <c r="AF197" s="130">
        <v>10</v>
      </c>
      <c r="AG197" t="s">
        <v>1956</v>
      </c>
    </row>
    <row r="198" spans="1:33" x14ac:dyDescent="0.25">
      <c r="A198">
        <v>565</v>
      </c>
      <c r="B198" t="s">
        <v>1957</v>
      </c>
      <c r="C198" t="s">
        <v>1701</v>
      </c>
      <c r="D198">
        <v>40</v>
      </c>
      <c r="E198">
        <v>44</v>
      </c>
      <c r="F198">
        <v>45</v>
      </c>
      <c r="G198">
        <v>2000</v>
      </c>
      <c r="H198">
        <v>63</v>
      </c>
      <c r="I198">
        <v>4.3</v>
      </c>
      <c r="J198" s="29">
        <v>8.3699999999999992</v>
      </c>
      <c r="K198" s="130">
        <v>0.17</v>
      </c>
      <c r="L198" s="130">
        <v>2.2000000000000002</v>
      </c>
      <c r="M198" s="130">
        <v>0.1</v>
      </c>
      <c r="N198" s="130">
        <v>0.42</v>
      </c>
      <c r="O198" s="130">
        <v>0.6</v>
      </c>
      <c r="P198" s="130">
        <v>0.88500000000000001</v>
      </c>
      <c r="Q198" s="130">
        <v>0.7</v>
      </c>
      <c r="R198" s="130">
        <v>0</v>
      </c>
      <c r="S198" s="130">
        <v>0</v>
      </c>
      <c r="T198" s="130">
        <v>0</v>
      </c>
      <c r="U198" s="130">
        <v>0</v>
      </c>
      <c r="V198" s="130">
        <v>0</v>
      </c>
      <c r="W198" s="130">
        <v>0</v>
      </c>
      <c r="X198" s="130">
        <v>0</v>
      </c>
      <c r="Y198" s="130">
        <v>0</v>
      </c>
      <c r="Z198" s="149">
        <v>0</v>
      </c>
      <c r="AA198" s="130">
        <v>0</v>
      </c>
      <c r="AB198" s="130">
        <v>0</v>
      </c>
      <c r="AC198" s="130">
        <v>0</v>
      </c>
      <c r="AD198" s="130">
        <v>0.01</v>
      </c>
      <c r="AE198" s="130">
        <v>0</v>
      </c>
      <c r="AF198" s="130">
        <v>10</v>
      </c>
      <c r="AG198" t="s">
        <v>1957</v>
      </c>
    </row>
    <row r="199" spans="1:33" x14ac:dyDescent="0.25">
      <c r="A199">
        <v>566</v>
      </c>
      <c r="B199" t="s">
        <v>1958</v>
      </c>
      <c r="C199" t="s">
        <v>1778</v>
      </c>
      <c r="D199">
        <v>7</v>
      </c>
      <c r="E199">
        <v>8</v>
      </c>
      <c r="F199">
        <v>660</v>
      </c>
      <c r="G199">
        <v>12000</v>
      </c>
      <c r="H199">
        <v>119</v>
      </c>
      <c r="I199">
        <v>30</v>
      </c>
      <c r="J199" s="29">
        <v>12</v>
      </c>
      <c r="K199" s="130">
        <v>0.41</v>
      </c>
      <c r="L199" s="130">
        <v>1.3</v>
      </c>
      <c r="M199" s="130">
        <v>0.1</v>
      </c>
      <c r="N199" s="130">
        <v>0.42</v>
      </c>
      <c r="O199" s="130">
        <v>0.68</v>
      </c>
      <c r="P199" s="130">
        <v>0.92</v>
      </c>
      <c r="Q199" s="130">
        <v>0.9</v>
      </c>
      <c r="R199" s="130">
        <v>0</v>
      </c>
      <c r="S199" s="130">
        <v>0</v>
      </c>
      <c r="T199" s="130">
        <v>0</v>
      </c>
      <c r="U199" s="130">
        <v>0</v>
      </c>
      <c r="V199" s="130">
        <v>0</v>
      </c>
      <c r="W199" s="130">
        <v>0</v>
      </c>
      <c r="X199" s="130">
        <v>0</v>
      </c>
      <c r="Y199" s="130">
        <v>0</v>
      </c>
      <c r="Z199" s="149">
        <v>7</v>
      </c>
      <c r="AA199" s="130">
        <v>0</v>
      </c>
      <c r="AB199" s="130">
        <v>0</v>
      </c>
      <c r="AC199" s="130">
        <v>0</v>
      </c>
      <c r="AD199" s="130">
        <v>0</v>
      </c>
      <c r="AE199" s="130">
        <v>0</v>
      </c>
      <c r="AF199" s="130">
        <v>10</v>
      </c>
      <c r="AG199" t="s">
        <v>1959</v>
      </c>
    </row>
    <row r="200" spans="1:33" x14ac:dyDescent="0.25">
      <c r="A200">
        <v>568</v>
      </c>
      <c r="B200" t="s">
        <v>1960</v>
      </c>
      <c r="C200" t="s">
        <v>1717</v>
      </c>
      <c r="D200">
        <v>0</v>
      </c>
      <c r="E200">
        <v>14</v>
      </c>
      <c r="F200">
        <v>0</v>
      </c>
      <c r="G200">
        <v>0</v>
      </c>
      <c r="H200">
        <v>0</v>
      </c>
      <c r="I200">
        <v>0</v>
      </c>
      <c r="J200" s="29">
        <v>0</v>
      </c>
      <c r="K200" s="130">
        <v>0</v>
      </c>
      <c r="L200" s="130">
        <v>0</v>
      </c>
      <c r="M200" s="130">
        <v>0</v>
      </c>
      <c r="N200" s="130">
        <v>0</v>
      </c>
      <c r="O200" s="130">
        <v>0</v>
      </c>
      <c r="P200" s="130">
        <v>0</v>
      </c>
      <c r="Q200" s="130">
        <v>0</v>
      </c>
      <c r="R200" s="130">
        <v>0</v>
      </c>
      <c r="S200" s="130">
        <v>0</v>
      </c>
      <c r="T200" s="130">
        <v>0</v>
      </c>
      <c r="U200" s="130">
        <v>0</v>
      </c>
      <c r="V200" s="130">
        <v>0</v>
      </c>
      <c r="W200" s="130">
        <v>0</v>
      </c>
      <c r="X200" s="130">
        <v>0</v>
      </c>
      <c r="Y200" s="130">
        <v>0</v>
      </c>
      <c r="Z200" s="149">
        <v>2</v>
      </c>
      <c r="AA200" s="130">
        <v>0.95</v>
      </c>
      <c r="AB200" s="130">
        <v>0</v>
      </c>
      <c r="AC200" s="130">
        <v>0</v>
      </c>
      <c r="AD200" s="130">
        <v>0</v>
      </c>
      <c r="AE200" s="130">
        <v>0</v>
      </c>
      <c r="AF200" s="130">
        <v>10</v>
      </c>
      <c r="AG200" t="s">
        <v>1961</v>
      </c>
    </row>
    <row r="201" spans="1:33" x14ac:dyDescent="0.25">
      <c r="A201">
        <v>569</v>
      </c>
      <c r="B201" t="s">
        <v>1960</v>
      </c>
      <c r="C201" t="s">
        <v>1717</v>
      </c>
      <c r="D201">
        <v>41</v>
      </c>
      <c r="E201">
        <v>0</v>
      </c>
      <c r="F201">
        <v>0</v>
      </c>
      <c r="G201">
        <v>0</v>
      </c>
      <c r="H201">
        <v>0</v>
      </c>
      <c r="I201">
        <v>0</v>
      </c>
      <c r="J201" s="29">
        <v>0</v>
      </c>
      <c r="K201" s="130">
        <v>0</v>
      </c>
      <c r="L201" s="130">
        <v>0</v>
      </c>
      <c r="M201" s="130">
        <v>0</v>
      </c>
      <c r="N201" s="130">
        <v>0</v>
      </c>
      <c r="O201" s="130">
        <v>0</v>
      </c>
      <c r="P201" s="130">
        <v>0</v>
      </c>
      <c r="Q201" s="130">
        <v>0</v>
      </c>
      <c r="R201" s="130">
        <v>0</v>
      </c>
      <c r="S201" s="130">
        <v>0</v>
      </c>
      <c r="T201" s="130">
        <v>0</v>
      </c>
      <c r="U201" s="130">
        <v>0</v>
      </c>
      <c r="V201" s="130">
        <v>0</v>
      </c>
      <c r="W201" s="130">
        <v>0</v>
      </c>
      <c r="X201" s="130">
        <v>0</v>
      </c>
      <c r="Y201" s="130">
        <v>0</v>
      </c>
      <c r="Z201" s="149">
        <v>2</v>
      </c>
      <c r="AA201" s="130">
        <v>0.95</v>
      </c>
      <c r="AB201" s="130">
        <v>0</v>
      </c>
      <c r="AC201" s="130">
        <v>0</v>
      </c>
      <c r="AD201" s="130">
        <v>0</v>
      </c>
      <c r="AE201" s="130">
        <v>0</v>
      </c>
      <c r="AF201" s="130">
        <v>10</v>
      </c>
      <c r="AG201" t="s">
        <v>1961</v>
      </c>
    </row>
    <row r="202" spans="1:33" x14ac:dyDescent="0.25">
      <c r="A202">
        <v>580</v>
      </c>
      <c r="B202" t="s">
        <v>1962</v>
      </c>
      <c r="C202" t="s">
        <v>1717</v>
      </c>
      <c r="D202">
        <v>5</v>
      </c>
      <c r="E202">
        <v>0</v>
      </c>
      <c r="F202">
        <v>0</v>
      </c>
      <c r="G202">
        <v>0</v>
      </c>
      <c r="H202">
        <v>0</v>
      </c>
      <c r="I202">
        <v>0</v>
      </c>
      <c r="J202" s="29">
        <v>0</v>
      </c>
      <c r="K202" s="130">
        <v>0</v>
      </c>
      <c r="L202" s="130">
        <v>0</v>
      </c>
      <c r="M202" s="130">
        <v>0</v>
      </c>
      <c r="N202" s="130">
        <v>0</v>
      </c>
      <c r="O202" s="130">
        <v>0</v>
      </c>
      <c r="P202" s="130">
        <v>0</v>
      </c>
      <c r="Q202" s="130">
        <v>0</v>
      </c>
      <c r="R202" s="130">
        <v>0</v>
      </c>
      <c r="S202" s="130">
        <v>0</v>
      </c>
      <c r="T202" s="130">
        <v>0</v>
      </c>
      <c r="U202" s="130">
        <v>0</v>
      </c>
      <c r="V202" s="130">
        <v>0</v>
      </c>
      <c r="W202" s="130">
        <v>0</v>
      </c>
      <c r="X202" s="130">
        <v>0</v>
      </c>
      <c r="Y202" s="130">
        <v>0</v>
      </c>
      <c r="Z202" s="149">
        <v>9</v>
      </c>
      <c r="AA202" s="130">
        <v>0</v>
      </c>
      <c r="AB202" s="130">
        <v>0</v>
      </c>
      <c r="AC202" s="130">
        <v>0</v>
      </c>
      <c r="AD202" s="130">
        <v>0</v>
      </c>
      <c r="AE202" s="130">
        <v>0</v>
      </c>
      <c r="AF202" s="130">
        <v>10</v>
      </c>
      <c r="AG202" t="s">
        <v>1963</v>
      </c>
    </row>
    <row r="203" spans="1:33" x14ac:dyDescent="0.25">
      <c r="A203">
        <v>604</v>
      </c>
      <c r="B203" t="s">
        <v>1964</v>
      </c>
      <c r="C203" t="s">
        <v>1717</v>
      </c>
      <c r="D203">
        <v>9</v>
      </c>
      <c r="E203">
        <v>0</v>
      </c>
      <c r="F203">
        <v>0</v>
      </c>
      <c r="G203">
        <v>0</v>
      </c>
      <c r="H203">
        <v>0</v>
      </c>
      <c r="I203">
        <v>0</v>
      </c>
      <c r="J203" s="29">
        <v>0</v>
      </c>
      <c r="K203" s="130">
        <v>0</v>
      </c>
      <c r="L203" s="130">
        <v>0</v>
      </c>
      <c r="M203" s="130">
        <v>0</v>
      </c>
      <c r="N203" s="130">
        <v>0</v>
      </c>
      <c r="O203" s="130">
        <v>0</v>
      </c>
      <c r="P203" s="130">
        <v>0</v>
      </c>
      <c r="Q203" s="130">
        <v>0</v>
      </c>
      <c r="R203" s="130">
        <v>0</v>
      </c>
      <c r="S203" s="130">
        <v>0</v>
      </c>
      <c r="T203" s="130">
        <v>0</v>
      </c>
      <c r="U203" s="130">
        <v>0</v>
      </c>
      <c r="V203" s="130">
        <v>0</v>
      </c>
      <c r="W203" s="130">
        <v>0</v>
      </c>
      <c r="X203" s="130">
        <v>0</v>
      </c>
      <c r="Y203" s="130">
        <v>0</v>
      </c>
      <c r="Z203" s="149">
        <v>0</v>
      </c>
      <c r="AA203" s="130">
        <v>0</v>
      </c>
      <c r="AB203" s="130">
        <v>0</v>
      </c>
      <c r="AC203" s="130">
        <v>0</v>
      </c>
      <c r="AD203" s="130">
        <v>0</v>
      </c>
      <c r="AE203" s="130">
        <v>0</v>
      </c>
      <c r="AF203" s="130">
        <v>10</v>
      </c>
      <c r="AG203" t="s">
        <v>1965</v>
      </c>
    </row>
    <row r="204" spans="1:33" x14ac:dyDescent="0.25">
      <c r="A204">
        <v>606</v>
      </c>
      <c r="B204" t="s">
        <v>1966</v>
      </c>
      <c r="C204" t="s">
        <v>1717</v>
      </c>
      <c r="D204">
        <v>0</v>
      </c>
      <c r="E204">
        <v>1</v>
      </c>
      <c r="F204">
        <v>0</v>
      </c>
      <c r="G204">
        <v>0</v>
      </c>
      <c r="H204">
        <v>0</v>
      </c>
      <c r="I204">
        <v>0</v>
      </c>
      <c r="J204" s="29">
        <v>0</v>
      </c>
      <c r="K204" s="130">
        <v>0</v>
      </c>
      <c r="L204" s="130">
        <v>0</v>
      </c>
      <c r="M204" s="130">
        <v>0</v>
      </c>
      <c r="N204" s="130">
        <v>0</v>
      </c>
      <c r="O204" s="130">
        <v>0</v>
      </c>
      <c r="P204" s="130">
        <v>0</v>
      </c>
      <c r="Q204" s="130">
        <v>0</v>
      </c>
      <c r="R204" s="130">
        <v>0</v>
      </c>
      <c r="S204" s="130">
        <v>0</v>
      </c>
      <c r="T204" s="130">
        <v>0</v>
      </c>
      <c r="U204" s="130">
        <v>0</v>
      </c>
      <c r="V204" s="130">
        <v>0</v>
      </c>
      <c r="W204" s="130">
        <v>0</v>
      </c>
      <c r="X204" s="130">
        <v>0</v>
      </c>
      <c r="Y204" s="130">
        <v>0</v>
      </c>
      <c r="Z204" s="149">
        <v>13</v>
      </c>
      <c r="AA204" s="130">
        <v>0</v>
      </c>
      <c r="AB204" s="130">
        <v>0</v>
      </c>
      <c r="AC204" s="130">
        <v>0</v>
      </c>
      <c r="AD204" s="130">
        <v>0</v>
      </c>
      <c r="AE204" s="130">
        <v>0</v>
      </c>
      <c r="AF204" s="130">
        <v>10</v>
      </c>
      <c r="AG204" t="s">
        <v>1967</v>
      </c>
    </row>
    <row r="205" spans="1:33" x14ac:dyDescent="0.25">
      <c r="A205">
        <v>607</v>
      </c>
      <c r="B205" t="s">
        <v>1968</v>
      </c>
      <c r="C205" t="s">
        <v>1717</v>
      </c>
      <c r="D205">
        <v>0</v>
      </c>
      <c r="E205">
        <v>44</v>
      </c>
      <c r="F205">
        <v>0</v>
      </c>
      <c r="G205">
        <v>0</v>
      </c>
      <c r="H205">
        <v>0</v>
      </c>
      <c r="I205">
        <v>0</v>
      </c>
      <c r="J205" s="29">
        <v>0</v>
      </c>
      <c r="K205" s="130">
        <v>0</v>
      </c>
      <c r="L205" s="130">
        <v>0</v>
      </c>
      <c r="M205" s="130">
        <v>0</v>
      </c>
      <c r="N205" s="130">
        <v>0</v>
      </c>
      <c r="O205" s="130">
        <v>0</v>
      </c>
      <c r="P205" s="130">
        <v>0</v>
      </c>
      <c r="Q205" s="130">
        <v>0</v>
      </c>
      <c r="R205" s="130">
        <v>0</v>
      </c>
      <c r="S205" s="130">
        <v>0</v>
      </c>
      <c r="T205" s="130">
        <v>0</v>
      </c>
      <c r="U205" s="130">
        <v>0</v>
      </c>
      <c r="V205" s="130">
        <v>0</v>
      </c>
      <c r="W205" s="130">
        <v>0</v>
      </c>
      <c r="X205" s="130">
        <v>0</v>
      </c>
      <c r="Y205" s="130">
        <v>0</v>
      </c>
      <c r="Z205" s="149">
        <v>0</v>
      </c>
      <c r="AA205" s="130">
        <v>0</v>
      </c>
      <c r="AB205" s="130">
        <v>0</v>
      </c>
      <c r="AC205" s="130">
        <v>0</v>
      </c>
      <c r="AD205" s="130">
        <v>0</v>
      </c>
      <c r="AE205" s="130">
        <v>0</v>
      </c>
      <c r="AF205" s="130">
        <v>10</v>
      </c>
      <c r="AG205" t="s">
        <v>1969</v>
      </c>
    </row>
    <row r="206" spans="1:33" x14ac:dyDescent="0.25">
      <c r="A206">
        <v>608</v>
      </c>
      <c r="B206" t="s">
        <v>1970</v>
      </c>
      <c r="C206" t="s">
        <v>1717</v>
      </c>
      <c r="D206">
        <v>15</v>
      </c>
      <c r="E206">
        <v>0</v>
      </c>
      <c r="F206">
        <v>0</v>
      </c>
      <c r="G206">
        <v>0</v>
      </c>
      <c r="H206">
        <v>0</v>
      </c>
      <c r="I206">
        <v>0</v>
      </c>
      <c r="J206" s="29">
        <v>0</v>
      </c>
      <c r="K206" s="130">
        <v>0</v>
      </c>
      <c r="L206" s="130">
        <v>0</v>
      </c>
      <c r="M206" s="130">
        <v>0</v>
      </c>
      <c r="N206" s="130">
        <v>0</v>
      </c>
      <c r="O206" s="130">
        <v>0</v>
      </c>
      <c r="P206" s="130">
        <v>0</v>
      </c>
      <c r="Q206" s="130">
        <v>0</v>
      </c>
      <c r="R206" s="130">
        <v>0</v>
      </c>
      <c r="S206" s="130">
        <v>0.25</v>
      </c>
      <c r="T206" s="130">
        <v>15</v>
      </c>
      <c r="U206" s="130">
        <v>0</v>
      </c>
      <c r="V206" s="130">
        <v>0</v>
      </c>
      <c r="W206" s="130">
        <v>0</v>
      </c>
      <c r="X206" s="130">
        <v>0</v>
      </c>
      <c r="Y206" s="130">
        <v>0</v>
      </c>
      <c r="Z206" s="149">
        <v>0</v>
      </c>
      <c r="AA206" s="130">
        <v>0</v>
      </c>
      <c r="AB206" s="130">
        <v>0</v>
      </c>
      <c r="AC206" s="130">
        <v>0</v>
      </c>
      <c r="AD206" s="130">
        <v>0</v>
      </c>
      <c r="AE206" s="130">
        <v>0</v>
      </c>
      <c r="AF206" s="130">
        <v>10</v>
      </c>
      <c r="AG206" t="s">
        <v>1971</v>
      </c>
    </row>
    <row r="207" spans="1:33" x14ac:dyDescent="0.25">
      <c r="A207">
        <v>612</v>
      </c>
      <c r="B207" t="s">
        <v>1972</v>
      </c>
      <c r="C207" t="s">
        <v>1717</v>
      </c>
      <c r="D207">
        <v>32</v>
      </c>
      <c r="E207">
        <v>0</v>
      </c>
      <c r="F207">
        <v>0</v>
      </c>
      <c r="G207">
        <v>0</v>
      </c>
      <c r="H207">
        <v>0</v>
      </c>
      <c r="I207">
        <v>0</v>
      </c>
      <c r="J207" s="29">
        <v>0</v>
      </c>
      <c r="K207" s="130">
        <v>0</v>
      </c>
      <c r="L207" s="130">
        <v>0</v>
      </c>
      <c r="M207" s="130">
        <v>0</v>
      </c>
      <c r="N207" s="130">
        <v>0</v>
      </c>
      <c r="O207" s="130">
        <v>0</v>
      </c>
      <c r="P207" s="130">
        <v>0</v>
      </c>
      <c r="Q207" s="130">
        <v>0</v>
      </c>
      <c r="R207" s="130">
        <v>0</v>
      </c>
      <c r="S207" s="130">
        <v>0.15</v>
      </c>
      <c r="T207" s="130">
        <v>15</v>
      </c>
      <c r="U207" s="130">
        <v>0</v>
      </c>
      <c r="V207" s="130">
        <v>0</v>
      </c>
      <c r="W207" s="130">
        <v>0</v>
      </c>
      <c r="X207" s="130">
        <v>0</v>
      </c>
      <c r="Y207" s="130">
        <v>0</v>
      </c>
      <c r="Z207" s="149">
        <v>0</v>
      </c>
      <c r="AA207" s="130">
        <v>0</v>
      </c>
      <c r="AB207" s="130">
        <v>0</v>
      </c>
      <c r="AC207" s="130">
        <v>0</v>
      </c>
      <c r="AD207" s="130">
        <v>0</v>
      </c>
      <c r="AE207" s="130">
        <v>0</v>
      </c>
      <c r="AF207" s="130">
        <v>10</v>
      </c>
      <c r="AG207" t="s">
        <v>1973</v>
      </c>
    </row>
    <row r="208" spans="1:33" x14ac:dyDescent="0.25">
      <c r="A208">
        <v>613</v>
      </c>
      <c r="B208" t="s">
        <v>1974</v>
      </c>
      <c r="C208" t="s">
        <v>1717</v>
      </c>
      <c r="D208">
        <v>20</v>
      </c>
      <c r="E208">
        <v>0</v>
      </c>
      <c r="F208">
        <v>0</v>
      </c>
      <c r="G208">
        <v>0</v>
      </c>
      <c r="H208">
        <v>0</v>
      </c>
      <c r="I208">
        <v>0</v>
      </c>
      <c r="J208" s="29">
        <v>0</v>
      </c>
      <c r="K208" s="130">
        <v>0</v>
      </c>
      <c r="L208" s="130">
        <v>0</v>
      </c>
      <c r="M208" s="130">
        <v>0</v>
      </c>
      <c r="N208" s="130">
        <v>0</v>
      </c>
      <c r="O208" s="130">
        <v>0</v>
      </c>
      <c r="P208" s="130">
        <v>0</v>
      </c>
      <c r="Q208" s="130">
        <v>0</v>
      </c>
      <c r="R208" s="130">
        <v>0</v>
      </c>
      <c r="S208" s="130">
        <v>0.7</v>
      </c>
      <c r="T208" s="130">
        <v>50</v>
      </c>
      <c r="U208" s="130">
        <v>0</v>
      </c>
      <c r="V208" s="130">
        <v>0</v>
      </c>
      <c r="W208" s="130">
        <v>0</v>
      </c>
      <c r="X208" s="130">
        <v>0</v>
      </c>
      <c r="Y208" s="130">
        <v>0</v>
      </c>
      <c r="Z208" s="149">
        <v>0</v>
      </c>
      <c r="AA208" s="130">
        <v>0</v>
      </c>
      <c r="AB208" s="130">
        <v>0</v>
      </c>
      <c r="AC208" s="130">
        <v>0</v>
      </c>
      <c r="AD208" s="130">
        <v>0</v>
      </c>
      <c r="AE208" s="130">
        <v>0</v>
      </c>
      <c r="AF208" s="130">
        <v>10</v>
      </c>
      <c r="AG208" t="s">
        <v>1975</v>
      </c>
    </row>
    <row r="209" spans="1:33" x14ac:dyDescent="0.25">
      <c r="A209">
        <v>614</v>
      </c>
      <c r="B209" t="s">
        <v>1976</v>
      </c>
      <c r="C209" t="s">
        <v>1717</v>
      </c>
      <c r="D209">
        <v>15</v>
      </c>
      <c r="E209">
        <v>0</v>
      </c>
      <c r="F209">
        <v>0</v>
      </c>
      <c r="G209">
        <v>0</v>
      </c>
      <c r="H209">
        <v>0</v>
      </c>
      <c r="I209">
        <v>0</v>
      </c>
      <c r="J209" s="29">
        <v>0</v>
      </c>
      <c r="K209" s="130">
        <v>0</v>
      </c>
      <c r="L209" s="130">
        <v>0</v>
      </c>
      <c r="M209" s="130">
        <v>0</v>
      </c>
      <c r="N209" s="130">
        <v>0</v>
      </c>
      <c r="O209" s="130">
        <v>0</v>
      </c>
      <c r="P209" s="130">
        <v>0</v>
      </c>
      <c r="Q209" s="130">
        <v>0</v>
      </c>
      <c r="R209" s="130">
        <v>0</v>
      </c>
      <c r="S209" s="130">
        <v>0.25</v>
      </c>
      <c r="T209" s="130">
        <v>13</v>
      </c>
      <c r="U209" s="130">
        <v>0</v>
      </c>
      <c r="V209" s="130">
        <v>0</v>
      </c>
      <c r="W209" s="130">
        <v>0</v>
      </c>
      <c r="X209" s="130">
        <v>0</v>
      </c>
      <c r="Y209" s="130">
        <v>0</v>
      </c>
      <c r="Z209" s="149">
        <v>0</v>
      </c>
      <c r="AA209" s="130">
        <v>0</v>
      </c>
      <c r="AB209" s="130">
        <v>0</v>
      </c>
      <c r="AC209" s="130">
        <v>0</v>
      </c>
      <c r="AD209" s="130">
        <v>0</v>
      </c>
      <c r="AE209" s="130">
        <v>0</v>
      </c>
      <c r="AF209" s="130">
        <v>10</v>
      </c>
      <c r="AG209" t="s">
        <v>1977</v>
      </c>
    </row>
    <row r="210" spans="1:33" x14ac:dyDescent="0.25">
      <c r="A210">
        <v>615</v>
      </c>
      <c r="B210" t="s">
        <v>1978</v>
      </c>
      <c r="C210" t="s">
        <v>1717</v>
      </c>
      <c r="D210">
        <v>51</v>
      </c>
      <c r="E210">
        <v>0</v>
      </c>
      <c r="F210">
        <v>0</v>
      </c>
      <c r="G210">
        <v>0</v>
      </c>
      <c r="H210">
        <v>0</v>
      </c>
      <c r="I210">
        <v>0</v>
      </c>
      <c r="J210" s="29">
        <v>0</v>
      </c>
      <c r="K210" s="130">
        <v>0</v>
      </c>
      <c r="L210" s="130">
        <v>0</v>
      </c>
      <c r="M210" s="130">
        <v>0</v>
      </c>
      <c r="N210" s="130">
        <v>0.53</v>
      </c>
      <c r="O210" s="130">
        <v>0</v>
      </c>
      <c r="P210" s="130">
        <v>0</v>
      </c>
      <c r="Q210" s="130">
        <v>0</v>
      </c>
      <c r="R210" s="130">
        <v>0</v>
      </c>
      <c r="S210" s="130">
        <v>0</v>
      </c>
      <c r="T210" s="130">
        <v>0</v>
      </c>
      <c r="U210" s="130">
        <v>0</v>
      </c>
      <c r="V210" s="130">
        <v>0</v>
      </c>
      <c r="W210" s="130">
        <v>0</v>
      </c>
      <c r="X210" s="130">
        <v>0</v>
      </c>
      <c r="Y210" s="130">
        <v>0</v>
      </c>
      <c r="Z210" s="149">
        <v>9</v>
      </c>
      <c r="AA210" s="130">
        <v>0</v>
      </c>
      <c r="AB210" s="130">
        <v>0</v>
      </c>
      <c r="AC210" s="130">
        <v>0</v>
      </c>
      <c r="AD210" s="130">
        <v>0</v>
      </c>
      <c r="AE210" s="130">
        <v>0</v>
      </c>
      <c r="AF210" s="130">
        <v>10</v>
      </c>
      <c r="AG210" t="s">
        <v>1979</v>
      </c>
    </row>
    <row r="211" spans="1:33" x14ac:dyDescent="0.25">
      <c r="A211">
        <v>620</v>
      </c>
      <c r="B211" t="s">
        <v>1980</v>
      </c>
      <c r="C211" t="s">
        <v>1717</v>
      </c>
      <c r="D211">
        <v>44</v>
      </c>
      <c r="E211">
        <v>0</v>
      </c>
      <c r="F211">
        <v>0</v>
      </c>
      <c r="G211">
        <v>0</v>
      </c>
      <c r="H211">
        <v>0</v>
      </c>
      <c r="I211">
        <v>0</v>
      </c>
      <c r="J211" s="29">
        <v>0</v>
      </c>
      <c r="K211" s="130">
        <v>0</v>
      </c>
      <c r="L211" s="130">
        <v>0</v>
      </c>
      <c r="M211" s="130">
        <v>0</v>
      </c>
      <c r="N211" s="130">
        <v>0</v>
      </c>
      <c r="O211" s="130">
        <v>0</v>
      </c>
      <c r="P211" s="130">
        <v>0</v>
      </c>
      <c r="Q211" s="130">
        <v>0</v>
      </c>
      <c r="R211" s="130">
        <v>0</v>
      </c>
      <c r="S211" s="130">
        <v>0.25</v>
      </c>
      <c r="T211" s="130">
        <v>13</v>
      </c>
      <c r="U211" s="130">
        <v>0</v>
      </c>
      <c r="V211" s="130">
        <v>0</v>
      </c>
      <c r="W211" s="130">
        <v>0</v>
      </c>
      <c r="X211" s="130">
        <v>0</v>
      </c>
      <c r="Y211" s="130">
        <v>0</v>
      </c>
      <c r="Z211" s="149">
        <v>0</v>
      </c>
      <c r="AA211" s="130">
        <v>0</v>
      </c>
      <c r="AB211" s="130">
        <v>0</v>
      </c>
      <c r="AC211" s="130">
        <v>0</v>
      </c>
      <c r="AD211" s="130">
        <v>0</v>
      </c>
      <c r="AE211" s="130">
        <v>0</v>
      </c>
      <c r="AF211" s="130">
        <v>10</v>
      </c>
      <c r="AG211" t="s">
        <v>1981</v>
      </c>
    </row>
    <row r="212" spans="1:33" x14ac:dyDescent="0.25">
      <c r="A212">
        <v>623</v>
      </c>
      <c r="B212" t="s">
        <v>1960</v>
      </c>
      <c r="C212" t="s">
        <v>1717</v>
      </c>
      <c r="D212">
        <v>25</v>
      </c>
      <c r="E212">
        <v>0</v>
      </c>
      <c r="F212">
        <v>0</v>
      </c>
      <c r="G212">
        <v>0</v>
      </c>
      <c r="H212">
        <v>0</v>
      </c>
      <c r="I212">
        <v>0</v>
      </c>
      <c r="J212" s="29">
        <v>0</v>
      </c>
      <c r="K212" s="130">
        <v>0</v>
      </c>
      <c r="L212" s="130">
        <v>0</v>
      </c>
      <c r="M212" s="130">
        <v>0</v>
      </c>
      <c r="N212" s="130">
        <v>0</v>
      </c>
      <c r="O212" s="130">
        <v>0</v>
      </c>
      <c r="P212" s="130">
        <v>0</v>
      </c>
      <c r="Q212" s="130">
        <v>0</v>
      </c>
      <c r="R212" s="130">
        <v>0</v>
      </c>
      <c r="S212" s="130">
        <v>0</v>
      </c>
      <c r="T212" s="130">
        <v>0</v>
      </c>
      <c r="U212" s="130">
        <v>-50</v>
      </c>
      <c r="V212" s="130">
        <v>0</v>
      </c>
      <c r="W212" s="130">
        <v>0</v>
      </c>
      <c r="X212" s="130">
        <v>0</v>
      </c>
      <c r="Y212" s="130">
        <v>0</v>
      </c>
      <c r="Z212" s="149">
        <v>2</v>
      </c>
      <c r="AA212" s="130">
        <v>0.95</v>
      </c>
      <c r="AB212" s="130">
        <v>0.8</v>
      </c>
      <c r="AC212" s="130">
        <v>0</v>
      </c>
      <c r="AD212" s="130">
        <v>0</v>
      </c>
      <c r="AE212" s="130">
        <v>0</v>
      </c>
      <c r="AF212" s="130">
        <v>10</v>
      </c>
      <c r="AG212" t="s">
        <v>1982</v>
      </c>
    </row>
    <row r="213" spans="1:33" x14ac:dyDescent="0.25">
      <c r="A213">
        <v>626</v>
      </c>
      <c r="B213" t="s">
        <v>1960</v>
      </c>
      <c r="C213" t="s">
        <v>1717</v>
      </c>
      <c r="D213">
        <v>0</v>
      </c>
      <c r="E213">
        <v>51</v>
      </c>
      <c r="F213">
        <v>0</v>
      </c>
      <c r="G213">
        <v>0</v>
      </c>
      <c r="H213">
        <v>0</v>
      </c>
      <c r="I213">
        <v>0</v>
      </c>
      <c r="J213" s="29">
        <v>0</v>
      </c>
      <c r="K213" s="130">
        <v>0</v>
      </c>
      <c r="L213" s="130">
        <v>0</v>
      </c>
      <c r="M213" s="130">
        <v>0</v>
      </c>
      <c r="N213" s="130">
        <v>0</v>
      </c>
      <c r="O213" s="130">
        <v>0</v>
      </c>
      <c r="P213" s="130">
        <v>0</v>
      </c>
      <c r="Q213" s="130">
        <v>0</v>
      </c>
      <c r="R213" s="130">
        <v>0</v>
      </c>
      <c r="S213" s="130">
        <v>0</v>
      </c>
      <c r="T213" s="130">
        <v>0</v>
      </c>
      <c r="U213" s="130">
        <v>-50</v>
      </c>
      <c r="V213" s="130">
        <v>0</v>
      </c>
      <c r="W213" s="130">
        <v>0</v>
      </c>
      <c r="X213" s="130">
        <v>0</v>
      </c>
      <c r="Y213" s="130">
        <v>0</v>
      </c>
      <c r="Z213" s="149">
        <v>2</v>
      </c>
      <c r="AA213" s="130">
        <v>0.95</v>
      </c>
      <c r="AB213" s="130">
        <v>0</v>
      </c>
      <c r="AC213" s="130">
        <v>0</v>
      </c>
      <c r="AD213" s="130">
        <v>0</v>
      </c>
      <c r="AE213" s="130">
        <v>0</v>
      </c>
      <c r="AF213" s="130">
        <v>10</v>
      </c>
      <c r="AG213" t="s">
        <v>1983</v>
      </c>
    </row>
    <row r="214" spans="1:33" x14ac:dyDescent="0.25">
      <c r="A214">
        <v>629</v>
      </c>
      <c r="B214" t="s">
        <v>1984</v>
      </c>
      <c r="C214" t="s">
        <v>1717</v>
      </c>
      <c r="D214">
        <v>0</v>
      </c>
      <c r="E214">
        <v>44</v>
      </c>
      <c r="F214">
        <v>0</v>
      </c>
      <c r="G214">
        <v>0</v>
      </c>
      <c r="H214">
        <v>0</v>
      </c>
      <c r="I214">
        <v>0</v>
      </c>
      <c r="J214" s="29">
        <v>0</v>
      </c>
      <c r="K214" s="130">
        <v>0</v>
      </c>
      <c r="L214" s="130">
        <v>0</v>
      </c>
      <c r="M214" s="130">
        <v>0</v>
      </c>
      <c r="N214" s="130">
        <v>0</v>
      </c>
      <c r="O214" s="130">
        <v>0</v>
      </c>
      <c r="P214" s="130">
        <v>0</v>
      </c>
      <c r="Q214" s="130">
        <v>0</v>
      </c>
      <c r="R214" s="130">
        <v>0</v>
      </c>
      <c r="S214" s="130">
        <v>0</v>
      </c>
      <c r="T214" s="130">
        <v>0</v>
      </c>
      <c r="U214" s="130">
        <v>-50</v>
      </c>
      <c r="V214" s="130">
        <v>0</v>
      </c>
      <c r="W214" s="130">
        <v>0</v>
      </c>
      <c r="X214" s="130">
        <v>0</v>
      </c>
      <c r="Y214" s="130">
        <v>0</v>
      </c>
      <c r="Z214" s="149">
        <v>11</v>
      </c>
      <c r="AA214" s="130">
        <v>0.95</v>
      </c>
      <c r="AB214" s="130">
        <v>0</v>
      </c>
      <c r="AC214" s="130">
        <v>0</v>
      </c>
      <c r="AD214" s="130">
        <v>0</v>
      </c>
      <c r="AE214" s="130">
        <v>0</v>
      </c>
      <c r="AF214" s="130">
        <v>10</v>
      </c>
      <c r="AG214" t="s">
        <v>1985</v>
      </c>
    </row>
    <row r="215" spans="1:33" x14ac:dyDescent="0.25">
      <c r="A215">
        <v>632</v>
      </c>
      <c r="B215" t="s">
        <v>1986</v>
      </c>
      <c r="C215" t="s">
        <v>1717</v>
      </c>
      <c r="D215">
        <v>0</v>
      </c>
      <c r="E215">
        <v>76</v>
      </c>
      <c r="F215">
        <v>0</v>
      </c>
      <c r="G215">
        <v>0</v>
      </c>
      <c r="H215">
        <v>0</v>
      </c>
      <c r="I215">
        <v>0</v>
      </c>
      <c r="J215" s="29">
        <v>0</v>
      </c>
      <c r="K215" s="130">
        <v>0</v>
      </c>
      <c r="L215" s="130">
        <v>0</v>
      </c>
      <c r="M215" s="130">
        <v>0</v>
      </c>
      <c r="N215" s="130">
        <v>0</v>
      </c>
      <c r="O215" s="130">
        <v>0</v>
      </c>
      <c r="P215" s="130">
        <v>0</v>
      </c>
      <c r="Q215" s="130">
        <v>0</v>
      </c>
      <c r="R215" s="130">
        <v>0</v>
      </c>
      <c r="S215" s="130">
        <v>0</v>
      </c>
      <c r="T215" s="130">
        <v>0</v>
      </c>
      <c r="U215" s="130">
        <v>-50</v>
      </c>
      <c r="V215" s="130">
        <v>0</v>
      </c>
      <c r="W215" s="130">
        <v>0</v>
      </c>
      <c r="X215" s="130">
        <v>0</v>
      </c>
      <c r="Y215" s="130">
        <v>0</v>
      </c>
      <c r="Z215" s="149">
        <v>10</v>
      </c>
      <c r="AA215" s="130">
        <v>0.95</v>
      </c>
      <c r="AB215" s="130">
        <v>0</v>
      </c>
      <c r="AC215" s="130">
        <v>0</v>
      </c>
      <c r="AD215" s="130">
        <v>0</v>
      </c>
      <c r="AE215" s="130">
        <v>0</v>
      </c>
      <c r="AF215" s="130">
        <v>10</v>
      </c>
      <c r="AG215" t="s">
        <v>1987</v>
      </c>
    </row>
    <row r="216" spans="1:33" x14ac:dyDescent="0.25">
      <c r="A216">
        <v>633</v>
      </c>
      <c r="B216" t="s">
        <v>1949</v>
      </c>
      <c r="C216" t="s">
        <v>1717</v>
      </c>
      <c r="D216">
        <v>0</v>
      </c>
      <c r="E216">
        <v>3</v>
      </c>
      <c r="F216">
        <v>0</v>
      </c>
      <c r="G216">
        <v>0</v>
      </c>
      <c r="H216">
        <v>0</v>
      </c>
      <c r="I216">
        <v>0</v>
      </c>
      <c r="J216" s="29">
        <v>0</v>
      </c>
      <c r="K216" s="130">
        <v>0</v>
      </c>
      <c r="L216" s="130">
        <v>0</v>
      </c>
      <c r="M216" s="130">
        <v>0</v>
      </c>
      <c r="N216" s="130">
        <v>0</v>
      </c>
      <c r="O216" s="130">
        <v>0</v>
      </c>
      <c r="P216" s="130">
        <v>0</v>
      </c>
      <c r="Q216" s="130">
        <v>0</v>
      </c>
      <c r="R216" s="130">
        <v>0</v>
      </c>
      <c r="S216" s="130">
        <v>0</v>
      </c>
      <c r="T216" s="130">
        <v>0</v>
      </c>
      <c r="U216" s="130">
        <v>0</v>
      </c>
      <c r="V216" s="130">
        <v>0</v>
      </c>
      <c r="W216" s="130">
        <v>0</v>
      </c>
      <c r="X216" s="130">
        <v>0</v>
      </c>
      <c r="Y216" s="130">
        <v>0</v>
      </c>
      <c r="Z216" s="149">
        <v>12</v>
      </c>
      <c r="AA216" s="130">
        <v>0</v>
      </c>
      <c r="AB216" s="130">
        <v>0</v>
      </c>
      <c r="AC216" s="130">
        <v>0</v>
      </c>
      <c r="AD216" s="130">
        <v>0</v>
      </c>
      <c r="AE216" s="130">
        <v>0</v>
      </c>
      <c r="AF216" s="130">
        <v>10</v>
      </c>
      <c r="AG216" t="s">
        <v>1988</v>
      </c>
    </row>
    <row r="217" spans="1:33" x14ac:dyDescent="0.25">
      <c r="A217">
        <v>649</v>
      </c>
      <c r="B217" t="s">
        <v>1989</v>
      </c>
      <c r="C217" t="s">
        <v>1717</v>
      </c>
      <c r="D217">
        <v>7</v>
      </c>
      <c r="E217">
        <v>0</v>
      </c>
      <c r="F217">
        <v>0</v>
      </c>
      <c r="G217">
        <v>0</v>
      </c>
      <c r="H217">
        <v>0</v>
      </c>
      <c r="I217">
        <v>0</v>
      </c>
      <c r="J217" s="29">
        <v>0</v>
      </c>
      <c r="K217" s="130">
        <v>0</v>
      </c>
      <c r="L217" s="130">
        <v>0</v>
      </c>
      <c r="M217" s="130">
        <v>0</v>
      </c>
      <c r="N217" s="130">
        <v>0</v>
      </c>
      <c r="O217" s="130">
        <v>0</v>
      </c>
      <c r="P217" s="130">
        <v>0</v>
      </c>
      <c r="Q217" s="130">
        <v>0</v>
      </c>
      <c r="R217" s="130">
        <v>0</v>
      </c>
      <c r="S217" s="130">
        <v>0</v>
      </c>
      <c r="T217" s="130">
        <v>0</v>
      </c>
      <c r="U217" s="130">
        <v>0</v>
      </c>
      <c r="V217" s="130">
        <v>0</v>
      </c>
      <c r="W217" s="130">
        <v>0</v>
      </c>
      <c r="X217" s="130">
        <v>0</v>
      </c>
      <c r="Y217" s="130">
        <v>0</v>
      </c>
      <c r="Z217" s="149">
        <v>0</v>
      </c>
      <c r="AA217" s="130">
        <v>0</v>
      </c>
      <c r="AB217" s="130">
        <v>0</v>
      </c>
      <c r="AC217" s="130">
        <v>0</v>
      </c>
      <c r="AD217" s="130">
        <v>0</v>
      </c>
      <c r="AE217" s="130">
        <v>0</v>
      </c>
      <c r="AF217" s="130">
        <v>10</v>
      </c>
      <c r="AG217" t="s">
        <v>1990</v>
      </c>
    </row>
    <row r="218" spans="1:33" x14ac:dyDescent="0.25">
      <c r="A218">
        <v>654</v>
      </c>
      <c r="B218" t="s">
        <v>1991</v>
      </c>
      <c r="C218" t="s">
        <v>1717</v>
      </c>
      <c r="D218">
        <v>0</v>
      </c>
      <c r="E218">
        <v>249</v>
      </c>
      <c r="F218">
        <v>0</v>
      </c>
      <c r="G218">
        <v>0</v>
      </c>
      <c r="H218">
        <v>0</v>
      </c>
      <c r="I218">
        <v>0</v>
      </c>
      <c r="J218" s="29">
        <v>0</v>
      </c>
      <c r="K218" s="130">
        <v>0</v>
      </c>
      <c r="L218" s="130">
        <v>0</v>
      </c>
      <c r="M218" s="130">
        <v>0</v>
      </c>
      <c r="N218" s="130">
        <v>0</v>
      </c>
      <c r="O218" s="130">
        <v>0</v>
      </c>
      <c r="P218" s="130">
        <v>0</v>
      </c>
      <c r="Q218" s="130">
        <v>0</v>
      </c>
      <c r="R218" s="130">
        <v>0</v>
      </c>
      <c r="S218" s="130">
        <v>0</v>
      </c>
      <c r="T218" s="130">
        <v>0</v>
      </c>
      <c r="U218" s="130">
        <v>-100</v>
      </c>
      <c r="V218" s="130">
        <v>0</v>
      </c>
      <c r="W218" s="130">
        <v>0</v>
      </c>
      <c r="X218" s="130">
        <v>0</v>
      </c>
      <c r="Y218" s="130">
        <v>0</v>
      </c>
      <c r="Z218" s="149">
        <v>2</v>
      </c>
      <c r="AA218" s="130">
        <v>0.5</v>
      </c>
      <c r="AB218" s="130">
        <v>0.95</v>
      </c>
      <c r="AC218" s="130">
        <v>0</v>
      </c>
      <c r="AD218" s="130">
        <v>0</v>
      </c>
      <c r="AE218" s="130">
        <v>0</v>
      </c>
      <c r="AF218" s="130">
        <v>10</v>
      </c>
      <c r="AG218" t="s">
        <v>1992</v>
      </c>
    </row>
    <row r="219" spans="1:33" x14ac:dyDescent="0.25">
      <c r="A219">
        <v>658</v>
      </c>
      <c r="B219" t="s">
        <v>1993</v>
      </c>
      <c r="C219" t="s">
        <v>1701</v>
      </c>
      <c r="D219">
        <v>27122</v>
      </c>
      <c r="E219">
        <v>29834</v>
      </c>
      <c r="F219">
        <v>100</v>
      </c>
      <c r="G219">
        <v>1200</v>
      </c>
      <c r="H219">
        <v>0</v>
      </c>
      <c r="I219">
        <v>6.1</v>
      </c>
      <c r="J219" s="29">
        <v>8.85</v>
      </c>
      <c r="K219" s="130">
        <v>0.32</v>
      </c>
      <c r="L219" s="130">
        <v>2.1</v>
      </c>
      <c r="M219" s="130">
        <v>0.1</v>
      </c>
      <c r="N219" s="130">
        <v>0</v>
      </c>
      <c r="O219" s="130">
        <v>0.6</v>
      </c>
      <c r="P219" s="130">
        <v>0.88500000000000001</v>
      </c>
      <c r="Q219" s="130">
        <v>0.6</v>
      </c>
      <c r="R219" s="130">
        <v>0</v>
      </c>
      <c r="S219" s="130">
        <v>0.1</v>
      </c>
      <c r="T219" s="130">
        <v>10.16</v>
      </c>
      <c r="U219" s="130">
        <v>40.64</v>
      </c>
      <c r="V219" s="130">
        <v>76.2</v>
      </c>
      <c r="W219" s="130">
        <v>0.50900000000000001</v>
      </c>
      <c r="X219" s="130">
        <v>0</v>
      </c>
      <c r="Y219" s="130">
        <v>0</v>
      </c>
      <c r="Z219" s="149">
        <v>5</v>
      </c>
      <c r="AA219" s="130">
        <v>0</v>
      </c>
      <c r="AB219" s="130">
        <v>0</v>
      </c>
      <c r="AC219" s="130">
        <v>0</v>
      </c>
      <c r="AD219" s="130">
        <v>0</v>
      </c>
      <c r="AE219" s="130">
        <v>0</v>
      </c>
      <c r="AF219" s="130">
        <v>10</v>
      </c>
      <c r="AG219" t="s">
        <v>2299</v>
      </c>
    </row>
    <row r="220" spans="1:33" x14ac:dyDescent="0.25">
      <c r="A220">
        <v>659</v>
      </c>
      <c r="B220" t="s">
        <v>1994</v>
      </c>
      <c r="C220" t="s">
        <v>1701</v>
      </c>
      <c r="D220">
        <v>27122</v>
      </c>
      <c r="E220">
        <v>29834</v>
      </c>
      <c r="F220">
        <v>100</v>
      </c>
      <c r="G220">
        <v>1200</v>
      </c>
      <c r="H220">
        <v>0</v>
      </c>
      <c r="I220">
        <v>6.1</v>
      </c>
      <c r="J220" s="29">
        <v>8.85</v>
      </c>
      <c r="K220" s="130">
        <v>0.32</v>
      </c>
      <c r="L220" s="130">
        <v>2.1</v>
      </c>
      <c r="M220" s="130">
        <v>0.1</v>
      </c>
      <c r="N220" s="130">
        <v>0</v>
      </c>
      <c r="O220" s="130">
        <v>0.6</v>
      </c>
      <c r="P220" s="130">
        <v>0.88500000000000001</v>
      </c>
      <c r="Q220" s="130">
        <v>0.6</v>
      </c>
      <c r="R220" s="130">
        <v>0</v>
      </c>
      <c r="S220" s="130">
        <v>0.1</v>
      </c>
      <c r="T220" s="130">
        <v>10.16</v>
      </c>
      <c r="U220" s="130">
        <v>40.64</v>
      </c>
      <c r="V220" s="130">
        <v>76.2</v>
      </c>
      <c r="W220" s="130">
        <v>0.32900000000000001</v>
      </c>
      <c r="X220" s="130">
        <v>0</v>
      </c>
      <c r="Y220" s="130">
        <v>0</v>
      </c>
      <c r="Z220" s="149">
        <v>5</v>
      </c>
      <c r="AA220" s="130">
        <v>0</v>
      </c>
      <c r="AB220" s="130">
        <v>0</v>
      </c>
      <c r="AC220" s="130">
        <v>0</v>
      </c>
      <c r="AD220" s="130">
        <v>0</v>
      </c>
      <c r="AE220" s="130">
        <v>0</v>
      </c>
      <c r="AF220" s="130">
        <v>10</v>
      </c>
      <c r="AG220" t="s">
        <v>2299</v>
      </c>
    </row>
    <row r="221" spans="1:33" x14ac:dyDescent="0.25">
      <c r="A221">
        <v>660</v>
      </c>
      <c r="B221" t="s">
        <v>1995</v>
      </c>
      <c r="C221" t="s">
        <v>1701</v>
      </c>
      <c r="D221">
        <v>27122</v>
      </c>
      <c r="E221">
        <v>29834</v>
      </c>
      <c r="F221">
        <v>100</v>
      </c>
      <c r="G221">
        <v>1200</v>
      </c>
      <c r="H221">
        <v>0</v>
      </c>
      <c r="I221">
        <v>6.1</v>
      </c>
      <c r="J221" s="29">
        <v>8.85</v>
      </c>
      <c r="K221" s="130">
        <v>0.32</v>
      </c>
      <c r="L221" s="130">
        <v>2.1</v>
      </c>
      <c r="M221" s="130">
        <v>0.1</v>
      </c>
      <c r="N221" s="130">
        <v>0</v>
      </c>
      <c r="O221" s="130">
        <v>0.6</v>
      </c>
      <c r="P221" s="130">
        <v>0.88500000000000001</v>
      </c>
      <c r="Q221" s="130">
        <v>0.6</v>
      </c>
      <c r="R221" s="130">
        <v>0</v>
      </c>
      <c r="S221" s="130">
        <v>0.1</v>
      </c>
      <c r="T221" s="130">
        <v>10.16</v>
      </c>
      <c r="U221" s="130">
        <v>40.64</v>
      </c>
      <c r="V221" s="130">
        <v>76.2</v>
      </c>
      <c r="W221" s="130">
        <v>0.68600000000000005</v>
      </c>
      <c r="X221" s="130">
        <v>0</v>
      </c>
      <c r="Y221" s="130">
        <v>0</v>
      </c>
      <c r="Z221" s="149">
        <v>5</v>
      </c>
      <c r="AA221" s="130">
        <v>0</v>
      </c>
      <c r="AB221" s="130">
        <v>0</v>
      </c>
      <c r="AC221" s="130">
        <v>0</v>
      </c>
      <c r="AD221" s="130">
        <v>0</v>
      </c>
      <c r="AE221" s="130">
        <v>0</v>
      </c>
      <c r="AF221" s="130">
        <v>10</v>
      </c>
      <c r="AG221" t="s">
        <v>2299</v>
      </c>
    </row>
    <row r="222" spans="1:33" x14ac:dyDescent="0.25">
      <c r="A222">
        <v>661</v>
      </c>
      <c r="B222" t="s">
        <v>1996</v>
      </c>
      <c r="C222" t="s">
        <v>1701</v>
      </c>
      <c r="D222">
        <v>27122</v>
      </c>
      <c r="E222">
        <v>29834</v>
      </c>
      <c r="F222">
        <v>100</v>
      </c>
      <c r="G222">
        <v>1200</v>
      </c>
      <c r="H222">
        <v>0</v>
      </c>
      <c r="I222">
        <v>6.1</v>
      </c>
      <c r="J222" s="29">
        <v>8.85</v>
      </c>
      <c r="K222" s="130">
        <v>0.32</v>
      </c>
      <c r="L222" s="130">
        <v>2.1</v>
      </c>
      <c r="M222" s="130">
        <v>0.1</v>
      </c>
      <c r="N222" s="130">
        <v>0</v>
      </c>
      <c r="O222" s="130">
        <v>0.6</v>
      </c>
      <c r="P222" s="130">
        <v>0.88500000000000001</v>
      </c>
      <c r="Q222" s="130">
        <v>0.6</v>
      </c>
      <c r="R222" s="130">
        <v>0</v>
      </c>
      <c r="S222" s="130">
        <v>0.1</v>
      </c>
      <c r="T222" s="130">
        <v>10.16</v>
      </c>
      <c r="U222" s="130">
        <v>40.64</v>
      </c>
      <c r="V222" s="130">
        <v>76.2</v>
      </c>
      <c r="W222" s="130">
        <v>1.0149999999999999</v>
      </c>
      <c r="X222" s="130">
        <v>0</v>
      </c>
      <c r="Y222" s="130">
        <v>0</v>
      </c>
      <c r="Z222" s="149">
        <v>5</v>
      </c>
      <c r="AA222" s="130">
        <v>0</v>
      </c>
      <c r="AB222" s="130">
        <v>0</v>
      </c>
      <c r="AC222" s="130">
        <v>0</v>
      </c>
      <c r="AD222" s="130">
        <v>0</v>
      </c>
      <c r="AE222" s="130">
        <v>0</v>
      </c>
      <c r="AF222" s="130">
        <v>10</v>
      </c>
      <c r="AG222" t="s">
        <v>2299</v>
      </c>
    </row>
    <row r="223" spans="1:33" x14ac:dyDescent="0.25">
      <c r="A223">
        <v>662</v>
      </c>
      <c r="B223" t="s">
        <v>1997</v>
      </c>
      <c r="C223" t="s">
        <v>1701</v>
      </c>
      <c r="D223">
        <v>27122</v>
      </c>
      <c r="E223">
        <v>29834</v>
      </c>
      <c r="F223">
        <v>100</v>
      </c>
      <c r="G223">
        <v>1200</v>
      </c>
      <c r="H223">
        <v>0</v>
      </c>
      <c r="I223">
        <v>6.1</v>
      </c>
      <c r="J223" s="29">
        <v>8.85</v>
      </c>
      <c r="K223" s="130">
        <v>0.32</v>
      </c>
      <c r="L223" s="130">
        <v>2.1</v>
      </c>
      <c r="M223" s="130">
        <v>0.1</v>
      </c>
      <c r="N223" s="130">
        <v>0</v>
      </c>
      <c r="O223" s="130">
        <v>0.6</v>
      </c>
      <c r="P223" s="130">
        <v>0.88500000000000001</v>
      </c>
      <c r="Q223" s="130">
        <v>0.6</v>
      </c>
      <c r="R223" s="130">
        <v>0</v>
      </c>
      <c r="S223" s="130">
        <v>0.1</v>
      </c>
      <c r="T223" s="130">
        <v>10.16</v>
      </c>
      <c r="U223" s="130">
        <v>40.64</v>
      </c>
      <c r="V223" s="130">
        <v>76.2</v>
      </c>
      <c r="W223" s="130">
        <v>0.81399999999999995</v>
      </c>
      <c r="X223" s="130">
        <v>0</v>
      </c>
      <c r="Y223" s="130">
        <v>0</v>
      </c>
      <c r="Z223" s="149">
        <v>5</v>
      </c>
      <c r="AA223" s="130">
        <v>0</v>
      </c>
      <c r="AB223" s="130">
        <v>0</v>
      </c>
      <c r="AC223" s="130">
        <v>0</v>
      </c>
      <c r="AD223" s="130">
        <v>0</v>
      </c>
      <c r="AE223" s="130">
        <v>0</v>
      </c>
      <c r="AF223" s="130">
        <v>10</v>
      </c>
      <c r="AG223" t="s">
        <v>2299</v>
      </c>
    </row>
    <row r="224" spans="1:33" x14ac:dyDescent="0.25">
      <c r="A224">
        <v>665</v>
      </c>
      <c r="B224" t="s">
        <v>1998</v>
      </c>
      <c r="C224" t="s">
        <v>1701</v>
      </c>
      <c r="D224">
        <v>0</v>
      </c>
      <c r="E224">
        <v>0</v>
      </c>
      <c r="F224">
        <v>100</v>
      </c>
      <c r="G224">
        <v>1200</v>
      </c>
      <c r="H224">
        <v>0</v>
      </c>
      <c r="I224">
        <v>6.1</v>
      </c>
      <c r="J224" s="29">
        <v>8.85</v>
      </c>
      <c r="K224" s="130">
        <v>0</v>
      </c>
      <c r="L224" s="130">
        <v>0</v>
      </c>
      <c r="M224" s="130">
        <v>0.1</v>
      </c>
      <c r="N224" s="130">
        <v>0</v>
      </c>
      <c r="O224" s="130">
        <v>0.6</v>
      </c>
      <c r="P224" s="130">
        <v>0.88500000000000001</v>
      </c>
      <c r="Q224" s="130">
        <v>0.6</v>
      </c>
      <c r="R224" s="130">
        <v>0</v>
      </c>
      <c r="S224" s="130">
        <v>0</v>
      </c>
      <c r="T224" s="130">
        <v>10.16</v>
      </c>
      <c r="U224" s="130">
        <v>40.64</v>
      </c>
      <c r="V224" s="130">
        <v>76.2</v>
      </c>
      <c r="W224" s="130">
        <v>1.0149999999999999</v>
      </c>
      <c r="X224" s="130">
        <v>0</v>
      </c>
      <c r="Y224" s="130">
        <v>0</v>
      </c>
      <c r="Z224" s="149">
        <v>5</v>
      </c>
      <c r="AA224" s="130">
        <v>0</v>
      </c>
      <c r="AB224" s="130">
        <v>0</v>
      </c>
      <c r="AC224" s="130">
        <v>0</v>
      </c>
      <c r="AD224" s="130">
        <v>0</v>
      </c>
      <c r="AE224" s="130">
        <v>0</v>
      </c>
      <c r="AF224" s="130">
        <v>10</v>
      </c>
      <c r="AG224" t="s">
        <v>2299</v>
      </c>
    </row>
    <row r="225" spans="1:33" x14ac:dyDescent="0.25">
      <c r="A225">
        <v>667</v>
      </c>
      <c r="B225" t="s">
        <v>1999</v>
      </c>
      <c r="C225" t="s">
        <v>1701</v>
      </c>
      <c r="D225">
        <v>0</v>
      </c>
      <c r="E225">
        <v>0</v>
      </c>
      <c r="F225">
        <v>100</v>
      </c>
      <c r="G225">
        <v>1200</v>
      </c>
      <c r="H225">
        <v>0</v>
      </c>
      <c r="I225">
        <v>6.1</v>
      </c>
      <c r="J225" s="29">
        <v>8.85</v>
      </c>
      <c r="K225" s="130">
        <v>0.32</v>
      </c>
      <c r="L225" s="130">
        <v>2.1</v>
      </c>
      <c r="M225" s="130">
        <v>0.1</v>
      </c>
      <c r="N225" s="130">
        <v>0</v>
      </c>
      <c r="O225" s="130">
        <v>0.6</v>
      </c>
      <c r="P225" s="130">
        <v>0.88500000000000001</v>
      </c>
      <c r="Q225" s="130">
        <v>0.6</v>
      </c>
      <c r="R225" s="130">
        <v>0</v>
      </c>
      <c r="S225" s="130">
        <v>0.1</v>
      </c>
      <c r="T225" s="130">
        <v>10.16</v>
      </c>
      <c r="U225" s="130">
        <v>40.64</v>
      </c>
      <c r="V225" s="130">
        <v>76.2</v>
      </c>
      <c r="W225" s="130">
        <v>0.96499999999999997</v>
      </c>
      <c r="X225" s="130">
        <v>0</v>
      </c>
      <c r="Y225" s="130">
        <v>0</v>
      </c>
      <c r="Z225" s="149">
        <v>5</v>
      </c>
      <c r="AA225" s="130">
        <v>0</v>
      </c>
      <c r="AB225" s="130">
        <v>0</v>
      </c>
      <c r="AC225" s="130">
        <v>0</v>
      </c>
      <c r="AD225" s="130">
        <v>0</v>
      </c>
      <c r="AE225" s="130">
        <v>0</v>
      </c>
      <c r="AF225" s="130">
        <v>10</v>
      </c>
      <c r="AG225" t="s">
        <v>2299</v>
      </c>
    </row>
    <row r="226" spans="1:33" x14ac:dyDescent="0.25">
      <c r="A226">
        <v>668</v>
      </c>
      <c r="B226" t="s">
        <v>2000</v>
      </c>
      <c r="C226" t="s">
        <v>1701</v>
      </c>
      <c r="D226">
        <v>0</v>
      </c>
      <c r="E226">
        <v>0</v>
      </c>
      <c r="F226">
        <v>100</v>
      </c>
      <c r="G226">
        <v>1200</v>
      </c>
      <c r="H226">
        <v>0</v>
      </c>
      <c r="I226">
        <v>6.1</v>
      </c>
      <c r="J226" s="29">
        <v>8.85</v>
      </c>
      <c r="K226" s="130">
        <v>0.32</v>
      </c>
      <c r="L226" s="130">
        <v>2.1</v>
      </c>
      <c r="M226" s="130">
        <v>0.1</v>
      </c>
      <c r="N226" s="130">
        <v>0</v>
      </c>
      <c r="O226" s="130">
        <v>0.6</v>
      </c>
      <c r="P226" s="130">
        <v>0.88500000000000001</v>
      </c>
      <c r="Q226" s="130">
        <v>0.6</v>
      </c>
      <c r="R226" s="130">
        <v>0</v>
      </c>
      <c r="S226" s="130">
        <v>0.1</v>
      </c>
      <c r="T226" s="130">
        <v>10.16</v>
      </c>
      <c r="U226" s="130">
        <v>40.64</v>
      </c>
      <c r="V226" s="130">
        <v>76.2</v>
      </c>
      <c r="W226" s="130">
        <v>0.76200000000000001</v>
      </c>
      <c r="X226" s="130">
        <v>0</v>
      </c>
      <c r="Y226" s="130">
        <v>0</v>
      </c>
      <c r="Z226" s="149">
        <v>5</v>
      </c>
      <c r="AA226" s="130">
        <v>0</v>
      </c>
      <c r="AB226" s="130">
        <v>0</v>
      </c>
      <c r="AC226" s="130">
        <v>0</v>
      </c>
      <c r="AD226" s="130">
        <v>0</v>
      </c>
      <c r="AE226" s="130">
        <v>0</v>
      </c>
      <c r="AF226" s="130">
        <v>10</v>
      </c>
      <c r="AG226" t="s">
        <v>2299</v>
      </c>
    </row>
  </sheetData>
  <mergeCells count="1">
    <mergeCell ref="A4:C4"/>
  </mergeCells>
  <pageMargins left="0.7" right="0.7" top="0.75" bottom="0.75" header="0.3" footer="0.3"/>
  <drawing r:id="rId1"/>
  <legacyDrawing r:id="rId2"/>
  <controls>
    <mc:AlternateContent xmlns:mc="http://schemas.openxmlformats.org/markup-compatibility/2006">
      <mc:Choice Requires="x14">
        <control shapeId="49192" r:id="rId3" name="cmdGetTil">
          <controlPr defaultSize="0" autoLine="0" r:id="rId4">
            <anchor moveWithCells="1">
              <from>
                <xdr:col>5</xdr:col>
                <xdr:colOff>19050</xdr:colOff>
                <xdr:row>0</xdr:row>
                <xdr:rowOff>247650</xdr:rowOff>
              </from>
              <to>
                <xdr:col>6</xdr:col>
                <xdr:colOff>428625</xdr:colOff>
                <xdr:row>2</xdr:row>
                <xdr:rowOff>0</xdr:rowOff>
              </to>
            </anchor>
          </controlPr>
        </control>
      </mc:Choice>
      <mc:Fallback>
        <control shapeId="49192" r:id="rId3" name="cmdGetTil"/>
      </mc:Fallback>
    </mc:AlternateContent>
    <mc:AlternateContent xmlns:mc="http://schemas.openxmlformats.org/markup-compatibility/2006">
      <mc:Choice Requires="x14">
        <control shapeId="49191" r:id="rId5" name="cmbBoxTil">
          <controlPr defaultSize="0" autoLine="0" linkedCell="B2" r:id="rId6">
            <anchor moveWithCells="1">
              <from>
                <xdr:col>1</xdr:col>
                <xdr:colOff>19050</xdr:colOff>
                <xdr:row>1</xdr:row>
                <xdr:rowOff>19050</xdr:rowOff>
              </from>
              <to>
                <xdr:col>3</xdr:col>
                <xdr:colOff>28575</xdr:colOff>
                <xdr:row>2</xdr:row>
                <xdr:rowOff>9525</xdr:rowOff>
              </to>
            </anchor>
          </controlPr>
        </control>
      </mc:Choice>
      <mc:Fallback>
        <control shapeId="49191" r:id="rId5" name="cmbBoxTil"/>
      </mc:Fallback>
    </mc:AlternateContent>
    <mc:AlternateContent xmlns:mc="http://schemas.openxmlformats.org/markup-compatibility/2006">
      <mc:Choice Requires="x14">
        <control shapeId="49154" r:id="rId7" name="cmdWriteTil">
          <controlPr defaultSize="0" autoLine="0" r:id="rId8">
            <anchor moveWithCells="1">
              <from>
                <xdr:col>8</xdr:col>
                <xdr:colOff>371475</xdr:colOff>
                <xdr:row>0</xdr:row>
                <xdr:rowOff>247650</xdr:rowOff>
              </from>
              <to>
                <xdr:col>10</xdr:col>
                <xdr:colOff>171450</xdr:colOff>
                <xdr:row>2</xdr:row>
                <xdr:rowOff>0</xdr:rowOff>
              </to>
            </anchor>
          </controlPr>
        </control>
      </mc:Choice>
      <mc:Fallback>
        <control shapeId="49154" r:id="rId7" name="cmdWriteTil"/>
      </mc:Fallback>
    </mc:AlternateContent>
    <mc:AlternateContent xmlns:mc="http://schemas.openxmlformats.org/markup-compatibility/2006">
      <mc:Choice Requires="x14">
        <control shapeId="49153" r:id="rId9" name="cmdReadTil">
          <controlPr defaultSize="0" autoLine="0" r:id="rId10">
            <anchor moveWithCells="1">
              <from>
                <xdr:col>6</xdr:col>
                <xdr:colOff>533400</xdr:colOff>
                <xdr:row>0</xdr:row>
                <xdr:rowOff>247650</xdr:rowOff>
              </from>
              <to>
                <xdr:col>8</xdr:col>
                <xdr:colOff>333375</xdr:colOff>
                <xdr:row>2</xdr:row>
                <xdr:rowOff>0</xdr:rowOff>
              </to>
            </anchor>
          </controlPr>
        </control>
      </mc:Choice>
      <mc:Fallback>
        <control shapeId="49153" r:id="rId9" name="cmdReadTil"/>
      </mc:Fallback>
    </mc:AlternateContent>
    <mc:AlternateContent xmlns:mc="http://schemas.openxmlformats.org/markup-compatibility/2006">
      <mc:Choice Requires="x14">
        <control shapeId="49155" r:id="rId11" name="cmdRun">
          <controlPr defaultSize="0" autoLine="0" r:id="rId12">
            <anchor moveWithCells="1">
              <from>
                <xdr:col>10</xdr:col>
                <xdr:colOff>276225</xdr:colOff>
                <xdr:row>0</xdr:row>
                <xdr:rowOff>247650</xdr:rowOff>
              </from>
              <to>
                <xdr:col>12</xdr:col>
                <xdr:colOff>76200</xdr:colOff>
                <xdr:row>2</xdr:row>
                <xdr:rowOff>0</xdr:rowOff>
              </to>
            </anchor>
          </controlPr>
        </control>
      </mc:Choice>
      <mc:Fallback>
        <control shapeId="49155" r:id="rId11" name="cmdRu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224"/>
  <sheetViews>
    <sheetView zoomScaleNormal="100" workbookViewId="0">
      <pane xSplit="13" ySplit="5" topLeftCell="N6" activePane="bottomRight" state="frozen"/>
      <selection pane="topRight" activeCell="N1" sqref="N1"/>
      <selection pane="bottomLeft" activeCell="A6" sqref="A6"/>
      <selection pane="bottomRight" activeCell="A6" sqref="A6"/>
    </sheetView>
  </sheetViews>
  <sheetFormatPr defaultColWidth="9.140625" defaultRowHeight="15" x14ac:dyDescent="0.25"/>
  <cols>
    <col min="1" max="1" width="11.7109375" style="9" customWidth="1"/>
    <col min="2" max="2" width="10.5703125" style="9" customWidth="1"/>
    <col min="3" max="12" width="9" style="38" bestFit="1" customWidth="1"/>
    <col min="13" max="13" width="9" style="145" bestFit="1" customWidth="1"/>
    <col min="14" max="18" width="9" style="38" bestFit="1" customWidth="1"/>
    <col min="19" max="19" width="10.28515625" style="119" bestFit="1" customWidth="1"/>
    <col min="20" max="24" width="9" style="119" bestFit="1" customWidth="1"/>
    <col min="25" max="26" width="11.5703125" style="119" bestFit="1" customWidth="1"/>
    <col min="27" max="27" width="10.28515625" style="119" bestFit="1" customWidth="1"/>
    <col min="28" max="40" width="9" style="119" bestFit="1" customWidth="1"/>
    <col min="41" max="41" width="9.28515625" style="9" bestFit="1" customWidth="1"/>
    <col min="42" max="49" width="9" style="38" bestFit="1" customWidth="1"/>
    <col min="50" max="50" width="10.28515625" style="38" bestFit="1" customWidth="1"/>
    <col min="51" max="58" width="9" style="38" bestFit="1" customWidth="1"/>
    <col min="59" max="59" width="27.28515625" style="9" bestFit="1" customWidth="1"/>
    <col min="60" max="16384" width="9.140625" style="9"/>
  </cols>
  <sheetData>
    <row r="1" spans="1:59" ht="25.35" customHeight="1" x14ac:dyDescent="0.25">
      <c r="A1" s="129" t="s">
        <v>1140</v>
      </c>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P1" s="9"/>
      <c r="AQ1" s="9"/>
      <c r="AR1" s="9"/>
      <c r="AS1" s="9"/>
      <c r="AT1" s="9"/>
      <c r="AU1" s="9"/>
      <c r="AV1" s="9"/>
      <c r="AW1" s="9"/>
      <c r="AX1" s="9"/>
      <c r="AY1" s="9"/>
      <c r="AZ1" s="9"/>
      <c r="BA1" s="9"/>
      <c r="BB1" s="9"/>
      <c r="BC1" s="9"/>
      <c r="BD1" s="9"/>
      <c r="BE1" s="9"/>
      <c r="BF1" s="9"/>
    </row>
    <row r="2" spans="1:59" ht="19.899999999999999" customHeight="1" x14ac:dyDescent="0.25">
      <c r="A2" s="32" t="s">
        <v>1033</v>
      </c>
      <c r="B2" s="114" t="s">
        <v>1032</v>
      </c>
      <c r="C2" s="114"/>
      <c r="D2" s="32"/>
      <c r="E2" s="115"/>
      <c r="F2" s="9"/>
      <c r="G2" s="9"/>
      <c r="H2" s="9"/>
      <c r="I2" s="9"/>
      <c r="J2" s="9"/>
      <c r="K2" s="9"/>
      <c r="L2" s="9"/>
      <c r="M2" s="9"/>
      <c r="N2" s="9"/>
      <c r="O2" s="9"/>
      <c r="P2" s="9"/>
      <c r="Q2" s="9"/>
      <c r="R2" s="9"/>
      <c r="S2" s="9"/>
      <c r="T2" s="9"/>
      <c r="U2" s="9"/>
      <c r="V2" s="9"/>
      <c r="W2" s="9"/>
      <c r="X2" s="9"/>
      <c r="Y2" s="9"/>
      <c r="Z2" s="9"/>
      <c r="AA2" s="9"/>
      <c r="AB2" s="9"/>
      <c r="AC2" s="9"/>
      <c r="AD2" s="9"/>
      <c r="AE2" s="9"/>
      <c r="AF2" s="9"/>
      <c r="AG2" s="9"/>
      <c r="AH2" s="9"/>
      <c r="AI2" s="9"/>
      <c r="AJ2" s="9"/>
      <c r="AK2" s="9"/>
      <c r="AL2" s="9"/>
      <c r="AM2" s="9"/>
      <c r="AN2" s="9"/>
      <c r="AP2" s="9"/>
      <c r="AQ2" s="9"/>
      <c r="AR2" s="9"/>
      <c r="AS2" s="9"/>
      <c r="AT2" s="9"/>
      <c r="AU2" s="9"/>
      <c r="AV2" s="9"/>
      <c r="AW2" s="9"/>
      <c r="AX2" s="120"/>
      <c r="AY2" s="120"/>
      <c r="AZ2" s="9"/>
      <c r="BA2" s="9"/>
      <c r="BB2" s="9"/>
      <c r="BC2" s="9"/>
      <c r="BD2" s="9"/>
      <c r="BE2" s="9"/>
      <c r="BF2" s="9"/>
    </row>
    <row r="3" spans="1:59" s="116" customFormat="1" ht="15" customHeight="1" x14ac:dyDescent="0.25">
      <c r="A3" s="123" t="s">
        <v>984</v>
      </c>
      <c r="B3" s="126"/>
      <c r="C3" s="125" t="s">
        <v>985</v>
      </c>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row>
    <row r="4" spans="1:59" s="117" customFormat="1" x14ac:dyDescent="0.25">
      <c r="A4" s="46" t="s">
        <v>143</v>
      </c>
      <c r="B4" s="117" t="s">
        <v>2265</v>
      </c>
      <c r="C4" s="117">
        <v>1</v>
      </c>
      <c r="D4" s="117">
        <v>2</v>
      </c>
      <c r="E4" s="117">
        <v>3</v>
      </c>
      <c r="F4" s="117">
        <v>4</v>
      </c>
      <c r="G4" s="117">
        <v>5</v>
      </c>
      <c r="H4" s="117">
        <v>6</v>
      </c>
      <c r="I4" s="117">
        <v>7</v>
      </c>
      <c r="J4" s="117">
        <v>8</v>
      </c>
      <c r="K4" s="117">
        <v>9</v>
      </c>
      <c r="L4" s="117">
        <v>10</v>
      </c>
      <c r="M4" s="117">
        <v>11</v>
      </c>
      <c r="N4" s="117">
        <v>12</v>
      </c>
      <c r="O4" s="117">
        <v>13</v>
      </c>
      <c r="P4" s="117">
        <v>14</v>
      </c>
      <c r="Q4" s="117">
        <v>15</v>
      </c>
      <c r="R4" s="117">
        <v>16</v>
      </c>
      <c r="S4" s="117">
        <v>17</v>
      </c>
      <c r="T4" s="117">
        <v>18</v>
      </c>
      <c r="U4" s="117">
        <v>19</v>
      </c>
      <c r="V4" s="117">
        <v>20</v>
      </c>
      <c r="W4" s="117">
        <v>21</v>
      </c>
      <c r="X4" s="117">
        <v>22</v>
      </c>
      <c r="Y4" s="117">
        <v>23</v>
      </c>
      <c r="Z4" s="117">
        <v>24</v>
      </c>
      <c r="AA4" s="117">
        <v>25</v>
      </c>
      <c r="AB4" s="117">
        <v>26</v>
      </c>
      <c r="AC4" s="117">
        <v>27</v>
      </c>
      <c r="AD4" s="117">
        <v>28</v>
      </c>
      <c r="AE4" s="117">
        <v>29</v>
      </c>
      <c r="AF4" s="117">
        <v>30</v>
      </c>
      <c r="AG4" s="117">
        <v>31</v>
      </c>
      <c r="AH4" s="117">
        <v>32</v>
      </c>
      <c r="AI4" s="117">
        <v>33</v>
      </c>
      <c r="AJ4" s="117">
        <v>34</v>
      </c>
      <c r="AK4" s="117">
        <v>35</v>
      </c>
      <c r="AL4" s="117">
        <v>36</v>
      </c>
      <c r="AM4" s="117">
        <v>37</v>
      </c>
      <c r="AN4" s="117">
        <v>38</v>
      </c>
      <c r="AO4" s="117">
        <v>39</v>
      </c>
      <c r="AP4" s="117">
        <v>40</v>
      </c>
      <c r="AQ4" s="117">
        <v>41</v>
      </c>
      <c r="AR4" s="117">
        <v>42</v>
      </c>
      <c r="AS4" s="117">
        <v>43</v>
      </c>
      <c r="AT4" s="117">
        <v>44</v>
      </c>
      <c r="AU4" s="117">
        <v>45</v>
      </c>
      <c r="AV4" s="117">
        <v>46</v>
      </c>
      <c r="AW4" s="117">
        <v>47</v>
      </c>
      <c r="AX4" s="117">
        <v>48</v>
      </c>
      <c r="AY4" s="117">
        <v>49</v>
      </c>
      <c r="AZ4" s="117">
        <v>50</v>
      </c>
      <c r="BA4" s="117">
        <v>51</v>
      </c>
      <c r="BB4" s="117">
        <v>52</v>
      </c>
      <c r="BC4" s="117">
        <v>53</v>
      </c>
      <c r="BD4" s="117">
        <v>54</v>
      </c>
      <c r="BE4" s="117">
        <v>55</v>
      </c>
      <c r="BF4" s="117">
        <v>56</v>
      </c>
    </row>
    <row r="5" spans="1:59" s="8" customFormat="1" x14ac:dyDescent="0.25">
      <c r="A5" s="8" t="s">
        <v>110</v>
      </c>
      <c r="B5" s="8" t="s">
        <v>111</v>
      </c>
      <c r="C5" s="8" t="s">
        <v>144</v>
      </c>
      <c r="D5" s="8" t="s">
        <v>145</v>
      </c>
      <c r="E5" s="8" t="s">
        <v>146</v>
      </c>
      <c r="F5" s="8" t="s">
        <v>147</v>
      </c>
      <c r="G5" s="8" t="s">
        <v>148</v>
      </c>
      <c r="H5" s="8" t="s">
        <v>149</v>
      </c>
      <c r="I5" s="8" t="s">
        <v>150</v>
      </c>
      <c r="J5" s="8" t="s">
        <v>151</v>
      </c>
      <c r="K5" s="8" t="s">
        <v>152</v>
      </c>
      <c r="L5" s="8" t="s">
        <v>153</v>
      </c>
      <c r="M5" s="8" t="s">
        <v>154</v>
      </c>
      <c r="N5" s="8" t="s">
        <v>155</v>
      </c>
      <c r="O5" s="8" t="s">
        <v>156</v>
      </c>
      <c r="P5" s="8" t="s">
        <v>157</v>
      </c>
      <c r="Q5" s="8" t="s">
        <v>158</v>
      </c>
      <c r="R5" s="8" t="s">
        <v>159</v>
      </c>
      <c r="S5" s="8" t="s">
        <v>160</v>
      </c>
      <c r="T5" s="8" t="s">
        <v>161</v>
      </c>
      <c r="U5" s="8" t="s">
        <v>162</v>
      </c>
      <c r="V5" s="8" t="s">
        <v>163</v>
      </c>
      <c r="W5" s="8" t="s">
        <v>164</v>
      </c>
      <c r="X5" s="8" t="s">
        <v>165</v>
      </c>
      <c r="Y5" s="8" t="s">
        <v>166</v>
      </c>
      <c r="Z5" s="8" t="s">
        <v>167</v>
      </c>
      <c r="AA5" s="8" t="s">
        <v>168</v>
      </c>
      <c r="AB5" s="8" t="s">
        <v>169</v>
      </c>
      <c r="AC5" s="8" t="s">
        <v>170</v>
      </c>
      <c r="AD5" s="8" t="s">
        <v>171</v>
      </c>
      <c r="AE5" s="8" t="s">
        <v>172</v>
      </c>
      <c r="AF5" s="8" t="s">
        <v>173</v>
      </c>
      <c r="AG5" s="8" t="s">
        <v>174</v>
      </c>
      <c r="AH5" s="8" t="s">
        <v>175</v>
      </c>
      <c r="AI5" s="8" t="s">
        <v>176</v>
      </c>
      <c r="AJ5" s="8" t="s">
        <v>177</v>
      </c>
      <c r="AK5" s="8" t="s">
        <v>178</v>
      </c>
      <c r="AL5" s="8" t="s">
        <v>179</v>
      </c>
      <c r="AM5" s="8" t="s">
        <v>180</v>
      </c>
      <c r="AN5" s="8" t="s">
        <v>181</v>
      </c>
      <c r="AO5" s="8" t="s">
        <v>182</v>
      </c>
      <c r="AP5" s="8" t="s">
        <v>183</v>
      </c>
      <c r="AQ5" s="8" t="s">
        <v>184</v>
      </c>
      <c r="AR5" s="8" t="s">
        <v>185</v>
      </c>
      <c r="AS5" s="8" t="s">
        <v>186</v>
      </c>
      <c r="AT5" s="8" t="s">
        <v>187</v>
      </c>
      <c r="AU5" s="8" t="s">
        <v>188</v>
      </c>
      <c r="AV5" s="118" t="s">
        <v>189</v>
      </c>
      <c r="AW5" s="8" t="s">
        <v>190</v>
      </c>
      <c r="AX5" s="8" t="s">
        <v>191</v>
      </c>
      <c r="AY5" s="8" t="s">
        <v>192</v>
      </c>
      <c r="AZ5" s="8" t="s">
        <v>193</v>
      </c>
      <c r="BA5" s="8" t="s">
        <v>194</v>
      </c>
      <c r="BB5" s="8" t="s">
        <v>195</v>
      </c>
      <c r="BC5" s="8" t="s">
        <v>196</v>
      </c>
      <c r="BD5" s="8" t="s">
        <v>197</v>
      </c>
      <c r="BE5" s="8" t="s">
        <v>198</v>
      </c>
      <c r="BF5" s="8" t="s">
        <v>199</v>
      </c>
      <c r="BG5" s="8" t="s">
        <v>973</v>
      </c>
    </row>
    <row r="6" spans="1:59" s="12" customFormat="1" x14ac:dyDescent="0.25">
      <c r="A6" s="12">
        <v>1</v>
      </c>
      <c r="B6" s="12" t="s">
        <v>2004</v>
      </c>
      <c r="C6" s="121">
        <v>25</v>
      </c>
      <c r="D6" s="121">
        <v>0.3</v>
      </c>
      <c r="E6" s="121">
        <v>25</v>
      </c>
      <c r="F6" s="121">
        <v>10</v>
      </c>
      <c r="G6" s="121">
        <v>5</v>
      </c>
      <c r="H6" s="121">
        <v>0.9</v>
      </c>
      <c r="I6" s="121">
        <v>15.05</v>
      </c>
      <c r="J6" s="121">
        <v>50.95</v>
      </c>
      <c r="K6" s="121">
        <v>0.1</v>
      </c>
      <c r="L6" s="121">
        <v>1</v>
      </c>
      <c r="M6" s="146">
        <v>3</v>
      </c>
      <c r="N6" s="121">
        <v>7.0000000000000001E-3</v>
      </c>
      <c r="O6" s="121">
        <v>0.85</v>
      </c>
      <c r="P6" s="121">
        <v>35</v>
      </c>
      <c r="Q6" s="121">
        <v>0.8</v>
      </c>
      <c r="R6" s="121">
        <v>2</v>
      </c>
      <c r="S6" s="122">
        <v>660.33799999999997</v>
      </c>
      <c r="T6" s="122">
        <v>6.9900000000000004E-2</v>
      </c>
      <c r="U6" s="122">
        <v>7.7000000000000002E-3</v>
      </c>
      <c r="V6" s="122">
        <v>1.9599999999999999E-2</v>
      </c>
      <c r="W6" s="122">
        <v>0.23300000000000001</v>
      </c>
      <c r="X6" s="122">
        <v>0.6</v>
      </c>
      <c r="Y6" s="122">
        <v>0.628</v>
      </c>
      <c r="Z6" s="122">
        <v>220</v>
      </c>
      <c r="AA6" s="122">
        <v>100</v>
      </c>
      <c r="AB6" s="122">
        <v>0.13</v>
      </c>
      <c r="AC6" s="122">
        <v>5.2400000000000002E-2</v>
      </c>
      <c r="AD6" s="122">
        <v>2.6499999999999999E-2</v>
      </c>
      <c r="AE6" s="122">
        <v>2.58E-2</v>
      </c>
      <c r="AF6" s="122">
        <v>7.4000000000000003E-3</v>
      </c>
      <c r="AG6" s="122">
        <v>3.7000000000000002E-3</v>
      </c>
      <c r="AH6" s="122">
        <v>3.5000000000000001E-3</v>
      </c>
      <c r="AI6" s="122">
        <v>1.2E-2</v>
      </c>
      <c r="AJ6" s="122">
        <v>0.01</v>
      </c>
      <c r="AK6" s="122">
        <v>8.9999999999999993E-3</v>
      </c>
      <c r="AL6" s="122">
        <v>1.266</v>
      </c>
      <c r="AM6" s="122">
        <v>0.63300000000000001</v>
      </c>
      <c r="AN6" s="122">
        <v>0.72899999999999998</v>
      </c>
      <c r="AO6" s="12">
        <v>1</v>
      </c>
      <c r="AP6" s="121">
        <v>5.15</v>
      </c>
      <c r="AQ6" s="121">
        <v>15.95</v>
      </c>
      <c r="AR6" s="121">
        <v>5</v>
      </c>
      <c r="AS6" s="121">
        <v>0.5</v>
      </c>
      <c r="AT6" s="121">
        <v>4.75</v>
      </c>
      <c r="AU6" s="121">
        <v>0.4</v>
      </c>
      <c r="AV6" s="121">
        <v>0.2</v>
      </c>
      <c r="AW6" s="121">
        <v>100</v>
      </c>
      <c r="AX6" s="121">
        <v>30.43</v>
      </c>
      <c r="AY6" s="121">
        <v>50.71</v>
      </c>
      <c r="AZ6" s="121">
        <v>0.2</v>
      </c>
      <c r="BA6" s="121">
        <v>5</v>
      </c>
      <c r="BB6" s="121">
        <v>0.01</v>
      </c>
      <c r="BC6" s="121">
        <v>0.1</v>
      </c>
      <c r="BD6" s="121">
        <v>0</v>
      </c>
      <c r="BE6" s="121">
        <v>0</v>
      </c>
      <c r="BF6" s="121">
        <v>0</v>
      </c>
      <c r="BG6" s="12" t="s">
        <v>2005</v>
      </c>
    </row>
    <row r="7" spans="1:59" s="12" customFormat="1" x14ac:dyDescent="0.25">
      <c r="A7" s="12">
        <v>2</v>
      </c>
      <c r="B7" s="12" t="s">
        <v>2006</v>
      </c>
      <c r="C7" s="121">
        <v>43</v>
      </c>
      <c r="D7" s="121">
        <v>0.5</v>
      </c>
      <c r="E7" s="121">
        <v>25</v>
      </c>
      <c r="F7" s="121">
        <v>8</v>
      </c>
      <c r="G7" s="121">
        <v>6</v>
      </c>
      <c r="H7" s="121">
        <v>0.8</v>
      </c>
      <c r="I7" s="121">
        <v>15.15</v>
      </c>
      <c r="J7" s="121">
        <v>50.95</v>
      </c>
      <c r="K7" s="121">
        <v>1</v>
      </c>
      <c r="L7" s="121">
        <v>0.1</v>
      </c>
      <c r="M7" s="146">
        <v>3</v>
      </c>
      <c r="N7" s="121">
        <v>7.0000000000000001E-3</v>
      </c>
      <c r="O7" s="121">
        <v>0.85</v>
      </c>
      <c r="P7" s="121">
        <v>20</v>
      </c>
      <c r="Q7" s="121">
        <v>2</v>
      </c>
      <c r="R7" s="121">
        <v>2</v>
      </c>
      <c r="S7" s="122">
        <v>660.44899999999996</v>
      </c>
      <c r="T7" s="122">
        <v>1.7500000000000002E-2</v>
      </c>
      <c r="U7" s="122">
        <v>2.5000000000000001E-3</v>
      </c>
      <c r="V7" s="122">
        <v>3.2000000000000002E-3</v>
      </c>
      <c r="W7" s="122">
        <v>0.4</v>
      </c>
      <c r="X7" s="122">
        <v>0.6</v>
      </c>
      <c r="Y7" s="122">
        <v>3.4449999999999998</v>
      </c>
      <c r="Z7" s="122">
        <v>98.421000000000006</v>
      </c>
      <c r="AA7" s="122">
        <v>80.22</v>
      </c>
      <c r="AB7" s="122">
        <v>0.15</v>
      </c>
      <c r="AC7" s="122">
        <v>4.3999999999999997E-2</v>
      </c>
      <c r="AD7" s="122">
        <v>1.6400000000000001E-2</v>
      </c>
      <c r="AE7" s="122">
        <v>1.2800000000000001E-2</v>
      </c>
      <c r="AF7" s="122">
        <v>6.1999999999999998E-3</v>
      </c>
      <c r="AG7" s="122">
        <v>2.3E-3</v>
      </c>
      <c r="AH7" s="122">
        <v>1.8E-3</v>
      </c>
      <c r="AI7" s="122">
        <v>1.4999999999999999E-2</v>
      </c>
      <c r="AJ7" s="122">
        <v>1.2E-2</v>
      </c>
      <c r="AK7" s="122">
        <v>8.9999999999999993E-3</v>
      </c>
      <c r="AL7" s="122">
        <v>0.433</v>
      </c>
      <c r="AM7" s="122">
        <v>0.433</v>
      </c>
      <c r="AN7" s="122">
        <v>0.21299999999999999</v>
      </c>
      <c r="AO7" s="12">
        <v>4</v>
      </c>
      <c r="AP7" s="121">
        <v>5.15</v>
      </c>
      <c r="AQ7" s="121">
        <v>15.95</v>
      </c>
      <c r="AR7" s="121">
        <v>8</v>
      </c>
      <c r="AS7" s="121">
        <v>0.5</v>
      </c>
      <c r="AT7" s="121">
        <v>4.75</v>
      </c>
      <c r="AU7" s="121">
        <v>0.4</v>
      </c>
      <c r="AV7" s="121">
        <v>0.2</v>
      </c>
      <c r="AW7" s="121">
        <v>100</v>
      </c>
      <c r="AX7" s="121">
        <v>4.47</v>
      </c>
      <c r="AY7" s="121">
        <v>7.77</v>
      </c>
      <c r="AZ7" s="121">
        <v>0.12</v>
      </c>
      <c r="BA7" s="121">
        <v>1.7</v>
      </c>
      <c r="BB7" s="121">
        <v>0.01</v>
      </c>
      <c r="BC7" s="121">
        <v>0.1</v>
      </c>
      <c r="BD7" s="121">
        <v>0</v>
      </c>
      <c r="BE7" s="121">
        <v>0</v>
      </c>
      <c r="BF7" s="121">
        <v>0</v>
      </c>
      <c r="BG7" s="12" t="s">
        <v>2007</v>
      </c>
    </row>
    <row r="8" spans="1:59" s="12" customFormat="1" x14ac:dyDescent="0.25">
      <c r="A8" s="12">
        <v>3</v>
      </c>
      <c r="B8" s="12" t="s">
        <v>2300</v>
      </c>
      <c r="C8" s="121">
        <v>31</v>
      </c>
      <c r="D8" s="121">
        <v>0.55000000000000004</v>
      </c>
      <c r="E8" s="121">
        <v>27.5</v>
      </c>
      <c r="F8" s="121">
        <v>10</v>
      </c>
      <c r="G8" s="121">
        <v>5.5</v>
      </c>
      <c r="H8" s="121">
        <v>0.7</v>
      </c>
      <c r="I8" s="121">
        <v>15.01</v>
      </c>
      <c r="J8" s="121">
        <v>60.95</v>
      </c>
      <c r="K8" s="121">
        <v>0.5</v>
      </c>
      <c r="L8" s="121">
        <v>0.5</v>
      </c>
      <c r="M8" s="146">
        <v>2</v>
      </c>
      <c r="N8" s="121">
        <v>7.0000000000000001E-3</v>
      </c>
      <c r="O8" s="121">
        <v>0.85</v>
      </c>
      <c r="P8" s="121">
        <v>5</v>
      </c>
      <c r="Q8" s="121">
        <v>1.4</v>
      </c>
      <c r="R8" s="121">
        <v>1.7</v>
      </c>
      <c r="S8" s="122">
        <v>660.35699999999997</v>
      </c>
      <c r="T8" s="122">
        <v>1.9900000000000001E-2</v>
      </c>
      <c r="U8" s="122">
        <v>3.2000000000000002E-3</v>
      </c>
      <c r="V8" s="122">
        <v>3.8999999999999998E-3</v>
      </c>
      <c r="W8" s="122">
        <v>0.05</v>
      </c>
      <c r="X8" s="122">
        <v>0.6</v>
      </c>
      <c r="Y8" s="122">
        <v>3.6619999999999999</v>
      </c>
      <c r="Z8" s="122">
        <v>92.83</v>
      </c>
      <c r="AA8" s="122">
        <v>75</v>
      </c>
      <c r="AB8" s="122">
        <v>0.13</v>
      </c>
      <c r="AC8" s="122">
        <v>0.04</v>
      </c>
      <c r="AD8" s="122">
        <v>1.6400000000000001E-2</v>
      </c>
      <c r="AE8" s="122">
        <v>1.2800000000000001E-2</v>
      </c>
      <c r="AF8" s="122">
        <v>6.0000000000000001E-3</v>
      </c>
      <c r="AG8" s="122">
        <v>2.2000000000000001E-3</v>
      </c>
      <c r="AH8" s="122">
        <v>1.8E-3</v>
      </c>
      <c r="AI8" s="122">
        <v>2.7E-2</v>
      </c>
      <c r="AJ8" s="122">
        <v>1.7999999999999999E-2</v>
      </c>
      <c r="AK8" s="122">
        <v>1.2999999999999999E-2</v>
      </c>
      <c r="AL8" s="122">
        <v>0.65700000000000003</v>
      </c>
      <c r="AM8" s="122">
        <v>0.65700000000000003</v>
      </c>
      <c r="AN8" s="122">
        <v>0.32</v>
      </c>
      <c r="AO8" s="12">
        <v>4</v>
      </c>
      <c r="AP8" s="121">
        <v>5.15</v>
      </c>
      <c r="AQ8" s="121">
        <v>15.95</v>
      </c>
      <c r="AR8" s="121">
        <v>9</v>
      </c>
      <c r="AS8" s="121">
        <v>0.5</v>
      </c>
      <c r="AT8" s="121">
        <v>4.75</v>
      </c>
      <c r="AU8" s="121">
        <v>0.4</v>
      </c>
      <c r="AV8" s="121">
        <v>0.2</v>
      </c>
      <c r="AW8" s="121">
        <v>100</v>
      </c>
      <c r="AX8" s="121">
        <v>3.2</v>
      </c>
      <c r="AY8" s="121">
        <v>10.9</v>
      </c>
      <c r="AZ8" s="121">
        <v>0.2</v>
      </c>
      <c r="BA8" s="121">
        <v>4.8</v>
      </c>
      <c r="BB8" s="121">
        <v>0.01</v>
      </c>
      <c r="BC8" s="121">
        <v>0.1</v>
      </c>
      <c r="BD8" s="121">
        <v>0</v>
      </c>
      <c r="BE8" s="121">
        <v>0</v>
      </c>
      <c r="BF8" s="121">
        <v>0</v>
      </c>
      <c r="BG8" s="12" t="s">
        <v>2301</v>
      </c>
    </row>
    <row r="9" spans="1:59" s="12" customFormat="1" x14ac:dyDescent="0.25">
      <c r="A9" s="12">
        <v>4</v>
      </c>
      <c r="B9" s="12" t="s">
        <v>2302</v>
      </c>
      <c r="C9" s="121">
        <v>20</v>
      </c>
      <c r="D9" s="121">
        <v>0.55000000000000004</v>
      </c>
      <c r="E9" s="121">
        <v>27.5</v>
      </c>
      <c r="F9" s="121">
        <v>12.5</v>
      </c>
      <c r="G9" s="121">
        <v>6</v>
      </c>
      <c r="H9" s="121">
        <v>0.95</v>
      </c>
      <c r="I9" s="121">
        <v>15.05</v>
      </c>
      <c r="J9" s="121">
        <v>50.95</v>
      </c>
      <c r="K9" s="121">
        <v>0.5</v>
      </c>
      <c r="L9" s="121">
        <v>0.5</v>
      </c>
      <c r="M9" s="146">
        <v>3</v>
      </c>
      <c r="N9" s="121">
        <v>0.02</v>
      </c>
      <c r="O9" s="121">
        <v>0.85</v>
      </c>
      <c r="P9" s="121">
        <v>25</v>
      </c>
      <c r="Q9" s="121">
        <v>1</v>
      </c>
      <c r="R9" s="121">
        <v>2.2000000000000002</v>
      </c>
      <c r="S9" s="122">
        <v>660.20299999999997</v>
      </c>
      <c r="T9" s="122">
        <v>1.4E-2</v>
      </c>
      <c r="U9" s="122">
        <v>2E-3</v>
      </c>
      <c r="V9" s="122">
        <v>1.4E-2</v>
      </c>
      <c r="W9" s="122">
        <v>0.45</v>
      </c>
      <c r="X9" s="122">
        <v>0.6</v>
      </c>
      <c r="Y9" s="122">
        <v>2.8220000000000001</v>
      </c>
      <c r="Z9" s="122">
        <v>1212.54</v>
      </c>
      <c r="AA9" s="122">
        <v>137.696</v>
      </c>
      <c r="AB9" s="122">
        <v>0.01</v>
      </c>
      <c r="AC9" s="122">
        <v>5.8000000000000003E-2</v>
      </c>
      <c r="AD9" s="122">
        <v>1.9E-2</v>
      </c>
      <c r="AE9" s="122">
        <v>1.77E-2</v>
      </c>
      <c r="AF9" s="122">
        <v>8.0999999999999996E-3</v>
      </c>
      <c r="AG9" s="122">
        <v>2.7000000000000001E-3</v>
      </c>
      <c r="AH9" s="122">
        <v>2.5000000000000001E-3</v>
      </c>
      <c r="AI9" s="122">
        <v>0.03</v>
      </c>
      <c r="AJ9" s="122">
        <v>2.1999999999999999E-2</v>
      </c>
      <c r="AK9" s="122">
        <v>1.4999999999999999E-2</v>
      </c>
      <c r="AL9" s="122">
        <v>1.1379999999999999</v>
      </c>
      <c r="AM9" s="122">
        <v>0.60299999999999998</v>
      </c>
      <c r="AN9" s="122">
        <v>0.33200000000000002</v>
      </c>
      <c r="AO9" s="12">
        <v>9</v>
      </c>
      <c r="AP9" s="121">
        <v>5.15</v>
      </c>
      <c r="AQ9" s="121">
        <v>15.95</v>
      </c>
      <c r="AR9" s="121">
        <v>3</v>
      </c>
      <c r="AS9" s="121">
        <v>1</v>
      </c>
      <c r="AT9" s="121">
        <v>4.3</v>
      </c>
      <c r="AU9" s="121">
        <v>0.4</v>
      </c>
      <c r="AV9" s="121">
        <v>0.1</v>
      </c>
      <c r="AW9" s="121">
        <v>100</v>
      </c>
      <c r="AX9" s="121">
        <v>3.2</v>
      </c>
      <c r="AY9" s="121">
        <v>10.9</v>
      </c>
      <c r="AZ9" s="121">
        <v>5.1999999999999998E-2</v>
      </c>
      <c r="BA9" s="121">
        <v>7.7</v>
      </c>
      <c r="BB9" s="121">
        <v>0.01</v>
      </c>
      <c r="BC9" s="121">
        <v>0.1</v>
      </c>
      <c r="BD9" s="121">
        <v>0</v>
      </c>
      <c r="BE9" s="121">
        <v>0.27</v>
      </c>
      <c r="BF9" s="121">
        <v>0.38</v>
      </c>
      <c r="BG9" s="12" t="s">
        <v>2303</v>
      </c>
    </row>
    <row r="10" spans="1:59" s="12" customFormat="1" x14ac:dyDescent="0.25">
      <c r="A10" s="12">
        <v>5</v>
      </c>
      <c r="B10" s="12" t="s">
        <v>2304</v>
      </c>
      <c r="C10" s="121">
        <v>24</v>
      </c>
      <c r="D10" s="121">
        <v>0.45</v>
      </c>
      <c r="E10" s="121">
        <v>27.5</v>
      </c>
      <c r="F10" s="121">
        <v>12.5</v>
      </c>
      <c r="G10" s="121">
        <v>6</v>
      </c>
      <c r="H10" s="121">
        <v>0.95</v>
      </c>
      <c r="I10" s="121">
        <v>15.15</v>
      </c>
      <c r="J10" s="121">
        <v>50.95</v>
      </c>
      <c r="K10" s="121">
        <v>0.5</v>
      </c>
      <c r="L10" s="121">
        <v>0.5</v>
      </c>
      <c r="M10" s="146">
        <v>3</v>
      </c>
      <c r="N10" s="121">
        <v>0.02</v>
      </c>
      <c r="O10" s="121">
        <v>0.85</v>
      </c>
      <c r="P10" s="121">
        <v>25</v>
      </c>
      <c r="Q10" s="121">
        <v>1</v>
      </c>
      <c r="R10" s="121">
        <v>2.2000000000000002</v>
      </c>
      <c r="S10" s="122">
        <v>660.20299999999997</v>
      </c>
      <c r="T10" s="122">
        <v>1.9E-2</v>
      </c>
      <c r="U10" s="122">
        <v>2.8999999999999998E-3</v>
      </c>
      <c r="V10" s="122">
        <v>1.4E-2</v>
      </c>
      <c r="W10" s="122">
        <v>0.05</v>
      </c>
      <c r="X10" s="122">
        <v>0.6</v>
      </c>
      <c r="Y10" s="122">
        <v>2.8220000000000001</v>
      </c>
      <c r="Z10" s="122">
        <v>1212.54</v>
      </c>
      <c r="AA10" s="122">
        <v>137.696</v>
      </c>
      <c r="AB10" s="122">
        <v>0.01</v>
      </c>
      <c r="AC10" s="122">
        <v>5.8000000000000003E-2</v>
      </c>
      <c r="AD10" s="122">
        <v>1.9E-2</v>
      </c>
      <c r="AE10" s="122">
        <v>1.77E-2</v>
      </c>
      <c r="AF10" s="122">
        <v>8.0999999999999996E-3</v>
      </c>
      <c r="AG10" s="122">
        <v>2.7000000000000001E-3</v>
      </c>
      <c r="AH10" s="122">
        <v>2.5000000000000001E-3</v>
      </c>
      <c r="AI10" s="122">
        <v>0.03</v>
      </c>
      <c r="AJ10" s="122">
        <v>2.1999999999999999E-2</v>
      </c>
      <c r="AK10" s="122">
        <v>1.4999999999999999E-2</v>
      </c>
      <c r="AL10" s="122">
        <v>1.1379999999999999</v>
      </c>
      <c r="AM10" s="122">
        <v>0.60299999999999998</v>
      </c>
      <c r="AN10" s="122">
        <v>0.33200000000000002</v>
      </c>
      <c r="AO10" s="12">
        <v>9</v>
      </c>
      <c r="AP10" s="121">
        <v>5.15</v>
      </c>
      <c r="AQ10" s="121">
        <v>15.95</v>
      </c>
      <c r="AR10" s="121">
        <v>3</v>
      </c>
      <c r="AS10" s="121">
        <v>1</v>
      </c>
      <c r="AT10" s="121">
        <v>4.3</v>
      </c>
      <c r="AU10" s="121">
        <v>0.4</v>
      </c>
      <c r="AV10" s="121">
        <v>0.1</v>
      </c>
      <c r="AW10" s="121">
        <v>100</v>
      </c>
      <c r="AX10" s="121">
        <v>3.2</v>
      </c>
      <c r="AY10" s="121">
        <v>10.9</v>
      </c>
      <c r="AZ10" s="121">
        <v>5.1999999999999998E-2</v>
      </c>
      <c r="BA10" s="121">
        <v>7.7</v>
      </c>
      <c r="BB10" s="121">
        <v>0.01</v>
      </c>
      <c r="BC10" s="121">
        <v>0.1</v>
      </c>
      <c r="BD10" s="121">
        <v>0</v>
      </c>
      <c r="BE10" s="121">
        <v>0.38</v>
      </c>
      <c r="BF10" s="121">
        <v>0.38</v>
      </c>
      <c r="BG10" s="12" t="s">
        <v>2305</v>
      </c>
    </row>
    <row r="11" spans="1:59" s="12" customFormat="1" x14ac:dyDescent="0.25">
      <c r="A11" s="12">
        <v>6</v>
      </c>
      <c r="B11" s="12" t="s">
        <v>2306</v>
      </c>
      <c r="C11" s="121">
        <v>30</v>
      </c>
      <c r="D11" s="121">
        <v>0</v>
      </c>
      <c r="E11" s="121">
        <v>25</v>
      </c>
      <c r="F11" s="121">
        <v>9</v>
      </c>
      <c r="G11" s="121">
        <v>5</v>
      </c>
      <c r="H11" s="121">
        <v>0.85</v>
      </c>
      <c r="I11" s="121">
        <v>15.01</v>
      </c>
      <c r="J11" s="121">
        <v>50.95</v>
      </c>
      <c r="K11" s="121">
        <v>1</v>
      </c>
      <c r="L11" s="121">
        <v>0.5</v>
      </c>
      <c r="M11" s="146">
        <v>4</v>
      </c>
      <c r="N11" s="121">
        <v>0.01</v>
      </c>
      <c r="O11" s="121">
        <v>0.85</v>
      </c>
      <c r="P11" s="121">
        <v>30</v>
      </c>
      <c r="Q11" s="121">
        <v>0.5</v>
      </c>
      <c r="R11" s="121">
        <v>2</v>
      </c>
      <c r="S11" s="122">
        <v>660.25</v>
      </c>
      <c r="T11" s="122">
        <v>6.5000000000000002E-2</v>
      </c>
      <c r="U11" s="122">
        <v>8.9999999999999993E-3</v>
      </c>
      <c r="V11" s="122">
        <v>6.0000000000000001E-3</v>
      </c>
      <c r="W11" s="122">
        <v>0.3</v>
      </c>
      <c r="X11" s="122">
        <v>0.6</v>
      </c>
      <c r="Y11" s="122">
        <v>1.8009999999999999</v>
      </c>
      <c r="Z11" s="122">
        <v>353</v>
      </c>
      <c r="AA11" s="122">
        <v>551</v>
      </c>
      <c r="AB11" s="122">
        <v>0.06</v>
      </c>
      <c r="AC11" s="122">
        <v>3.2899999999999999E-2</v>
      </c>
      <c r="AD11" s="122">
        <v>1.67E-2</v>
      </c>
      <c r="AE11" s="122">
        <v>1.6199999999999999E-2</v>
      </c>
      <c r="AF11" s="122">
        <v>3.8999999999999998E-3</v>
      </c>
      <c r="AG11" s="122">
        <v>2E-3</v>
      </c>
      <c r="AH11" s="122">
        <v>1.9E-3</v>
      </c>
      <c r="AI11" s="122">
        <v>0.03</v>
      </c>
      <c r="AJ11" s="122">
        <v>0.02</v>
      </c>
      <c r="AK11" s="122">
        <v>8.9999999999999993E-3</v>
      </c>
      <c r="AL11" s="122">
        <v>1.266</v>
      </c>
      <c r="AM11" s="122">
        <v>0.63300000000000001</v>
      </c>
      <c r="AN11" s="122">
        <v>0.72899999999999998</v>
      </c>
      <c r="AO11" s="12">
        <v>1</v>
      </c>
      <c r="AP11" s="121">
        <v>5.15</v>
      </c>
      <c r="AQ11" s="121">
        <v>15.95</v>
      </c>
      <c r="AR11" s="121">
        <v>4</v>
      </c>
      <c r="AS11" s="121">
        <v>0.5</v>
      </c>
      <c r="AT11" s="121">
        <v>4.75</v>
      </c>
      <c r="AU11" s="121">
        <v>0.4</v>
      </c>
      <c r="AV11" s="121">
        <v>0.6</v>
      </c>
      <c r="AW11" s="121">
        <v>100</v>
      </c>
      <c r="AX11" s="121">
        <v>3.1</v>
      </c>
      <c r="AY11" s="121">
        <v>10.9</v>
      </c>
      <c r="AZ11" s="121">
        <v>0.28599999999999998</v>
      </c>
      <c r="BA11" s="121">
        <v>3.2</v>
      </c>
      <c r="BB11" s="121">
        <v>0.01</v>
      </c>
      <c r="BC11" s="121">
        <v>0.1</v>
      </c>
      <c r="BD11" s="121">
        <v>0</v>
      </c>
      <c r="BE11" s="121">
        <v>0</v>
      </c>
      <c r="BF11" s="121">
        <v>0</v>
      </c>
      <c r="BG11" s="12" t="s">
        <v>2307</v>
      </c>
    </row>
    <row r="12" spans="1:59" s="12" customFormat="1" x14ac:dyDescent="0.25">
      <c r="A12" s="12">
        <v>7</v>
      </c>
      <c r="B12" s="12" t="s">
        <v>2008</v>
      </c>
      <c r="C12" s="121">
        <v>49</v>
      </c>
      <c r="D12" s="121">
        <v>0.3</v>
      </c>
      <c r="E12" s="121">
        <v>25</v>
      </c>
      <c r="F12" s="121">
        <v>6</v>
      </c>
      <c r="G12" s="121">
        <v>5</v>
      </c>
      <c r="H12" s="121">
        <v>0.55000000000000004</v>
      </c>
      <c r="I12" s="121">
        <v>15.01</v>
      </c>
      <c r="J12" s="121">
        <v>50.95</v>
      </c>
      <c r="K12" s="121">
        <v>1</v>
      </c>
      <c r="L12" s="121">
        <v>2</v>
      </c>
      <c r="M12" s="146">
        <v>3</v>
      </c>
      <c r="N12" s="121">
        <v>7.0000000000000001E-3</v>
      </c>
      <c r="O12" s="121">
        <v>0.85</v>
      </c>
      <c r="P12" s="121">
        <v>8</v>
      </c>
      <c r="Q12" s="121">
        <v>2.5</v>
      </c>
      <c r="R12" s="121">
        <v>2.2000000000000002</v>
      </c>
      <c r="S12" s="122">
        <v>660.66</v>
      </c>
      <c r="T12" s="122">
        <v>2.87E-2</v>
      </c>
      <c r="U12" s="122">
        <v>5.5999999999999999E-3</v>
      </c>
      <c r="V12" s="122">
        <v>7.1000000000000004E-3</v>
      </c>
      <c r="W12" s="122">
        <v>0.27</v>
      </c>
      <c r="X12" s="122">
        <v>0.6</v>
      </c>
      <c r="Y12" s="122">
        <v>8.7100000000000009</v>
      </c>
      <c r="Z12" s="122">
        <v>298</v>
      </c>
      <c r="AA12" s="122">
        <v>5</v>
      </c>
      <c r="AB12" s="122">
        <v>0.06</v>
      </c>
      <c r="AC12" s="122">
        <v>0.05</v>
      </c>
      <c r="AD12" s="122">
        <v>2.3E-2</v>
      </c>
      <c r="AE12" s="122">
        <v>1.46E-2</v>
      </c>
      <c r="AF12" s="122">
        <v>6.3E-3</v>
      </c>
      <c r="AG12" s="122">
        <v>2.8999999999999998E-3</v>
      </c>
      <c r="AH12" s="122">
        <v>2.3E-3</v>
      </c>
      <c r="AI12" s="122">
        <v>2.9000000000000001E-2</v>
      </c>
      <c r="AJ12" s="122">
        <v>0.02</v>
      </c>
      <c r="AK12" s="122">
        <v>0.01</v>
      </c>
      <c r="AL12" s="122">
        <v>3.39</v>
      </c>
      <c r="AM12" s="122">
        <v>3.39</v>
      </c>
      <c r="AN12" s="122">
        <v>1.61</v>
      </c>
      <c r="AO12" s="12">
        <v>4</v>
      </c>
      <c r="AP12" s="121">
        <v>5.15</v>
      </c>
      <c r="AQ12" s="121">
        <v>15.95</v>
      </c>
      <c r="AR12" s="121">
        <v>7</v>
      </c>
      <c r="AS12" s="121">
        <v>0.5</v>
      </c>
      <c r="AT12" s="121">
        <v>4.75</v>
      </c>
      <c r="AU12" s="121">
        <v>0.4</v>
      </c>
      <c r="AV12" s="121">
        <v>0.2</v>
      </c>
      <c r="AW12" s="121">
        <v>100</v>
      </c>
      <c r="AX12" s="121">
        <v>2.63</v>
      </c>
      <c r="AY12" s="121">
        <v>6.99</v>
      </c>
      <c r="AZ12" s="121">
        <v>0.05</v>
      </c>
      <c r="BA12" s="121">
        <v>7.7</v>
      </c>
      <c r="BB12" s="121">
        <v>0.01</v>
      </c>
      <c r="BC12" s="121">
        <v>0.1</v>
      </c>
      <c r="BD12" s="121">
        <v>0</v>
      </c>
      <c r="BE12" s="121">
        <v>0</v>
      </c>
      <c r="BF12" s="121">
        <v>0</v>
      </c>
      <c r="BG12" s="12" t="s">
        <v>2009</v>
      </c>
    </row>
    <row r="13" spans="1:59" s="12" customFormat="1" x14ac:dyDescent="0.25">
      <c r="A13" s="12">
        <v>8</v>
      </c>
      <c r="B13" s="12" t="s">
        <v>2010</v>
      </c>
      <c r="C13" s="121">
        <v>60</v>
      </c>
      <c r="D13" s="121">
        <v>0.25</v>
      </c>
      <c r="E13" s="121">
        <v>25</v>
      </c>
      <c r="F13" s="121">
        <v>6</v>
      </c>
      <c r="G13" s="121">
        <v>5</v>
      </c>
      <c r="H13" s="121">
        <v>0.55000000000000004</v>
      </c>
      <c r="I13" s="121">
        <v>15.01</v>
      </c>
      <c r="J13" s="121">
        <v>50.95</v>
      </c>
      <c r="K13" s="121">
        <v>1</v>
      </c>
      <c r="L13" s="121">
        <v>2</v>
      </c>
      <c r="M13" s="146">
        <v>3</v>
      </c>
      <c r="N13" s="121">
        <v>7.0000000000000001E-3</v>
      </c>
      <c r="O13" s="121">
        <v>0.85</v>
      </c>
      <c r="P13" s="121">
        <v>8</v>
      </c>
      <c r="Q13" s="121">
        <v>2.5</v>
      </c>
      <c r="R13" s="121">
        <v>2.2000000000000002</v>
      </c>
      <c r="S13" s="122">
        <v>660.81</v>
      </c>
      <c r="T13" s="122">
        <v>2.87E-2</v>
      </c>
      <c r="U13" s="122">
        <v>5.5999999999999999E-3</v>
      </c>
      <c r="V13" s="122">
        <v>7.1000000000000004E-3</v>
      </c>
      <c r="W13" s="122">
        <v>0.22</v>
      </c>
      <c r="X13" s="122">
        <v>0.6</v>
      </c>
      <c r="Y13" s="122">
        <v>8.7100000000000009</v>
      </c>
      <c r="Z13" s="122">
        <v>298</v>
      </c>
      <c r="AA13" s="122">
        <v>5</v>
      </c>
      <c r="AB13" s="122">
        <v>0.06</v>
      </c>
      <c r="AC13" s="122">
        <v>0.05</v>
      </c>
      <c r="AD13" s="122">
        <v>2.3E-2</v>
      </c>
      <c r="AE13" s="122">
        <v>1.46E-2</v>
      </c>
      <c r="AF13" s="122">
        <v>6.3E-3</v>
      </c>
      <c r="AG13" s="122">
        <v>2.8999999999999998E-3</v>
      </c>
      <c r="AH13" s="122">
        <v>2.3E-3</v>
      </c>
      <c r="AI13" s="122">
        <v>2.9000000000000001E-2</v>
      </c>
      <c r="AJ13" s="122">
        <v>0.02</v>
      </c>
      <c r="AK13" s="122">
        <v>0.01</v>
      </c>
      <c r="AL13" s="122">
        <v>3.39</v>
      </c>
      <c r="AM13" s="122">
        <v>3.39</v>
      </c>
      <c r="AN13" s="122">
        <v>1.61</v>
      </c>
      <c r="AO13" s="12">
        <v>4</v>
      </c>
      <c r="AP13" s="121">
        <v>5.15</v>
      </c>
      <c r="AQ13" s="121">
        <v>15.95</v>
      </c>
      <c r="AR13" s="121">
        <v>7</v>
      </c>
      <c r="AS13" s="121">
        <v>0.5</v>
      </c>
      <c r="AT13" s="121">
        <v>4.75</v>
      </c>
      <c r="AU13" s="121">
        <v>0.4</v>
      </c>
      <c r="AV13" s="121">
        <v>0.2</v>
      </c>
      <c r="AW13" s="121">
        <v>100</v>
      </c>
      <c r="AX13" s="121">
        <v>2.63</v>
      </c>
      <c r="AY13" s="121">
        <v>6.99</v>
      </c>
      <c r="AZ13" s="121">
        <v>0.05</v>
      </c>
      <c r="BA13" s="121">
        <v>7.7</v>
      </c>
      <c r="BB13" s="121">
        <v>0.01</v>
      </c>
      <c r="BC13" s="121">
        <v>0.1</v>
      </c>
      <c r="BD13" s="121">
        <v>0</v>
      </c>
      <c r="BE13" s="121">
        <v>0</v>
      </c>
      <c r="BF13" s="121">
        <v>0</v>
      </c>
      <c r="BG13" s="12" t="s">
        <v>2011</v>
      </c>
    </row>
    <row r="14" spans="1:59" s="12" customFormat="1" x14ac:dyDescent="0.25">
      <c r="A14" s="12">
        <v>9</v>
      </c>
      <c r="B14" s="12" t="s">
        <v>2012</v>
      </c>
      <c r="C14" s="121">
        <v>0.01</v>
      </c>
      <c r="D14" s="121">
        <v>0.4</v>
      </c>
      <c r="E14" s="121">
        <v>15</v>
      </c>
      <c r="F14" s="121">
        <v>0</v>
      </c>
      <c r="G14" s="121">
        <v>0</v>
      </c>
      <c r="H14" s="121">
        <v>0.55000000000000004</v>
      </c>
      <c r="I14" s="121">
        <v>15.01</v>
      </c>
      <c r="J14" s="121">
        <v>50.95</v>
      </c>
      <c r="K14" s="121">
        <v>1</v>
      </c>
      <c r="L14" s="121">
        <v>1</v>
      </c>
      <c r="M14" s="146">
        <v>3</v>
      </c>
      <c r="N14" s="121">
        <v>1.2999999999999999E-2</v>
      </c>
      <c r="O14" s="121">
        <v>0.85</v>
      </c>
      <c r="P14" s="121">
        <v>0.01</v>
      </c>
      <c r="Q14" s="121">
        <v>2</v>
      </c>
      <c r="R14" s="121">
        <v>2.2000000000000002</v>
      </c>
      <c r="S14" s="122">
        <v>660.02</v>
      </c>
      <c r="T14" s="122">
        <v>2.8000000000000001E-2</v>
      </c>
      <c r="U14" s="122">
        <v>6.0000000000000001E-3</v>
      </c>
      <c r="V14" s="122">
        <v>7.0000000000000001E-3</v>
      </c>
      <c r="W14" s="122">
        <v>0.3</v>
      </c>
      <c r="X14" s="122">
        <v>0.6</v>
      </c>
      <c r="Y14" s="122">
        <v>4.41</v>
      </c>
      <c r="Z14" s="122">
        <v>190</v>
      </c>
      <c r="AA14" s="122">
        <v>5</v>
      </c>
      <c r="AB14" s="122">
        <v>0.06</v>
      </c>
      <c r="AC14" s="122">
        <v>0.05</v>
      </c>
      <c r="AD14" s="122">
        <v>2.3E-2</v>
      </c>
      <c r="AE14" s="122">
        <v>1.4999999999999999E-2</v>
      </c>
      <c r="AF14" s="122">
        <v>6.0000000000000001E-3</v>
      </c>
      <c r="AG14" s="122">
        <v>3.0000000000000001E-3</v>
      </c>
      <c r="AH14" s="122">
        <v>2E-3</v>
      </c>
      <c r="AI14" s="122">
        <v>2.9000000000000001E-2</v>
      </c>
      <c r="AJ14" s="122">
        <v>0.02</v>
      </c>
      <c r="AK14" s="122">
        <v>0.01</v>
      </c>
      <c r="AL14" s="122">
        <v>1.1379999999999999</v>
      </c>
      <c r="AM14" s="122">
        <v>0.60299999999999998</v>
      </c>
      <c r="AN14" s="122">
        <v>0.33200000000000002</v>
      </c>
      <c r="AO14" s="12">
        <v>4</v>
      </c>
      <c r="AP14" s="121">
        <v>5.15</v>
      </c>
      <c r="AQ14" s="121">
        <v>15.95</v>
      </c>
      <c r="AR14" s="121">
        <v>7</v>
      </c>
      <c r="AS14" s="121">
        <v>0.5</v>
      </c>
      <c r="AT14" s="121">
        <v>4.75</v>
      </c>
      <c r="AU14" s="121">
        <v>0.4</v>
      </c>
      <c r="AV14" s="121">
        <v>0.2</v>
      </c>
      <c r="AW14" s="121">
        <v>0</v>
      </c>
      <c r="AX14" s="121">
        <v>1.1000000000000001</v>
      </c>
      <c r="AY14" s="121">
        <v>4.9000000000000004</v>
      </c>
      <c r="AZ14" s="121">
        <v>5.1999999999999998E-2</v>
      </c>
      <c r="BA14" s="121">
        <v>7.7</v>
      </c>
      <c r="BB14" s="121">
        <v>0.01</v>
      </c>
      <c r="BC14" s="121">
        <v>0.1</v>
      </c>
      <c r="BD14" s="121">
        <v>0</v>
      </c>
      <c r="BE14" s="121">
        <v>0</v>
      </c>
      <c r="BF14" s="121">
        <v>0</v>
      </c>
      <c r="BG14" s="12" t="s">
        <v>2013</v>
      </c>
    </row>
    <row r="15" spans="1:59" s="12" customFormat="1" x14ac:dyDescent="0.25">
      <c r="A15" s="12">
        <v>10</v>
      </c>
      <c r="B15" s="12" t="s">
        <v>2014</v>
      </c>
      <c r="C15" s="121">
        <v>35</v>
      </c>
      <c r="D15" s="121">
        <v>0.45</v>
      </c>
      <c r="E15" s="121">
        <v>15</v>
      </c>
      <c r="F15" s="121">
        <v>0</v>
      </c>
      <c r="G15" s="121">
        <v>6</v>
      </c>
      <c r="H15" s="121">
        <v>0.6</v>
      </c>
      <c r="I15" s="121">
        <v>15.01</v>
      </c>
      <c r="J15" s="121">
        <v>50.95</v>
      </c>
      <c r="K15" s="121">
        <v>1</v>
      </c>
      <c r="L15" s="121">
        <v>1</v>
      </c>
      <c r="M15" s="146">
        <v>2</v>
      </c>
      <c r="N15" s="121">
        <v>7.0000000000000001E-3</v>
      </c>
      <c r="O15" s="121">
        <v>0.85</v>
      </c>
      <c r="P15" s="121">
        <v>90</v>
      </c>
      <c r="Q15" s="121">
        <v>1</v>
      </c>
      <c r="R15" s="121">
        <v>2</v>
      </c>
      <c r="S15" s="122">
        <v>660.47299999999996</v>
      </c>
      <c r="T15" s="122">
        <v>2.4899999999999999E-2</v>
      </c>
      <c r="U15" s="122">
        <v>3.3E-3</v>
      </c>
      <c r="V15" s="122">
        <v>4.1999999999999997E-3</v>
      </c>
      <c r="W15" s="122">
        <v>0.21</v>
      </c>
      <c r="X15" s="122">
        <v>0.6</v>
      </c>
      <c r="Y15" s="122">
        <v>0.25900000000000001</v>
      </c>
      <c r="Z15" s="122">
        <v>146.97499999999999</v>
      </c>
      <c r="AA15" s="122">
        <v>20</v>
      </c>
      <c r="AB15" s="122">
        <v>0.12</v>
      </c>
      <c r="AC15" s="122">
        <v>0.06</v>
      </c>
      <c r="AD15" s="122">
        <v>2.3E-2</v>
      </c>
      <c r="AE15" s="122">
        <v>1.34E-2</v>
      </c>
      <c r="AF15" s="122">
        <v>8.3999999999999995E-3</v>
      </c>
      <c r="AG15" s="122">
        <v>3.2000000000000002E-3</v>
      </c>
      <c r="AH15" s="122">
        <v>1.9E-3</v>
      </c>
      <c r="AI15" s="122">
        <v>2.3E-2</v>
      </c>
      <c r="AJ15" s="122">
        <v>0.02</v>
      </c>
      <c r="AK15" s="122">
        <v>1.7000000000000001E-2</v>
      </c>
      <c r="AL15" s="122">
        <v>3.39</v>
      </c>
      <c r="AM15" s="122">
        <v>3.39</v>
      </c>
      <c r="AN15" s="122">
        <v>1.61</v>
      </c>
      <c r="AO15" s="12">
        <v>5</v>
      </c>
      <c r="AP15" s="121">
        <v>5.01</v>
      </c>
      <c r="AQ15" s="121">
        <v>15.1</v>
      </c>
      <c r="AR15" s="121">
        <v>6</v>
      </c>
      <c r="AS15" s="121">
        <v>0.5</v>
      </c>
      <c r="AT15" s="121">
        <v>4.75</v>
      </c>
      <c r="AU15" s="121">
        <v>0.4</v>
      </c>
      <c r="AV15" s="121">
        <v>0.2</v>
      </c>
      <c r="AW15" s="121">
        <v>100</v>
      </c>
      <c r="AX15" s="121">
        <v>125.6</v>
      </c>
      <c r="AY15" s="121">
        <v>250.95</v>
      </c>
      <c r="AZ15" s="121">
        <v>7.0999999999999994E-2</v>
      </c>
      <c r="BA15" s="121">
        <v>6</v>
      </c>
      <c r="BB15" s="121">
        <v>0.01</v>
      </c>
      <c r="BC15" s="121">
        <v>0.1</v>
      </c>
      <c r="BD15" s="121">
        <v>0</v>
      </c>
      <c r="BE15" s="121">
        <v>0</v>
      </c>
      <c r="BF15" s="121">
        <v>0</v>
      </c>
      <c r="BG15" s="12" t="s">
        <v>2015</v>
      </c>
    </row>
    <row r="16" spans="1:59" s="12" customFormat="1" x14ac:dyDescent="0.25">
      <c r="A16" s="12">
        <v>11</v>
      </c>
      <c r="B16" s="12" t="s">
        <v>2016</v>
      </c>
      <c r="C16" s="121">
        <v>30</v>
      </c>
      <c r="D16" s="121">
        <v>0.42</v>
      </c>
      <c r="E16" s="121">
        <v>15</v>
      </c>
      <c r="F16" s="121">
        <v>0</v>
      </c>
      <c r="G16" s="121">
        <v>5</v>
      </c>
      <c r="H16" s="121">
        <v>0.6</v>
      </c>
      <c r="I16" s="121">
        <v>20.100000000000001</v>
      </c>
      <c r="J16" s="121">
        <v>49.95</v>
      </c>
      <c r="K16" s="121">
        <v>1</v>
      </c>
      <c r="L16" s="121">
        <v>1</v>
      </c>
      <c r="M16" s="146">
        <v>2</v>
      </c>
      <c r="N16" s="121">
        <v>7.0000000000000001E-3</v>
      </c>
      <c r="O16" s="121">
        <v>0.85</v>
      </c>
      <c r="P16" s="121">
        <v>90</v>
      </c>
      <c r="Q16" s="121">
        <v>1</v>
      </c>
      <c r="R16" s="121">
        <v>1.3</v>
      </c>
      <c r="S16" s="122">
        <v>660.41</v>
      </c>
      <c r="T16" s="122">
        <v>3.0300000000000001E-2</v>
      </c>
      <c r="U16" s="122">
        <v>3.8E-3</v>
      </c>
      <c r="V16" s="122">
        <v>3.8999999999999998E-3</v>
      </c>
      <c r="W16" s="122">
        <v>0.21</v>
      </c>
      <c r="X16" s="122">
        <v>0.6</v>
      </c>
      <c r="Y16" s="122">
        <v>0.224</v>
      </c>
      <c r="Z16" s="122">
        <v>138</v>
      </c>
      <c r="AA16" s="122">
        <v>20</v>
      </c>
      <c r="AB16" s="122">
        <v>0.12</v>
      </c>
      <c r="AC16" s="122">
        <v>6.6299999999999998E-2</v>
      </c>
      <c r="AD16" s="122">
        <v>2.5000000000000001E-2</v>
      </c>
      <c r="AE16" s="122">
        <v>1.4800000000000001E-2</v>
      </c>
      <c r="AF16" s="122">
        <v>8.3999999999999995E-3</v>
      </c>
      <c r="AG16" s="122">
        <v>3.2000000000000002E-3</v>
      </c>
      <c r="AH16" s="122">
        <v>1.9E-3</v>
      </c>
      <c r="AI16" s="122">
        <v>2.3E-2</v>
      </c>
      <c r="AJ16" s="122">
        <v>0.02</v>
      </c>
      <c r="AK16" s="122">
        <v>1.7000000000000001E-2</v>
      </c>
      <c r="AL16" s="122">
        <v>3.39</v>
      </c>
      <c r="AM16" s="122">
        <v>3.39</v>
      </c>
      <c r="AN16" s="122">
        <v>1.61</v>
      </c>
      <c r="AO16" s="12">
        <v>5</v>
      </c>
      <c r="AP16" s="121">
        <v>5.01</v>
      </c>
      <c r="AQ16" s="121">
        <v>15.1</v>
      </c>
      <c r="AR16" s="121">
        <v>6</v>
      </c>
      <c r="AS16" s="121">
        <v>0.5</v>
      </c>
      <c r="AT16" s="121">
        <v>4.75</v>
      </c>
      <c r="AU16" s="121">
        <v>0.4</v>
      </c>
      <c r="AV16" s="121">
        <v>0.2</v>
      </c>
      <c r="AW16" s="121">
        <v>100</v>
      </c>
      <c r="AX16" s="121">
        <v>125.6</v>
      </c>
      <c r="AY16" s="121">
        <v>250.95</v>
      </c>
      <c r="AZ16" s="121">
        <v>7.0000000000000007E-2</v>
      </c>
      <c r="BA16" s="121">
        <v>6</v>
      </c>
      <c r="BB16" s="121">
        <v>0.01</v>
      </c>
      <c r="BC16" s="121">
        <v>0.1</v>
      </c>
      <c r="BD16" s="121">
        <v>0</v>
      </c>
      <c r="BE16" s="121">
        <v>0</v>
      </c>
      <c r="BF16" s="121">
        <v>0</v>
      </c>
      <c r="BG16" s="12" t="s">
        <v>2017</v>
      </c>
    </row>
    <row r="17" spans="1:59" s="12" customFormat="1" x14ac:dyDescent="0.25">
      <c r="A17" s="12">
        <v>12</v>
      </c>
      <c r="B17" s="12" t="s">
        <v>2018</v>
      </c>
      <c r="C17" s="121">
        <v>35</v>
      </c>
      <c r="D17" s="121">
        <v>0.42</v>
      </c>
      <c r="E17" s="121">
        <v>15</v>
      </c>
      <c r="F17" s="121">
        <v>0</v>
      </c>
      <c r="G17" s="121">
        <v>5</v>
      </c>
      <c r="H17" s="121">
        <v>0.6</v>
      </c>
      <c r="I17" s="121">
        <v>15.01</v>
      </c>
      <c r="J17" s="121">
        <v>45.95</v>
      </c>
      <c r="K17" s="121">
        <v>1</v>
      </c>
      <c r="L17" s="121">
        <v>1</v>
      </c>
      <c r="M17" s="146">
        <v>2</v>
      </c>
      <c r="N17" s="121">
        <v>7.0000000000000001E-3</v>
      </c>
      <c r="O17" s="121">
        <v>0.85</v>
      </c>
      <c r="P17" s="121">
        <v>90</v>
      </c>
      <c r="Q17" s="121">
        <v>1</v>
      </c>
      <c r="R17" s="121">
        <v>2</v>
      </c>
      <c r="S17" s="122">
        <v>660.47</v>
      </c>
      <c r="T17" s="122">
        <v>3.0300000000000001E-2</v>
      </c>
      <c r="U17" s="122">
        <v>3.8E-3</v>
      </c>
      <c r="V17" s="122">
        <v>3.8999999999999998E-3</v>
      </c>
      <c r="W17" s="122">
        <v>0.21</v>
      </c>
      <c r="X17" s="122">
        <v>0.6</v>
      </c>
      <c r="Y17" s="122">
        <v>0.25900000000000001</v>
      </c>
      <c r="Z17" s="122">
        <v>138</v>
      </c>
      <c r="AA17" s="122">
        <v>20</v>
      </c>
      <c r="AB17" s="122">
        <v>0.12</v>
      </c>
      <c r="AC17" s="122">
        <v>6.6299999999999998E-2</v>
      </c>
      <c r="AD17" s="122">
        <v>2.5000000000000001E-2</v>
      </c>
      <c r="AE17" s="122">
        <v>1.4800000000000001E-2</v>
      </c>
      <c r="AF17" s="122">
        <v>8.3999999999999995E-3</v>
      </c>
      <c r="AG17" s="122">
        <v>3.2000000000000002E-3</v>
      </c>
      <c r="AH17" s="122">
        <v>1.9E-3</v>
      </c>
      <c r="AI17" s="122">
        <v>2.3E-2</v>
      </c>
      <c r="AJ17" s="122">
        <v>0.02</v>
      </c>
      <c r="AK17" s="122">
        <v>1.7000000000000001E-2</v>
      </c>
      <c r="AL17" s="122">
        <v>3.39</v>
      </c>
      <c r="AM17" s="122">
        <v>3.39</v>
      </c>
      <c r="AN17" s="122">
        <v>1.61</v>
      </c>
      <c r="AO17" s="12">
        <v>5</v>
      </c>
      <c r="AP17" s="121">
        <v>5.01</v>
      </c>
      <c r="AQ17" s="121">
        <v>15.1</v>
      </c>
      <c r="AR17" s="121">
        <v>8</v>
      </c>
      <c r="AS17" s="121">
        <v>0.5</v>
      </c>
      <c r="AT17" s="121">
        <v>4.75</v>
      </c>
      <c r="AU17" s="121">
        <v>0.4</v>
      </c>
      <c r="AV17" s="121">
        <v>0.2</v>
      </c>
      <c r="AW17" s="121">
        <v>100</v>
      </c>
      <c r="AX17" s="121">
        <v>125.6</v>
      </c>
      <c r="AY17" s="121">
        <v>250.95</v>
      </c>
      <c r="AZ17" s="121">
        <v>7.0000000000000007E-2</v>
      </c>
      <c r="BA17" s="121">
        <v>6</v>
      </c>
      <c r="BB17" s="121">
        <v>0.01</v>
      </c>
      <c r="BC17" s="121">
        <v>0.1</v>
      </c>
      <c r="BD17" s="121">
        <v>0</v>
      </c>
      <c r="BE17" s="121">
        <v>0</v>
      </c>
      <c r="BF17" s="121">
        <v>0</v>
      </c>
      <c r="BG17" s="12" t="s">
        <v>2019</v>
      </c>
    </row>
    <row r="18" spans="1:59" s="12" customFormat="1" x14ac:dyDescent="0.25">
      <c r="A18" s="12">
        <v>13</v>
      </c>
      <c r="B18" s="12" t="s">
        <v>2020</v>
      </c>
      <c r="C18" s="121">
        <v>30</v>
      </c>
      <c r="D18" s="121">
        <v>0.4</v>
      </c>
      <c r="E18" s="121">
        <v>15</v>
      </c>
      <c r="F18" s="121">
        <v>0</v>
      </c>
      <c r="G18" s="121">
        <v>5</v>
      </c>
      <c r="H18" s="121">
        <v>0.6</v>
      </c>
      <c r="I18" s="121">
        <v>15.01</v>
      </c>
      <c r="J18" s="121">
        <v>50.95</v>
      </c>
      <c r="K18" s="121">
        <v>1</v>
      </c>
      <c r="L18" s="121">
        <v>1</v>
      </c>
      <c r="M18" s="146">
        <v>2</v>
      </c>
      <c r="N18" s="121">
        <v>7.0000000000000001E-3</v>
      </c>
      <c r="O18" s="121">
        <v>0.85</v>
      </c>
      <c r="P18" s="121">
        <v>90</v>
      </c>
      <c r="Q18" s="121">
        <v>1</v>
      </c>
      <c r="R18" s="121">
        <v>2</v>
      </c>
      <c r="S18" s="122">
        <v>660.41</v>
      </c>
      <c r="T18" s="122">
        <v>2.63E-2</v>
      </c>
      <c r="U18" s="122">
        <v>5.7000000000000002E-3</v>
      </c>
      <c r="V18" s="122">
        <v>4.7999999999999996E-3</v>
      </c>
      <c r="W18" s="122">
        <v>0.2</v>
      </c>
      <c r="X18" s="122">
        <v>0.6</v>
      </c>
      <c r="Y18" s="122">
        <v>0.25900000000000001</v>
      </c>
      <c r="Z18" s="122">
        <v>127</v>
      </c>
      <c r="AA18" s="122">
        <v>20</v>
      </c>
      <c r="AB18" s="122">
        <v>0.12</v>
      </c>
      <c r="AC18" s="122">
        <v>5.1799999999999999E-2</v>
      </c>
      <c r="AD18" s="122">
        <v>1.9900000000000001E-2</v>
      </c>
      <c r="AE18" s="122">
        <v>1.1599999999999999E-2</v>
      </c>
      <c r="AF18" s="122">
        <v>8.8999999999999999E-3</v>
      </c>
      <c r="AG18" s="122">
        <v>3.3999999999999998E-3</v>
      </c>
      <c r="AH18" s="122">
        <v>2E-3</v>
      </c>
      <c r="AI18" s="122">
        <v>2.3E-2</v>
      </c>
      <c r="AJ18" s="122">
        <v>0.02</v>
      </c>
      <c r="AK18" s="122">
        <v>1.7000000000000001E-2</v>
      </c>
      <c r="AL18" s="122">
        <v>3.39</v>
      </c>
      <c r="AM18" s="122">
        <v>3.39</v>
      </c>
      <c r="AN18" s="122">
        <v>1.61</v>
      </c>
      <c r="AO18" s="12">
        <v>5</v>
      </c>
      <c r="AP18" s="121">
        <v>5.01</v>
      </c>
      <c r="AQ18" s="121">
        <v>15.1</v>
      </c>
      <c r="AR18" s="121">
        <v>7</v>
      </c>
      <c r="AS18" s="121">
        <v>0.5</v>
      </c>
      <c r="AT18" s="121">
        <v>4.75</v>
      </c>
      <c r="AU18" s="121">
        <v>0.4</v>
      </c>
      <c r="AV18" s="121">
        <v>0.2</v>
      </c>
      <c r="AW18" s="121">
        <v>100</v>
      </c>
      <c r="AX18" s="121">
        <v>125.6</v>
      </c>
      <c r="AY18" s="121">
        <v>250.95</v>
      </c>
      <c r="AZ18" s="121">
        <v>7.0000000000000007E-2</v>
      </c>
      <c r="BA18" s="121">
        <v>6</v>
      </c>
      <c r="BB18" s="121">
        <v>0.01</v>
      </c>
      <c r="BC18" s="121">
        <v>0.1</v>
      </c>
      <c r="BD18" s="121">
        <v>0</v>
      </c>
      <c r="BE18" s="121">
        <v>0</v>
      </c>
      <c r="BF18" s="121">
        <v>0</v>
      </c>
      <c r="BG18" s="12" t="s">
        <v>2021</v>
      </c>
    </row>
    <row r="19" spans="1:59" s="12" customFormat="1" x14ac:dyDescent="0.25">
      <c r="A19" s="12">
        <v>14</v>
      </c>
      <c r="B19" s="12" t="s">
        <v>2022</v>
      </c>
      <c r="C19" s="121">
        <v>30</v>
      </c>
      <c r="D19" s="121">
        <v>0.4</v>
      </c>
      <c r="E19" s="121">
        <v>15</v>
      </c>
      <c r="F19" s="121">
        <v>0</v>
      </c>
      <c r="G19" s="121">
        <v>6</v>
      </c>
      <c r="H19" s="121">
        <v>0.8</v>
      </c>
      <c r="I19" s="121">
        <v>15.01</v>
      </c>
      <c r="J19" s="121">
        <v>50.95</v>
      </c>
      <c r="K19" s="121">
        <v>1</v>
      </c>
      <c r="L19" s="121">
        <v>1</v>
      </c>
      <c r="M19" s="146">
        <v>2</v>
      </c>
      <c r="N19" s="121">
        <v>6.0000000000000001E-3</v>
      </c>
      <c r="O19" s="121">
        <v>0.85</v>
      </c>
      <c r="P19" s="121">
        <v>90</v>
      </c>
      <c r="Q19" s="121">
        <v>1</v>
      </c>
      <c r="R19" s="121">
        <v>2</v>
      </c>
      <c r="S19" s="122">
        <v>660.45</v>
      </c>
      <c r="T19" s="122">
        <v>2.3599999999999999E-2</v>
      </c>
      <c r="U19" s="122">
        <v>2.8999999999999998E-3</v>
      </c>
      <c r="V19" s="122">
        <v>6.0000000000000001E-3</v>
      </c>
      <c r="W19" s="122">
        <v>0.21</v>
      </c>
      <c r="X19" s="122">
        <v>0.6</v>
      </c>
      <c r="Y19" s="122">
        <v>0.26600000000000001</v>
      </c>
      <c r="Z19" s="122">
        <v>129</v>
      </c>
      <c r="AA19" s="122">
        <v>20</v>
      </c>
      <c r="AB19" s="122">
        <v>0.12</v>
      </c>
      <c r="AC19" s="122">
        <v>5.8999999999999997E-2</v>
      </c>
      <c r="AD19" s="122">
        <v>2.1999999999999999E-2</v>
      </c>
      <c r="AE19" s="122">
        <v>1.3100000000000001E-2</v>
      </c>
      <c r="AF19" s="122">
        <v>5.7000000000000002E-3</v>
      </c>
      <c r="AG19" s="122">
        <v>2.2000000000000001E-3</v>
      </c>
      <c r="AH19" s="122">
        <v>1.2999999999999999E-3</v>
      </c>
      <c r="AI19" s="122">
        <v>1.6E-2</v>
      </c>
      <c r="AJ19" s="122">
        <v>1.6E-2</v>
      </c>
      <c r="AK19" s="122">
        <v>1.4999999999999999E-2</v>
      </c>
      <c r="AL19" s="122">
        <v>3.39</v>
      </c>
      <c r="AM19" s="122">
        <v>3.39</v>
      </c>
      <c r="AN19" s="122">
        <v>1.61</v>
      </c>
      <c r="AO19" s="12">
        <v>5</v>
      </c>
      <c r="AP19" s="121">
        <v>5.01</v>
      </c>
      <c r="AQ19" s="121">
        <v>15.1</v>
      </c>
      <c r="AR19" s="121">
        <v>7</v>
      </c>
      <c r="AS19" s="121">
        <v>0.5</v>
      </c>
      <c r="AT19" s="121">
        <v>4.75</v>
      </c>
      <c r="AU19" s="121">
        <v>0.4</v>
      </c>
      <c r="AV19" s="121">
        <v>0.2</v>
      </c>
      <c r="AW19" s="121">
        <v>100</v>
      </c>
      <c r="AX19" s="121">
        <v>125.6</v>
      </c>
      <c r="AY19" s="121">
        <v>250.95</v>
      </c>
      <c r="AZ19" s="121">
        <v>0.05</v>
      </c>
      <c r="BA19" s="121">
        <v>8</v>
      </c>
      <c r="BB19" s="121">
        <v>0.01</v>
      </c>
      <c r="BC19" s="121">
        <v>0.1</v>
      </c>
      <c r="BD19" s="121">
        <v>0</v>
      </c>
      <c r="BE19" s="121">
        <v>0</v>
      </c>
      <c r="BF19" s="121">
        <v>0</v>
      </c>
      <c r="BG19" s="12" t="s">
        <v>2023</v>
      </c>
    </row>
    <row r="20" spans="1:59" s="12" customFormat="1" x14ac:dyDescent="0.25">
      <c r="A20" s="12">
        <v>15</v>
      </c>
      <c r="B20" s="12" t="s">
        <v>2024</v>
      </c>
      <c r="C20" s="121">
        <v>35</v>
      </c>
      <c r="D20" s="121">
        <v>0.42</v>
      </c>
      <c r="E20" s="121">
        <v>15</v>
      </c>
      <c r="F20" s="121">
        <v>0</v>
      </c>
      <c r="G20" s="121">
        <v>3.5</v>
      </c>
      <c r="H20" s="121">
        <v>0.6</v>
      </c>
      <c r="I20" s="121">
        <v>20.100000000000001</v>
      </c>
      <c r="J20" s="121">
        <v>49.95</v>
      </c>
      <c r="K20" s="121">
        <v>1</v>
      </c>
      <c r="L20" s="121">
        <v>1</v>
      </c>
      <c r="M20" s="146">
        <v>2</v>
      </c>
      <c r="N20" s="121">
        <v>7.0000000000000001E-3</v>
      </c>
      <c r="O20" s="121">
        <v>0.85</v>
      </c>
      <c r="P20" s="121">
        <v>90</v>
      </c>
      <c r="Q20" s="121">
        <v>1.2</v>
      </c>
      <c r="R20" s="121">
        <v>2</v>
      </c>
      <c r="S20" s="122">
        <v>660.47</v>
      </c>
      <c r="T20" s="122">
        <v>2.3599999999999999E-2</v>
      </c>
      <c r="U20" s="122">
        <v>2.8999999999999998E-3</v>
      </c>
      <c r="V20" s="122">
        <v>5.0000000000000001E-3</v>
      </c>
      <c r="W20" s="122">
        <v>0.21</v>
      </c>
      <c r="X20" s="122">
        <v>0.6</v>
      </c>
      <c r="Y20" s="122">
        <v>0.26600000000000001</v>
      </c>
      <c r="Z20" s="122">
        <v>129</v>
      </c>
      <c r="AA20" s="122">
        <v>20</v>
      </c>
      <c r="AB20" s="122">
        <v>0.12</v>
      </c>
      <c r="AC20" s="122">
        <v>5.8999999999999997E-2</v>
      </c>
      <c r="AD20" s="122">
        <v>2.1999999999999999E-2</v>
      </c>
      <c r="AE20" s="122">
        <v>1.3100000000000001E-2</v>
      </c>
      <c r="AF20" s="122">
        <v>5.7000000000000002E-3</v>
      </c>
      <c r="AG20" s="122">
        <v>2.2000000000000001E-3</v>
      </c>
      <c r="AH20" s="122">
        <v>1.2999999999999999E-3</v>
      </c>
      <c r="AI20" s="122">
        <v>1.6E-2</v>
      </c>
      <c r="AJ20" s="122">
        <v>1.6E-2</v>
      </c>
      <c r="AK20" s="122">
        <v>1.4999999999999999E-2</v>
      </c>
      <c r="AL20" s="122">
        <v>3.39</v>
      </c>
      <c r="AM20" s="122">
        <v>3.39</v>
      </c>
      <c r="AN20" s="122">
        <v>1.61</v>
      </c>
      <c r="AO20" s="12">
        <v>5</v>
      </c>
      <c r="AP20" s="121">
        <v>5.01</v>
      </c>
      <c r="AQ20" s="121">
        <v>15.1</v>
      </c>
      <c r="AR20" s="121">
        <v>8</v>
      </c>
      <c r="AS20" s="121">
        <v>0.5</v>
      </c>
      <c r="AT20" s="121">
        <v>4.75</v>
      </c>
      <c r="AU20" s="121">
        <v>0.4</v>
      </c>
      <c r="AV20" s="121">
        <v>0.2</v>
      </c>
      <c r="AW20" s="121">
        <v>100</v>
      </c>
      <c r="AX20" s="121">
        <v>125.6</v>
      </c>
      <c r="AY20" s="121">
        <v>250.95</v>
      </c>
      <c r="AZ20" s="121">
        <v>0.05</v>
      </c>
      <c r="BA20" s="121">
        <v>8</v>
      </c>
      <c r="BB20" s="121">
        <v>0.01</v>
      </c>
      <c r="BC20" s="121">
        <v>0.1</v>
      </c>
      <c r="BD20" s="121">
        <v>0</v>
      </c>
      <c r="BE20" s="121">
        <v>0</v>
      </c>
      <c r="BF20" s="121">
        <v>0</v>
      </c>
      <c r="BG20" s="12" t="s">
        <v>2025</v>
      </c>
    </row>
    <row r="21" spans="1:59" s="12" customFormat="1" x14ac:dyDescent="0.25">
      <c r="A21" s="12">
        <v>16</v>
      </c>
      <c r="B21" s="12" t="s">
        <v>2026</v>
      </c>
      <c r="C21" s="121">
        <v>35</v>
      </c>
      <c r="D21" s="121">
        <v>0.42</v>
      </c>
      <c r="E21" s="121">
        <v>15</v>
      </c>
      <c r="F21" s="121">
        <v>0</v>
      </c>
      <c r="G21" s="121">
        <v>6</v>
      </c>
      <c r="H21" s="121">
        <v>0.8</v>
      </c>
      <c r="I21" s="121">
        <v>15.01</v>
      </c>
      <c r="J21" s="121">
        <v>50.95</v>
      </c>
      <c r="K21" s="121">
        <v>1</v>
      </c>
      <c r="L21" s="121">
        <v>1</v>
      </c>
      <c r="M21" s="146">
        <v>2</v>
      </c>
      <c r="N21" s="121">
        <v>7.0000000000000001E-3</v>
      </c>
      <c r="O21" s="121">
        <v>0.85</v>
      </c>
      <c r="P21" s="121">
        <v>90</v>
      </c>
      <c r="Q21" s="121">
        <v>1</v>
      </c>
      <c r="R21" s="121">
        <v>2</v>
      </c>
      <c r="S21" s="122">
        <v>660.47</v>
      </c>
      <c r="T21" s="122">
        <v>3.1600000000000003E-2</v>
      </c>
      <c r="U21" s="122">
        <v>5.7000000000000002E-3</v>
      </c>
      <c r="V21" s="122">
        <v>4.7000000000000002E-3</v>
      </c>
      <c r="W21" s="122">
        <v>0.21</v>
      </c>
      <c r="X21" s="122">
        <v>0.6</v>
      </c>
      <c r="Y21" s="122">
        <v>3.1E-2</v>
      </c>
      <c r="Z21" s="122">
        <v>103</v>
      </c>
      <c r="AA21" s="122">
        <v>20</v>
      </c>
      <c r="AB21" s="122">
        <v>0.1</v>
      </c>
      <c r="AC21" s="122">
        <v>5.8000000000000003E-2</v>
      </c>
      <c r="AD21" s="122">
        <v>2.24E-2</v>
      </c>
      <c r="AE21" s="122">
        <v>1.2999999999999999E-2</v>
      </c>
      <c r="AF21" s="122">
        <v>5.3E-3</v>
      </c>
      <c r="AG21" s="122">
        <v>2E-3</v>
      </c>
      <c r="AH21" s="122">
        <v>1.1999999999999999E-3</v>
      </c>
      <c r="AI21" s="122">
        <v>2.8000000000000001E-2</v>
      </c>
      <c r="AJ21" s="122">
        <v>0.02</v>
      </c>
      <c r="AK21" s="122">
        <v>1.2E-2</v>
      </c>
      <c r="AL21" s="122">
        <v>3.39</v>
      </c>
      <c r="AM21" s="122">
        <v>3.39</v>
      </c>
      <c r="AN21" s="122">
        <v>1.61</v>
      </c>
      <c r="AO21" s="12">
        <v>5</v>
      </c>
      <c r="AP21" s="121">
        <v>5.01</v>
      </c>
      <c r="AQ21" s="121">
        <v>15.1</v>
      </c>
      <c r="AR21" s="121">
        <v>7</v>
      </c>
      <c r="AS21" s="121">
        <v>0.5</v>
      </c>
      <c r="AT21" s="121">
        <v>4.75</v>
      </c>
      <c r="AU21" s="121">
        <v>0.4</v>
      </c>
      <c r="AV21" s="121">
        <v>0.2</v>
      </c>
      <c r="AW21" s="121">
        <v>100</v>
      </c>
      <c r="AX21" s="121">
        <v>125.6</v>
      </c>
      <c r="AY21" s="121">
        <v>250.95</v>
      </c>
      <c r="AZ21" s="121">
        <v>7.0000000000000007E-2</v>
      </c>
      <c r="BA21" s="121">
        <v>8</v>
      </c>
      <c r="BB21" s="121">
        <v>0.01</v>
      </c>
      <c r="BC21" s="121">
        <v>0.1</v>
      </c>
      <c r="BD21" s="121">
        <v>0</v>
      </c>
      <c r="BE21" s="121">
        <v>0</v>
      </c>
      <c r="BF21" s="121">
        <v>0</v>
      </c>
      <c r="BG21" s="12" t="s">
        <v>2027</v>
      </c>
    </row>
    <row r="22" spans="1:59" s="12" customFormat="1" x14ac:dyDescent="0.25">
      <c r="A22" s="12">
        <v>17</v>
      </c>
      <c r="B22" s="12" t="s">
        <v>2028</v>
      </c>
      <c r="C22" s="121">
        <v>35</v>
      </c>
      <c r="D22" s="121">
        <v>0.42</v>
      </c>
      <c r="E22" s="121">
        <v>15</v>
      </c>
      <c r="F22" s="121">
        <v>0</v>
      </c>
      <c r="G22" s="121">
        <v>5</v>
      </c>
      <c r="H22" s="121">
        <v>0.6</v>
      </c>
      <c r="I22" s="121">
        <v>15.01</v>
      </c>
      <c r="J22" s="121">
        <v>45.95</v>
      </c>
      <c r="K22" s="121">
        <v>1</v>
      </c>
      <c r="L22" s="121">
        <v>1</v>
      </c>
      <c r="M22" s="146">
        <v>2</v>
      </c>
      <c r="N22" s="121">
        <v>7.0000000000000001E-3</v>
      </c>
      <c r="O22" s="121">
        <v>0.85</v>
      </c>
      <c r="P22" s="121">
        <v>90</v>
      </c>
      <c r="Q22" s="121">
        <v>1.2</v>
      </c>
      <c r="R22" s="121">
        <v>2</v>
      </c>
      <c r="S22" s="122">
        <v>660.47</v>
      </c>
      <c r="T22" s="122">
        <v>3.1600000000000003E-2</v>
      </c>
      <c r="U22" s="122">
        <v>5.7000000000000002E-3</v>
      </c>
      <c r="V22" s="122">
        <v>4.7000000000000002E-3</v>
      </c>
      <c r="W22" s="122">
        <v>0.21</v>
      </c>
      <c r="X22" s="122">
        <v>0.6</v>
      </c>
      <c r="Y22" s="122">
        <v>3.1E-2</v>
      </c>
      <c r="Z22" s="122">
        <v>103</v>
      </c>
      <c r="AA22" s="122">
        <v>20</v>
      </c>
      <c r="AB22" s="122">
        <v>0.1</v>
      </c>
      <c r="AC22" s="122">
        <v>5.8000000000000003E-2</v>
      </c>
      <c r="AD22" s="122">
        <v>2.24E-2</v>
      </c>
      <c r="AE22" s="122">
        <v>1.2999999999999999E-2</v>
      </c>
      <c r="AF22" s="122">
        <v>5.3E-3</v>
      </c>
      <c r="AG22" s="122">
        <v>2E-3</v>
      </c>
      <c r="AH22" s="122">
        <v>1.1999999999999999E-3</v>
      </c>
      <c r="AI22" s="122">
        <v>2.8000000000000001E-2</v>
      </c>
      <c r="AJ22" s="122">
        <v>0.02</v>
      </c>
      <c r="AK22" s="122">
        <v>1.2E-2</v>
      </c>
      <c r="AL22" s="122">
        <v>3.39</v>
      </c>
      <c r="AM22" s="122">
        <v>3.39</v>
      </c>
      <c r="AN22" s="122">
        <v>1.61</v>
      </c>
      <c r="AO22" s="12">
        <v>5</v>
      </c>
      <c r="AP22" s="121">
        <v>5.01</v>
      </c>
      <c r="AQ22" s="121">
        <v>15.1</v>
      </c>
      <c r="AR22" s="121">
        <v>8</v>
      </c>
      <c r="AS22" s="121">
        <v>0.5</v>
      </c>
      <c r="AT22" s="121">
        <v>4.75</v>
      </c>
      <c r="AU22" s="121">
        <v>0.4</v>
      </c>
      <c r="AV22" s="121">
        <v>0.2</v>
      </c>
      <c r="AW22" s="121">
        <v>100</v>
      </c>
      <c r="AX22" s="121">
        <v>125.6</v>
      </c>
      <c r="AY22" s="121">
        <v>250.95</v>
      </c>
      <c r="AZ22" s="121">
        <v>7.0000000000000007E-2</v>
      </c>
      <c r="BA22" s="121">
        <v>8</v>
      </c>
      <c r="BB22" s="121">
        <v>0.01</v>
      </c>
      <c r="BC22" s="121">
        <v>0.1</v>
      </c>
      <c r="BD22" s="121">
        <v>0</v>
      </c>
      <c r="BE22" s="121">
        <v>0</v>
      </c>
      <c r="BF22" s="121">
        <v>0</v>
      </c>
      <c r="BG22" s="12" t="s">
        <v>2029</v>
      </c>
    </row>
    <row r="23" spans="1:59" s="12" customFormat="1" x14ac:dyDescent="0.25">
      <c r="A23" s="12">
        <v>18</v>
      </c>
      <c r="B23" s="12" t="s">
        <v>2030</v>
      </c>
      <c r="C23" s="121">
        <v>25</v>
      </c>
      <c r="D23" s="121">
        <v>0.5</v>
      </c>
      <c r="E23" s="121">
        <v>25</v>
      </c>
      <c r="F23" s="121">
        <v>10</v>
      </c>
      <c r="G23" s="121">
        <v>6</v>
      </c>
      <c r="H23" s="121">
        <v>0.8</v>
      </c>
      <c r="I23" s="121">
        <v>30.01</v>
      </c>
      <c r="J23" s="121">
        <v>70.95</v>
      </c>
      <c r="K23" s="121">
        <v>0.5</v>
      </c>
      <c r="L23" s="121">
        <v>0.5</v>
      </c>
      <c r="M23" s="146">
        <v>3</v>
      </c>
      <c r="N23" s="121">
        <v>8.0000000000000002E-3</v>
      </c>
      <c r="O23" s="121">
        <v>1</v>
      </c>
      <c r="P23" s="121">
        <v>50</v>
      </c>
      <c r="Q23" s="121">
        <v>0.8</v>
      </c>
      <c r="R23" s="121">
        <v>0.9</v>
      </c>
      <c r="S23" s="122">
        <v>660.33799999999997</v>
      </c>
      <c r="T23" s="122">
        <v>1.3599999999999999E-2</v>
      </c>
      <c r="U23" s="122">
        <v>1.2999999999999999E-3</v>
      </c>
      <c r="V23" s="122">
        <v>1.2999999999999999E-3</v>
      </c>
      <c r="W23" s="122">
        <v>0.25</v>
      </c>
      <c r="X23" s="122">
        <v>0.6</v>
      </c>
      <c r="Y23" s="122">
        <v>0.84499999999999997</v>
      </c>
      <c r="Z23" s="122">
        <v>144</v>
      </c>
      <c r="AA23" s="122">
        <v>20</v>
      </c>
      <c r="AB23" s="122">
        <v>0.14000000000000001</v>
      </c>
      <c r="AC23" s="122">
        <v>0.05</v>
      </c>
      <c r="AD23" s="122">
        <v>0.02</v>
      </c>
      <c r="AE23" s="122">
        <v>0.01</v>
      </c>
      <c r="AF23" s="122">
        <v>6.0000000000000001E-3</v>
      </c>
      <c r="AG23" s="122">
        <v>3.0000000000000001E-3</v>
      </c>
      <c r="AH23" s="122">
        <v>1.8E-3</v>
      </c>
      <c r="AI23" s="122">
        <v>2.5000000000000001E-2</v>
      </c>
      <c r="AJ23" s="122">
        <v>1.4999999999999999E-2</v>
      </c>
      <c r="AK23" s="122">
        <v>8.0000000000000002E-3</v>
      </c>
      <c r="AL23" s="122">
        <v>3.39</v>
      </c>
      <c r="AM23" s="122">
        <v>3.39</v>
      </c>
      <c r="AN23" s="122">
        <v>1.61</v>
      </c>
      <c r="AO23" s="12">
        <v>4</v>
      </c>
      <c r="AP23" s="121">
        <v>5.05</v>
      </c>
      <c r="AQ23" s="121">
        <v>15.95</v>
      </c>
      <c r="AR23" s="121">
        <v>5</v>
      </c>
      <c r="AS23" s="121">
        <v>0.5</v>
      </c>
      <c r="AT23" s="121">
        <v>4.75</v>
      </c>
      <c r="AU23" s="121">
        <v>0.4</v>
      </c>
      <c r="AV23" s="121">
        <v>0.2</v>
      </c>
      <c r="AW23" s="121">
        <v>100</v>
      </c>
      <c r="AX23" s="121">
        <v>125.6</v>
      </c>
      <c r="AY23" s="121">
        <v>250.95</v>
      </c>
      <c r="AZ23" s="121">
        <v>0.122</v>
      </c>
      <c r="BA23" s="121">
        <v>3</v>
      </c>
      <c r="BB23" s="121">
        <v>0.01</v>
      </c>
      <c r="BC23" s="121">
        <v>0.1</v>
      </c>
      <c r="BD23" s="121">
        <v>0</v>
      </c>
      <c r="BE23" s="121">
        <v>0</v>
      </c>
      <c r="BF23" s="121">
        <v>0</v>
      </c>
      <c r="BG23" s="12" t="s">
        <v>2031</v>
      </c>
    </row>
    <row r="24" spans="1:59" s="12" customFormat="1" x14ac:dyDescent="0.25">
      <c r="A24" s="12">
        <v>19</v>
      </c>
      <c r="B24" s="12" t="s">
        <v>2032</v>
      </c>
      <c r="C24" s="121">
        <v>35</v>
      </c>
      <c r="D24" s="121">
        <v>0.4</v>
      </c>
      <c r="E24" s="121">
        <v>12.5</v>
      </c>
      <c r="F24" s="121">
        <v>0</v>
      </c>
      <c r="G24" s="121">
        <v>6</v>
      </c>
      <c r="H24" s="121">
        <v>0.8</v>
      </c>
      <c r="I24" s="121">
        <v>15.01</v>
      </c>
      <c r="J24" s="121">
        <v>50.95</v>
      </c>
      <c r="K24" s="121">
        <v>1</v>
      </c>
      <c r="L24" s="121">
        <v>1</v>
      </c>
      <c r="M24" s="146">
        <v>2</v>
      </c>
      <c r="N24" s="121">
        <v>6.0000000000000001E-3</v>
      </c>
      <c r="O24" s="121">
        <v>0.85</v>
      </c>
      <c r="P24" s="121">
        <v>90</v>
      </c>
      <c r="Q24" s="121">
        <v>1</v>
      </c>
      <c r="R24" s="121">
        <v>2</v>
      </c>
      <c r="S24" s="122">
        <v>660.47</v>
      </c>
      <c r="T24" s="122">
        <v>2.8400000000000002E-2</v>
      </c>
      <c r="U24" s="122">
        <v>4.1999999999999997E-3</v>
      </c>
      <c r="V24" s="122">
        <v>3.0000000000000001E-3</v>
      </c>
      <c r="W24" s="122">
        <v>0.2</v>
      </c>
      <c r="X24" s="122">
        <v>0.6</v>
      </c>
      <c r="Y24" s="122">
        <v>2.3820000000000001</v>
      </c>
      <c r="Z24" s="122">
        <v>98.043999999999997</v>
      </c>
      <c r="AA24" s="122">
        <v>75</v>
      </c>
      <c r="AB24" s="122">
        <v>0.12</v>
      </c>
      <c r="AC24" s="122">
        <v>5.6000000000000001E-2</v>
      </c>
      <c r="AD24" s="122">
        <v>2.1499999999999998E-2</v>
      </c>
      <c r="AE24" s="122">
        <v>1.2500000000000001E-2</v>
      </c>
      <c r="AF24" s="122">
        <v>6.6E-3</v>
      </c>
      <c r="AG24" s="122">
        <v>2.5000000000000001E-3</v>
      </c>
      <c r="AH24" s="122">
        <v>1.5E-3</v>
      </c>
      <c r="AI24" s="122">
        <v>1.7999999999999999E-2</v>
      </c>
      <c r="AJ24" s="122">
        <v>1.4999999999999999E-2</v>
      </c>
      <c r="AK24" s="122">
        <v>1.2E-2</v>
      </c>
      <c r="AL24" s="122">
        <v>3.39</v>
      </c>
      <c r="AM24" s="122">
        <v>3.39</v>
      </c>
      <c r="AN24" s="122">
        <v>1.61</v>
      </c>
      <c r="AO24" s="12">
        <v>5</v>
      </c>
      <c r="AP24" s="121">
        <v>5.01</v>
      </c>
      <c r="AQ24" s="121">
        <v>15.1</v>
      </c>
      <c r="AR24" s="121">
        <v>7</v>
      </c>
      <c r="AS24" s="121">
        <v>0.5</v>
      </c>
      <c r="AT24" s="121">
        <v>4.75</v>
      </c>
      <c r="AU24" s="121">
        <v>0.4</v>
      </c>
      <c r="AV24" s="121">
        <v>0.2</v>
      </c>
      <c r="AW24" s="121">
        <v>100</v>
      </c>
      <c r="AX24" s="121">
        <v>125.6</v>
      </c>
      <c r="AY24" s="121">
        <v>250.95</v>
      </c>
      <c r="AZ24" s="121">
        <v>0.08</v>
      </c>
      <c r="BA24" s="121">
        <v>5.6</v>
      </c>
      <c r="BB24" s="121">
        <v>0.01</v>
      </c>
      <c r="BC24" s="121">
        <v>0.1</v>
      </c>
      <c r="BD24" s="121">
        <v>0</v>
      </c>
      <c r="BE24" s="121">
        <v>0</v>
      </c>
      <c r="BF24" s="121">
        <v>0</v>
      </c>
      <c r="BG24" s="12" t="s">
        <v>2033</v>
      </c>
    </row>
    <row r="25" spans="1:59" s="12" customFormat="1" x14ac:dyDescent="0.25">
      <c r="A25" s="12">
        <v>20</v>
      </c>
      <c r="B25" s="12" t="s">
        <v>2034</v>
      </c>
      <c r="C25" s="121">
        <v>20</v>
      </c>
      <c r="D25" s="121">
        <v>0.55000000000000004</v>
      </c>
      <c r="E25" s="121">
        <v>14</v>
      </c>
      <c r="F25" s="121">
        <v>1</v>
      </c>
      <c r="G25" s="121">
        <v>4</v>
      </c>
      <c r="H25" s="121">
        <v>0.9</v>
      </c>
      <c r="I25" s="121">
        <v>15.02</v>
      </c>
      <c r="J25" s="121">
        <v>50.95</v>
      </c>
      <c r="K25" s="121">
        <v>1</v>
      </c>
      <c r="L25" s="121">
        <v>0.5</v>
      </c>
      <c r="M25" s="146">
        <v>2</v>
      </c>
      <c r="N25" s="121">
        <v>0.01</v>
      </c>
      <c r="O25" s="121">
        <v>0.85</v>
      </c>
      <c r="P25" s="121">
        <v>140</v>
      </c>
      <c r="Q25" s="121">
        <v>0.8</v>
      </c>
      <c r="R25" s="121">
        <v>2</v>
      </c>
      <c r="S25" s="122">
        <v>660.27</v>
      </c>
      <c r="T25" s="122">
        <v>4.1200000000000001E-2</v>
      </c>
      <c r="U25" s="122">
        <v>5.4999999999999997E-3</v>
      </c>
      <c r="V25" s="122">
        <v>1.14E-2</v>
      </c>
      <c r="W25" s="122">
        <v>0.38</v>
      </c>
      <c r="X25" s="122">
        <v>0.6</v>
      </c>
      <c r="Y25" s="122">
        <v>0.69399999999999995</v>
      </c>
      <c r="Z25" s="122">
        <v>24</v>
      </c>
      <c r="AA25" s="122">
        <v>75</v>
      </c>
      <c r="AB25" s="122">
        <v>0.12</v>
      </c>
      <c r="AC25" s="122">
        <v>0.04</v>
      </c>
      <c r="AD25" s="122">
        <v>2.5999999999999999E-2</v>
      </c>
      <c r="AE25" s="122">
        <v>2.3199999999999998E-2</v>
      </c>
      <c r="AF25" s="122">
        <v>7.0000000000000001E-3</v>
      </c>
      <c r="AG25" s="122">
        <v>4.0000000000000001E-3</v>
      </c>
      <c r="AH25" s="122">
        <v>3.0000000000000001E-3</v>
      </c>
      <c r="AI25" s="122">
        <v>1.4E-2</v>
      </c>
      <c r="AJ25" s="122">
        <v>1.2999999999999999E-2</v>
      </c>
      <c r="AK25" s="122">
        <v>1.2E-2</v>
      </c>
      <c r="AL25" s="122">
        <v>3.39</v>
      </c>
      <c r="AM25" s="122">
        <v>3.39</v>
      </c>
      <c r="AN25" s="122">
        <v>1.61</v>
      </c>
      <c r="AO25" s="12">
        <v>2</v>
      </c>
      <c r="AP25" s="121">
        <v>5.01</v>
      </c>
      <c r="AQ25" s="121">
        <v>15.1</v>
      </c>
      <c r="AR25" s="121">
        <v>4</v>
      </c>
      <c r="AS25" s="121">
        <v>0.5</v>
      </c>
      <c r="AT25" s="121">
        <v>4.75</v>
      </c>
      <c r="AU25" s="121">
        <v>0.4</v>
      </c>
      <c r="AV25" s="121">
        <v>0.2</v>
      </c>
      <c r="AW25" s="121">
        <v>100</v>
      </c>
      <c r="AX25" s="121">
        <v>20.2</v>
      </c>
      <c r="AY25" s="121">
        <v>100.9</v>
      </c>
      <c r="AZ25" s="121">
        <v>0.1</v>
      </c>
      <c r="BA25" s="121">
        <v>2.5</v>
      </c>
      <c r="BB25" s="121">
        <v>0.01</v>
      </c>
      <c r="BC25" s="121">
        <v>0.1</v>
      </c>
      <c r="BD25" s="121">
        <v>0</v>
      </c>
      <c r="BE25" s="121">
        <v>0</v>
      </c>
      <c r="BF25" s="121">
        <v>0</v>
      </c>
      <c r="BG25" s="12" t="s">
        <v>2035</v>
      </c>
    </row>
    <row r="26" spans="1:59" s="12" customFormat="1" x14ac:dyDescent="0.25">
      <c r="A26" s="12">
        <v>21</v>
      </c>
      <c r="B26" s="12" t="s">
        <v>2036</v>
      </c>
      <c r="C26" s="121">
        <v>20</v>
      </c>
      <c r="D26" s="121">
        <v>0.55000000000000004</v>
      </c>
      <c r="E26" s="121">
        <v>14</v>
      </c>
      <c r="F26" s="121">
        <v>1</v>
      </c>
      <c r="G26" s="121">
        <v>5</v>
      </c>
      <c r="H26" s="121">
        <v>0.9</v>
      </c>
      <c r="I26" s="121">
        <v>15.02</v>
      </c>
      <c r="J26" s="121">
        <v>50.95</v>
      </c>
      <c r="K26" s="121">
        <v>1</v>
      </c>
      <c r="L26" s="121">
        <v>0.5</v>
      </c>
      <c r="M26" s="146">
        <v>3</v>
      </c>
      <c r="N26" s="121">
        <v>0.01</v>
      </c>
      <c r="O26" s="121">
        <v>0.9</v>
      </c>
      <c r="P26" s="121">
        <v>100</v>
      </c>
      <c r="Q26" s="121">
        <v>0.55000000000000004</v>
      </c>
      <c r="R26" s="121">
        <v>2</v>
      </c>
      <c r="S26" s="122">
        <v>660.27</v>
      </c>
      <c r="T26" s="122">
        <v>5.0599999999999999E-2</v>
      </c>
      <c r="U26" s="122">
        <v>5.1000000000000004E-3</v>
      </c>
      <c r="V26" s="122">
        <v>1.0200000000000001E-2</v>
      </c>
      <c r="W26" s="122">
        <v>0.38500000000000001</v>
      </c>
      <c r="X26" s="122">
        <v>0.6</v>
      </c>
      <c r="Y26" s="122">
        <v>22.402999999999999</v>
      </c>
      <c r="Z26" s="122">
        <v>100</v>
      </c>
      <c r="AA26" s="122">
        <v>5</v>
      </c>
      <c r="AB26" s="122">
        <v>0.12</v>
      </c>
      <c r="AC26" s="122">
        <v>4.3999999999999997E-2</v>
      </c>
      <c r="AD26" s="122">
        <v>1.6400000000000001E-2</v>
      </c>
      <c r="AE26" s="122">
        <v>1.2800000000000001E-2</v>
      </c>
      <c r="AF26" s="122">
        <v>7.4000000000000003E-3</v>
      </c>
      <c r="AG26" s="122">
        <v>3.7000000000000002E-3</v>
      </c>
      <c r="AH26" s="122">
        <v>2.3E-3</v>
      </c>
      <c r="AI26" s="122">
        <v>1.4E-2</v>
      </c>
      <c r="AJ26" s="122">
        <v>1.2999999999999999E-2</v>
      </c>
      <c r="AK26" s="122">
        <v>1.2E-2</v>
      </c>
      <c r="AL26" s="122">
        <v>1.266</v>
      </c>
      <c r="AM26" s="122">
        <v>0.63300000000000001</v>
      </c>
      <c r="AN26" s="122">
        <v>0.72899999999999998</v>
      </c>
      <c r="AO26" s="12">
        <v>1</v>
      </c>
      <c r="AP26" s="121">
        <v>5.01</v>
      </c>
      <c r="AQ26" s="121">
        <v>15.1</v>
      </c>
      <c r="AR26" s="121">
        <v>4</v>
      </c>
      <c r="AS26" s="121">
        <v>0.5</v>
      </c>
      <c r="AT26" s="121">
        <v>4.75</v>
      </c>
      <c r="AU26" s="121">
        <v>0.4</v>
      </c>
      <c r="AV26" s="121">
        <v>0.2</v>
      </c>
      <c r="AW26" s="121">
        <v>100</v>
      </c>
      <c r="AX26" s="121">
        <v>20.2</v>
      </c>
      <c r="AY26" s="121">
        <v>100.9</v>
      </c>
      <c r="AZ26" s="121">
        <v>0.1</v>
      </c>
      <c r="BA26" s="121">
        <v>2.5</v>
      </c>
      <c r="BB26" s="121">
        <v>0.01</v>
      </c>
      <c r="BC26" s="121">
        <v>0.1</v>
      </c>
      <c r="BD26" s="121">
        <v>0</v>
      </c>
      <c r="BE26" s="121">
        <v>0</v>
      </c>
      <c r="BF26" s="121">
        <v>0</v>
      </c>
      <c r="BG26" s="12" t="s">
        <v>2037</v>
      </c>
    </row>
    <row r="27" spans="1:59" s="12" customFormat="1" x14ac:dyDescent="0.25">
      <c r="A27" s="12">
        <v>22</v>
      </c>
      <c r="B27" s="12" t="s">
        <v>2038</v>
      </c>
      <c r="C27" s="121">
        <v>20</v>
      </c>
      <c r="D27" s="121">
        <v>0.55000000000000004</v>
      </c>
      <c r="E27" s="121">
        <v>14</v>
      </c>
      <c r="F27" s="121">
        <v>1</v>
      </c>
      <c r="G27" s="121">
        <v>4</v>
      </c>
      <c r="H27" s="121">
        <v>0.9</v>
      </c>
      <c r="I27" s="121">
        <v>15.02</v>
      </c>
      <c r="J27" s="121">
        <v>50.95</v>
      </c>
      <c r="K27" s="121">
        <v>1</v>
      </c>
      <c r="L27" s="121">
        <v>0.5</v>
      </c>
      <c r="M27" s="146">
        <v>3</v>
      </c>
      <c r="N27" s="121">
        <v>0.01</v>
      </c>
      <c r="O27" s="121">
        <v>0.9</v>
      </c>
      <c r="P27" s="121">
        <v>100</v>
      </c>
      <c r="Q27" s="121">
        <v>0.55000000000000004</v>
      </c>
      <c r="R27" s="121">
        <v>2</v>
      </c>
      <c r="S27" s="122">
        <v>660.27</v>
      </c>
      <c r="T27" s="122">
        <v>5.0599999999999999E-2</v>
      </c>
      <c r="U27" s="122">
        <v>5.1000000000000004E-3</v>
      </c>
      <c r="V27" s="122">
        <v>1.0200000000000001E-2</v>
      </c>
      <c r="W27" s="122">
        <v>0.38</v>
      </c>
      <c r="X27" s="122">
        <v>0.6</v>
      </c>
      <c r="Y27" s="122">
        <v>22.402999999999999</v>
      </c>
      <c r="Z27" s="122">
        <v>100</v>
      </c>
      <c r="AA27" s="122">
        <v>5</v>
      </c>
      <c r="AB27" s="122">
        <v>0.12</v>
      </c>
      <c r="AC27" s="122">
        <v>4.3999999999999997E-2</v>
      </c>
      <c r="AD27" s="122">
        <v>1.6400000000000001E-2</v>
      </c>
      <c r="AE27" s="122">
        <v>1.2800000000000001E-2</v>
      </c>
      <c r="AF27" s="122">
        <v>7.4000000000000003E-3</v>
      </c>
      <c r="AG27" s="122">
        <v>3.7000000000000002E-3</v>
      </c>
      <c r="AH27" s="122">
        <v>2.3E-3</v>
      </c>
      <c r="AI27" s="122">
        <v>1.4E-2</v>
      </c>
      <c r="AJ27" s="122">
        <v>1.2999999999999999E-2</v>
      </c>
      <c r="AK27" s="122">
        <v>1.2E-2</v>
      </c>
      <c r="AL27" s="122">
        <v>1.266</v>
      </c>
      <c r="AM27" s="122">
        <v>0.63300000000000001</v>
      </c>
      <c r="AN27" s="122">
        <v>0.72899999999999998</v>
      </c>
      <c r="AO27" s="12">
        <v>2</v>
      </c>
      <c r="AP27" s="121">
        <v>5.01</v>
      </c>
      <c r="AQ27" s="121">
        <v>15.1</v>
      </c>
      <c r="AR27" s="121">
        <v>4</v>
      </c>
      <c r="AS27" s="121">
        <v>0.5</v>
      </c>
      <c r="AT27" s="121">
        <v>4.75</v>
      </c>
      <c r="AU27" s="121">
        <v>0.4</v>
      </c>
      <c r="AV27" s="121">
        <v>0.2</v>
      </c>
      <c r="AW27" s="121">
        <v>100</v>
      </c>
      <c r="AX27" s="121">
        <v>20.2</v>
      </c>
      <c r="AY27" s="121">
        <v>100.9</v>
      </c>
      <c r="AZ27" s="121">
        <v>0.1</v>
      </c>
      <c r="BA27" s="121">
        <v>2.5</v>
      </c>
      <c r="BB27" s="121">
        <v>0.01</v>
      </c>
      <c r="BC27" s="121">
        <v>0.1</v>
      </c>
      <c r="BD27" s="121">
        <v>0</v>
      </c>
      <c r="BE27" s="121">
        <v>0</v>
      </c>
      <c r="BF27" s="121">
        <v>0</v>
      </c>
      <c r="BG27" s="12" t="s">
        <v>2039</v>
      </c>
    </row>
    <row r="28" spans="1:59" s="12" customFormat="1" x14ac:dyDescent="0.25">
      <c r="A28" s="12">
        <v>23</v>
      </c>
      <c r="B28" s="12" t="s">
        <v>2040</v>
      </c>
      <c r="C28" s="121">
        <v>34</v>
      </c>
      <c r="D28" s="121">
        <v>0.3</v>
      </c>
      <c r="E28" s="121">
        <v>21</v>
      </c>
      <c r="F28" s="121">
        <v>5</v>
      </c>
      <c r="G28" s="121">
        <v>4.5</v>
      </c>
      <c r="H28" s="121">
        <v>0.49</v>
      </c>
      <c r="I28" s="121">
        <v>15.02</v>
      </c>
      <c r="J28" s="121">
        <v>45.95</v>
      </c>
      <c r="K28" s="121">
        <v>0.2</v>
      </c>
      <c r="L28" s="121">
        <v>0.3</v>
      </c>
      <c r="M28" s="146">
        <v>3</v>
      </c>
      <c r="N28" s="121">
        <v>7.7999999999999996E-3</v>
      </c>
      <c r="O28" s="121">
        <v>0.9</v>
      </c>
      <c r="P28" s="121">
        <v>100</v>
      </c>
      <c r="Q28" s="121">
        <v>1.3</v>
      </c>
      <c r="R28" s="121">
        <v>1.4</v>
      </c>
      <c r="S28" s="122">
        <v>660.46</v>
      </c>
      <c r="T28" s="122">
        <v>3.5999999999999997E-2</v>
      </c>
      <c r="U28" s="122">
        <v>8.3999999999999995E-3</v>
      </c>
      <c r="V28" s="122">
        <v>3.7999999999999999E-2</v>
      </c>
      <c r="W28" s="122">
        <v>0.21</v>
      </c>
      <c r="X28" s="122">
        <v>0.6</v>
      </c>
      <c r="Y28" s="122">
        <v>10.753</v>
      </c>
      <c r="Z28" s="122">
        <v>330</v>
      </c>
      <c r="AA28" s="122">
        <v>5</v>
      </c>
      <c r="AB28" s="122">
        <v>0.12</v>
      </c>
      <c r="AC28" s="122">
        <v>4.3999999999999997E-2</v>
      </c>
      <c r="AD28" s="122">
        <v>1.6400000000000001E-2</v>
      </c>
      <c r="AE28" s="122">
        <v>1.2800000000000001E-2</v>
      </c>
      <c r="AF28" s="122">
        <v>7.4000000000000003E-3</v>
      </c>
      <c r="AG28" s="122">
        <v>3.7000000000000002E-3</v>
      </c>
      <c r="AH28" s="122">
        <v>2.3E-3</v>
      </c>
      <c r="AI28" s="122">
        <v>4.3999999999999997E-2</v>
      </c>
      <c r="AJ28" s="122">
        <v>1.6E-2</v>
      </c>
      <c r="AK28" s="122">
        <v>1.2999999999999999E-2</v>
      </c>
      <c r="AL28" s="122">
        <v>1.266</v>
      </c>
      <c r="AM28" s="122">
        <v>0.63300000000000001</v>
      </c>
      <c r="AN28" s="122">
        <v>0.72899999999999998</v>
      </c>
      <c r="AO28" s="12">
        <v>4</v>
      </c>
      <c r="AP28" s="121">
        <v>5.05</v>
      </c>
      <c r="AQ28" s="121">
        <v>15.1</v>
      </c>
      <c r="AR28" s="121">
        <v>10</v>
      </c>
      <c r="AS28" s="121">
        <v>0.5</v>
      </c>
      <c r="AT28" s="121">
        <v>4.75</v>
      </c>
      <c r="AU28" s="121">
        <v>0.4</v>
      </c>
      <c r="AV28" s="121">
        <v>0.2</v>
      </c>
      <c r="AW28" s="121">
        <v>100</v>
      </c>
      <c r="AX28" s="121">
        <v>20.2</v>
      </c>
      <c r="AY28" s="121">
        <v>100.9</v>
      </c>
      <c r="AZ28" s="121">
        <v>0.1</v>
      </c>
      <c r="BA28" s="121">
        <v>2.5</v>
      </c>
      <c r="BB28" s="121">
        <v>0.01</v>
      </c>
      <c r="BC28" s="121">
        <v>0.1</v>
      </c>
      <c r="BD28" s="121">
        <v>0</v>
      </c>
      <c r="BE28" s="121">
        <v>0</v>
      </c>
      <c r="BF28" s="121">
        <v>0</v>
      </c>
      <c r="BG28" s="12" t="s">
        <v>2041</v>
      </c>
    </row>
    <row r="29" spans="1:59" s="12" customFormat="1" x14ac:dyDescent="0.25">
      <c r="A29" s="12">
        <v>24</v>
      </c>
      <c r="B29" s="12" t="s">
        <v>2042</v>
      </c>
      <c r="C29" s="121">
        <v>34</v>
      </c>
      <c r="D29" s="121">
        <v>0.23</v>
      </c>
      <c r="E29" s="121">
        <v>21</v>
      </c>
      <c r="F29" s="121">
        <v>5</v>
      </c>
      <c r="G29" s="121">
        <v>3.5</v>
      </c>
      <c r="H29" s="121">
        <v>0.5</v>
      </c>
      <c r="I29" s="121">
        <v>15.02</v>
      </c>
      <c r="J29" s="121">
        <v>45.95</v>
      </c>
      <c r="K29" s="121">
        <v>0.2</v>
      </c>
      <c r="L29" s="121">
        <v>0.3</v>
      </c>
      <c r="M29" s="146">
        <v>3</v>
      </c>
      <c r="N29" s="121">
        <v>7.7999999999999996E-3</v>
      </c>
      <c r="O29" s="121">
        <v>0.9</v>
      </c>
      <c r="P29" s="121">
        <v>100</v>
      </c>
      <c r="Q29" s="121">
        <v>0.9</v>
      </c>
      <c r="R29" s="121">
        <v>0.9</v>
      </c>
      <c r="S29" s="122">
        <v>660.46</v>
      </c>
      <c r="T29" s="122">
        <v>3.5999999999999997E-2</v>
      </c>
      <c r="U29" s="122">
        <v>8.3999999999999995E-3</v>
      </c>
      <c r="V29" s="122">
        <v>3.7999999999999999E-2</v>
      </c>
      <c r="W29" s="122">
        <v>0.16</v>
      </c>
      <c r="X29" s="122">
        <v>0.6</v>
      </c>
      <c r="Y29" s="122">
        <v>10.753</v>
      </c>
      <c r="Z29" s="122">
        <v>147.73500000000001</v>
      </c>
      <c r="AA29" s="122">
        <v>5</v>
      </c>
      <c r="AB29" s="122">
        <v>0.12</v>
      </c>
      <c r="AC29" s="122">
        <v>4.3999999999999997E-2</v>
      </c>
      <c r="AD29" s="122">
        <v>1.8200000000000001E-2</v>
      </c>
      <c r="AE29" s="122">
        <v>1.6400000000000001E-2</v>
      </c>
      <c r="AF29" s="122">
        <v>7.3000000000000001E-3</v>
      </c>
      <c r="AG29" s="122">
        <v>3.7000000000000002E-3</v>
      </c>
      <c r="AH29" s="122">
        <v>2.3E-3</v>
      </c>
      <c r="AI29" s="122">
        <v>4.3999999999999997E-2</v>
      </c>
      <c r="AJ29" s="122">
        <v>1.6E-2</v>
      </c>
      <c r="AK29" s="122">
        <v>1.2999999999999999E-2</v>
      </c>
      <c r="AL29" s="122">
        <v>1.266</v>
      </c>
      <c r="AM29" s="122">
        <v>0.63300000000000001</v>
      </c>
      <c r="AN29" s="122">
        <v>0.72899999999999998</v>
      </c>
      <c r="AO29" s="12">
        <v>4</v>
      </c>
      <c r="AP29" s="121">
        <v>5.05</v>
      </c>
      <c r="AQ29" s="121">
        <v>15.1</v>
      </c>
      <c r="AR29" s="121">
        <v>10</v>
      </c>
      <c r="AS29" s="121">
        <v>0.5</v>
      </c>
      <c r="AT29" s="121">
        <v>4.75</v>
      </c>
      <c r="AU29" s="121">
        <v>0.4</v>
      </c>
      <c r="AV29" s="121">
        <v>0.2</v>
      </c>
      <c r="AW29" s="121">
        <v>100</v>
      </c>
      <c r="AX29" s="121">
        <v>20.2</v>
      </c>
      <c r="AY29" s="121">
        <v>100.9</v>
      </c>
      <c r="AZ29" s="121">
        <v>0.1</v>
      </c>
      <c r="BA29" s="121">
        <v>2.5</v>
      </c>
      <c r="BB29" s="121">
        <v>0.01</v>
      </c>
      <c r="BC29" s="121">
        <v>0.1</v>
      </c>
      <c r="BD29" s="121">
        <v>0</v>
      </c>
      <c r="BE29" s="121">
        <v>0</v>
      </c>
      <c r="BF29" s="121">
        <v>0</v>
      </c>
      <c r="BG29" s="12" t="s">
        <v>2043</v>
      </c>
    </row>
    <row r="30" spans="1:59" s="12" customFormat="1" x14ac:dyDescent="0.25">
      <c r="A30" s="12">
        <v>25</v>
      </c>
      <c r="B30" s="12" t="s">
        <v>2044</v>
      </c>
      <c r="C30" s="121">
        <v>25</v>
      </c>
      <c r="D30" s="121">
        <v>0.54</v>
      </c>
      <c r="E30" s="121">
        <v>22.5</v>
      </c>
      <c r="F30" s="121">
        <v>5</v>
      </c>
      <c r="G30" s="121">
        <v>2.5</v>
      </c>
      <c r="H30" s="121">
        <v>0.9</v>
      </c>
      <c r="I30" s="121">
        <v>15.02</v>
      </c>
      <c r="J30" s="121">
        <v>50.95</v>
      </c>
      <c r="K30" s="121">
        <v>1</v>
      </c>
      <c r="L30" s="121">
        <v>0.5</v>
      </c>
      <c r="M30" s="146">
        <v>3</v>
      </c>
      <c r="N30" s="121">
        <v>7.7999999999999996E-3</v>
      </c>
      <c r="O30" s="121">
        <v>0.9</v>
      </c>
      <c r="P30" s="121">
        <v>100</v>
      </c>
      <c r="Q30" s="121">
        <v>0.55000000000000004</v>
      </c>
      <c r="R30" s="121">
        <v>2</v>
      </c>
      <c r="S30" s="122">
        <v>660.34</v>
      </c>
      <c r="T30" s="122">
        <v>4.0899999999999999E-2</v>
      </c>
      <c r="U30" s="122">
        <v>5.4999999999999997E-3</v>
      </c>
      <c r="V30" s="122">
        <v>8.3999999999999995E-3</v>
      </c>
      <c r="W30" s="122">
        <v>0.27</v>
      </c>
      <c r="X30" s="122">
        <v>0.6</v>
      </c>
      <c r="Y30" s="122">
        <v>0.311</v>
      </c>
      <c r="Z30" s="122">
        <v>143.32499999999999</v>
      </c>
      <c r="AA30" s="122">
        <v>5</v>
      </c>
      <c r="AB30" s="122">
        <v>0.12</v>
      </c>
      <c r="AC30" s="122">
        <v>4.82E-2</v>
      </c>
      <c r="AD30" s="122">
        <v>2.9399999999999999E-2</v>
      </c>
      <c r="AE30" s="122">
        <v>2.63E-2</v>
      </c>
      <c r="AF30" s="122">
        <v>4.8999999999999998E-3</v>
      </c>
      <c r="AG30" s="122">
        <v>2.3999999999999998E-3</v>
      </c>
      <c r="AH30" s="122">
        <v>2.3E-3</v>
      </c>
      <c r="AI30" s="122">
        <v>0.02</v>
      </c>
      <c r="AJ30" s="122">
        <v>1.2999999999999999E-2</v>
      </c>
      <c r="AK30" s="122">
        <v>7.0000000000000001E-3</v>
      </c>
      <c r="AL30" s="122">
        <v>1.266</v>
      </c>
      <c r="AM30" s="122">
        <v>0.63300000000000001</v>
      </c>
      <c r="AN30" s="122">
        <v>0.72899999999999998</v>
      </c>
      <c r="AO30" s="12">
        <v>2</v>
      </c>
      <c r="AP30" s="121">
        <v>5.05</v>
      </c>
      <c r="AQ30" s="121">
        <v>15.1</v>
      </c>
      <c r="AR30" s="121">
        <v>10</v>
      </c>
      <c r="AS30" s="121">
        <v>1</v>
      </c>
      <c r="AT30" s="121">
        <v>4.75</v>
      </c>
      <c r="AU30" s="121">
        <v>0.4</v>
      </c>
      <c r="AV30" s="121">
        <v>0.2</v>
      </c>
      <c r="AW30" s="121">
        <v>100</v>
      </c>
      <c r="AX30" s="121">
        <v>20.2</v>
      </c>
      <c r="AY30" s="121">
        <v>100.9</v>
      </c>
      <c r="AZ30" s="121">
        <v>0.1</v>
      </c>
      <c r="BA30" s="121">
        <v>2.5</v>
      </c>
      <c r="BB30" s="121">
        <v>0.01</v>
      </c>
      <c r="BC30" s="121">
        <v>0.1</v>
      </c>
      <c r="BD30" s="121">
        <v>0</v>
      </c>
      <c r="BE30" s="121">
        <v>0</v>
      </c>
      <c r="BF30" s="121">
        <v>0</v>
      </c>
      <c r="BG30" s="12" t="s">
        <v>2045</v>
      </c>
    </row>
    <row r="31" spans="1:59" s="12" customFormat="1" x14ac:dyDescent="0.25">
      <c r="A31" s="12">
        <v>26</v>
      </c>
      <c r="B31" s="12" t="s">
        <v>2046</v>
      </c>
      <c r="C31" s="121">
        <v>25</v>
      </c>
      <c r="D31" s="121">
        <v>0.45</v>
      </c>
      <c r="E31" s="121">
        <v>15</v>
      </c>
      <c r="F31" s="121">
        <v>1</v>
      </c>
      <c r="G31" s="121">
        <v>5</v>
      </c>
      <c r="H31" s="121">
        <v>0.75</v>
      </c>
      <c r="I31" s="121">
        <v>15.01</v>
      </c>
      <c r="J31" s="121">
        <v>50.95</v>
      </c>
      <c r="K31" s="121">
        <v>2</v>
      </c>
      <c r="L31" s="121">
        <v>2</v>
      </c>
      <c r="M31" s="146">
        <v>2</v>
      </c>
      <c r="N31" s="121">
        <v>7.0000000000000001E-3</v>
      </c>
      <c r="O31" s="121">
        <v>0.85</v>
      </c>
      <c r="P31" s="121">
        <v>35</v>
      </c>
      <c r="Q31" s="121">
        <v>1.2</v>
      </c>
      <c r="R31" s="121">
        <v>2</v>
      </c>
      <c r="S31" s="122">
        <v>660.34</v>
      </c>
      <c r="T31" s="122">
        <v>4.1200000000000001E-2</v>
      </c>
      <c r="U31" s="122">
        <v>5.4999999999999997E-3</v>
      </c>
      <c r="V31" s="122">
        <v>1.14E-2</v>
      </c>
      <c r="W31" s="122">
        <v>0.34</v>
      </c>
      <c r="X31" s="122">
        <v>0.6</v>
      </c>
      <c r="Y31" s="122">
        <v>0.73899999999999999</v>
      </c>
      <c r="Z31" s="122">
        <v>24</v>
      </c>
      <c r="AA31" s="122">
        <v>5</v>
      </c>
      <c r="AB31" s="122">
        <v>0.12</v>
      </c>
      <c r="AC31" s="122">
        <v>5.1499999999999997E-2</v>
      </c>
      <c r="AD31" s="122">
        <v>3.3500000000000002E-2</v>
      </c>
      <c r="AE31" s="122">
        <v>2.9600000000000001E-2</v>
      </c>
      <c r="AF31" s="122">
        <v>3.3E-3</v>
      </c>
      <c r="AG31" s="122">
        <v>1.9E-3</v>
      </c>
      <c r="AH31" s="122">
        <v>1.4E-3</v>
      </c>
      <c r="AI31" s="122">
        <v>1.4E-2</v>
      </c>
      <c r="AJ31" s="122">
        <v>1.2999999999999999E-2</v>
      </c>
      <c r="AK31" s="122">
        <v>1.2E-2</v>
      </c>
      <c r="AL31" s="122">
        <v>3.39</v>
      </c>
      <c r="AM31" s="122">
        <v>3.39</v>
      </c>
      <c r="AN31" s="122">
        <v>1.61</v>
      </c>
      <c r="AO31" s="12">
        <v>2</v>
      </c>
      <c r="AP31" s="121">
        <v>5.01</v>
      </c>
      <c r="AQ31" s="121">
        <v>15.1</v>
      </c>
      <c r="AR31" s="121">
        <v>10</v>
      </c>
      <c r="AS31" s="121">
        <v>1</v>
      </c>
      <c r="AT31" s="121">
        <v>4.75</v>
      </c>
      <c r="AU31" s="121">
        <v>0.4</v>
      </c>
      <c r="AV31" s="121">
        <v>0.2</v>
      </c>
      <c r="AW31" s="121">
        <v>100</v>
      </c>
      <c r="AX31" s="121">
        <v>20.2</v>
      </c>
      <c r="AY31" s="121">
        <v>100.9</v>
      </c>
      <c r="AZ31" s="121">
        <v>0.1</v>
      </c>
      <c r="BA31" s="121">
        <v>2.5</v>
      </c>
      <c r="BB31" s="121">
        <v>0.01</v>
      </c>
      <c r="BC31" s="121">
        <v>0.1</v>
      </c>
      <c r="BD31" s="121">
        <v>0</v>
      </c>
      <c r="BE31" s="121">
        <v>0</v>
      </c>
      <c r="BF31" s="121">
        <v>0</v>
      </c>
      <c r="BG31" s="12" t="s">
        <v>2047</v>
      </c>
    </row>
    <row r="32" spans="1:59" s="12" customFormat="1" x14ac:dyDescent="0.25">
      <c r="A32" s="12">
        <v>27</v>
      </c>
      <c r="B32" s="12" t="s">
        <v>2048</v>
      </c>
      <c r="C32" s="121">
        <v>25</v>
      </c>
      <c r="D32" s="121">
        <v>0.31</v>
      </c>
      <c r="E32" s="121">
        <v>25</v>
      </c>
      <c r="F32" s="121">
        <v>10</v>
      </c>
      <c r="G32" s="121">
        <v>5</v>
      </c>
      <c r="H32" s="121">
        <v>0.9</v>
      </c>
      <c r="I32" s="121">
        <v>15.01</v>
      </c>
      <c r="J32" s="121">
        <v>50.95</v>
      </c>
      <c r="K32" s="121">
        <v>2</v>
      </c>
      <c r="L32" s="121">
        <v>10</v>
      </c>
      <c r="M32" s="146">
        <v>3</v>
      </c>
      <c r="N32" s="121">
        <v>7.7999999999999996E-3</v>
      </c>
      <c r="O32" s="121">
        <v>0.85</v>
      </c>
      <c r="P32" s="121">
        <v>35</v>
      </c>
      <c r="Q32" s="121">
        <v>1.5</v>
      </c>
      <c r="R32" s="121">
        <v>2</v>
      </c>
      <c r="S32" s="122">
        <v>660.34</v>
      </c>
      <c r="T32" s="122">
        <v>4.2000000000000003E-2</v>
      </c>
      <c r="U32" s="122">
        <v>4.0000000000000001E-3</v>
      </c>
      <c r="V32" s="122">
        <v>1.37E-2</v>
      </c>
      <c r="W32" s="122">
        <v>0.23</v>
      </c>
      <c r="X32" s="122">
        <v>0.6</v>
      </c>
      <c r="Y32" s="122">
        <v>0.73899999999999999</v>
      </c>
      <c r="Z32" s="122">
        <v>370</v>
      </c>
      <c r="AA32" s="122">
        <v>5</v>
      </c>
      <c r="AB32" s="122">
        <v>0.13</v>
      </c>
      <c r="AC32" s="122">
        <v>3.2599999999999997E-2</v>
      </c>
      <c r="AD32" s="122">
        <v>1.6500000000000001E-2</v>
      </c>
      <c r="AE32" s="122">
        <v>1.61E-2</v>
      </c>
      <c r="AF32" s="122">
        <v>4.4000000000000003E-3</v>
      </c>
      <c r="AG32" s="122">
        <v>2.2000000000000001E-3</v>
      </c>
      <c r="AH32" s="122">
        <v>2.0999999999999999E-3</v>
      </c>
      <c r="AI32" s="122">
        <v>1.4E-2</v>
      </c>
      <c r="AJ32" s="122">
        <v>1.2999999999999999E-2</v>
      </c>
      <c r="AK32" s="122">
        <v>1.2E-2</v>
      </c>
      <c r="AL32" s="122">
        <v>1.266</v>
      </c>
      <c r="AM32" s="122">
        <v>0.63300000000000001</v>
      </c>
      <c r="AN32" s="122">
        <v>0.72899999999999998</v>
      </c>
      <c r="AO32" s="12">
        <v>1</v>
      </c>
      <c r="AP32" s="121">
        <v>5.05</v>
      </c>
      <c r="AQ32" s="121">
        <v>15.95</v>
      </c>
      <c r="AR32" s="121">
        <v>10</v>
      </c>
      <c r="AS32" s="121">
        <v>1</v>
      </c>
      <c r="AT32" s="121">
        <v>4.75</v>
      </c>
      <c r="AU32" s="121">
        <v>0.4</v>
      </c>
      <c r="AV32" s="121">
        <v>0.2</v>
      </c>
      <c r="AW32" s="121">
        <v>100</v>
      </c>
      <c r="AX32" s="121">
        <v>20.2</v>
      </c>
      <c r="AY32" s="121">
        <v>100.9</v>
      </c>
      <c r="AZ32" s="121">
        <v>0.1</v>
      </c>
      <c r="BA32" s="121">
        <v>2.5</v>
      </c>
      <c r="BB32" s="121">
        <v>0.01</v>
      </c>
      <c r="BC32" s="121">
        <v>0.1</v>
      </c>
      <c r="BD32" s="121">
        <v>0</v>
      </c>
      <c r="BE32" s="121">
        <v>0</v>
      </c>
      <c r="BF32" s="121">
        <v>0</v>
      </c>
      <c r="BG32" s="12" t="s">
        <v>2049</v>
      </c>
    </row>
    <row r="33" spans="1:59" s="12" customFormat="1" x14ac:dyDescent="0.25">
      <c r="A33" s="12">
        <v>28</v>
      </c>
      <c r="B33" s="12" t="s">
        <v>2050</v>
      </c>
      <c r="C33" s="121">
        <v>50</v>
      </c>
      <c r="D33" s="121">
        <v>0.31</v>
      </c>
      <c r="E33" s="121">
        <v>25</v>
      </c>
      <c r="F33" s="121">
        <v>10</v>
      </c>
      <c r="G33" s="121">
        <v>5</v>
      </c>
      <c r="H33" s="121">
        <v>0.9</v>
      </c>
      <c r="I33" s="121">
        <v>15.01</v>
      </c>
      <c r="J33" s="121">
        <v>50.95</v>
      </c>
      <c r="K33" s="121">
        <v>2</v>
      </c>
      <c r="L33" s="121">
        <v>10</v>
      </c>
      <c r="M33" s="146">
        <v>3</v>
      </c>
      <c r="N33" s="121">
        <v>7.7999999999999996E-3</v>
      </c>
      <c r="O33" s="121">
        <v>0.85</v>
      </c>
      <c r="P33" s="121">
        <v>35</v>
      </c>
      <c r="Q33" s="121">
        <v>1.5</v>
      </c>
      <c r="R33" s="121">
        <v>2</v>
      </c>
      <c r="S33" s="122">
        <v>660.67</v>
      </c>
      <c r="T33" s="122">
        <v>4.19E-2</v>
      </c>
      <c r="U33" s="122">
        <v>3.8999999999999998E-3</v>
      </c>
      <c r="V33" s="122">
        <v>1.0999999999999999E-2</v>
      </c>
      <c r="W33" s="122">
        <v>0.23</v>
      </c>
      <c r="X33" s="122">
        <v>0.6</v>
      </c>
      <c r="Y33" s="122">
        <v>0.73899999999999999</v>
      </c>
      <c r="Z33" s="122">
        <v>370</v>
      </c>
      <c r="AA33" s="122">
        <v>5</v>
      </c>
      <c r="AB33" s="122">
        <v>0.13</v>
      </c>
      <c r="AC33" s="122">
        <v>0.05</v>
      </c>
      <c r="AD33" s="122">
        <v>0.02</v>
      </c>
      <c r="AE33" s="122">
        <v>1.4999999999999999E-2</v>
      </c>
      <c r="AF33" s="122">
        <v>7.4000000000000003E-3</v>
      </c>
      <c r="AG33" s="122">
        <v>3.7000000000000002E-3</v>
      </c>
      <c r="AH33" s="122">
        <v>3.5000000000000001E-3</v>
      </c>
      <c r="AI33" s="122">
        <v>1.4E-2</v>
      </c>
      <c r="AJ33" s="122">
        <v>1.4E-2</v>
      </c>
      <c r="AK33" s="122">
        <v>1.2999999999999999E-2</v>
      </c>
      <c r="AL33" s="122">
        <v>1.266</v>
      </c>
      <c r="AM33" s="122">
        <v>0.63300000000000001</v>
      </c>
      <c r="AN33" s="122">
        <v>0.72899999999999998</v>
      </c>
      <c r="AO33" s="12">
        <v>1</v>
      </c>
      <c r="AP33" s="121">
        <v>5.05</v>
      </c>
      <c r="AQ33" s="121">
        <v>15.95</v>
      </c>
      <c r="AR33" s="121">
        <v>10</v>
      </c>
      <c r="AS33" s="121">
        <v>1</v>
      </c>
      <c r="AT33" s="121">
        <v>4.75</v>
      </c>
      <c r="AU33" s="121">
        <v>0.4</v>
      </c>
      <c r="AV33" s="121">
        <v>0.2</v>
      </c>
      <c r="AW33" s="121">
        <v>100</v>
      </c>
      <c r="AX33" s="121">
        <v>20.2</v>
      </c>
      <c r="AY33" s="121">
        <v>100.9</v>
      </c>
      <c r="AZ33" s="121">
        <v>0.1</v>
      </c>
      <c r="BA33" s="121">
        <v>2.5</v>
      </c>
      <c r="BB33" s="121">
        <v>0.01</v>
      </c>
      <c r="BC33" s="121">
        <v>0.1</v>
      </c>
      <c r="BD33" s="121">
        <v>0</v>
      </c>
      <c r="BE33" s="121">
        <v>0</v>
      </c>
      <c r="BF33" s="121">
        <v>0</v>
      </c>
      <c r="BG33" s="12" t="s">
        <v>2051</v>
      </c>
    </row>
    <row r="34" spans="1:59" s="12" customFormat="1" x14ac:dyDescent="0.25">
      <c r="A34" s="12">
        <v>29</v>
      </c>
      <c r="B34" s="12" t="s">
        <v>2052</v>
      </c>
      <c r="C34" s="121">
        <v>39</v>
      </c>
      <c r="D34" s="121">
        <v>0.5</v>
      </c>
      <c r="E34" s="121">
        <v>25</v>
      </c>
      <c r="F34" s="121">
        <v>10</v>
      </c>
      <c r="G34" s="121">
        <v>6</v>
      </c>
      <c r="H34" s="121">
        <v>0.8</v>
      </c>
      <c r="I34" s="121">
        <v>15.05</v>
      </c>
      <c r="J34" s="121">
        <v>50.95</v>
      </c>
      <c r="K34" s="121">
        <v>1</v>
      </c>
      <c r="L34" s="121">
        <v>1</v>
      </c>
      <c r="M34" s="146">
        <v>3</v>
      </c>
      <c r="N34" s="121">
        <v>7.0000000000000001E-3</v>
      </c>
      <c r="O34" s="121">
        <v>0.85</v>
      </c>
      <c r="P34" s="121">
        <v>20</v>
      </c>
      <c r="Q34" s="121">
        <v>2</v>
      </c>
      <c r="R34" s="121">
        <v>2</v>
      </c>
      <c r="S34" s="122">
        <v>660.45</v>
      </c>
      <c r="T34" s="122">
        <v>1.6799999999999999E-2</v>
      </c>
      <c r="U34" s="122">
        <v>2.3E-3</v>
      </c>
      <c r="V34" s="122">
        <v>3.2000000000000002E-3</v>
      </c>
      <c r="W34" s="122">
        <v>0.25</v>
      </c>
      <c r="X34" s="122">
        <v>0.6</v>
      </c>
      <c r="Y34" s="122">
        <v>3.4449999999999998</v>
      </c>
      <c r="Z34" s="122">
        <v>0</v>
      </c>
      <c r="AA34" s="122">
        <v>31.5</v>
      </c>
      <c r="AB34" s="122">
        <v>0.15</v>
      </c>
      <c r="AC34" s="122">
        <v>4.3999999999999997E-2</v>
      </c>
      <c r="AD34" s="122">
        <v>1.6E-2</v>
      </c>
      <c r="AE34" s="122">
        <v>1.2800000000000001E-2</v>
      </c>
      <c r="AF34" s="122">
        <v>6.1999999999999998E-3</v>
      </c>
      <c r="AG34" s="122">
        <v>2.3E-3</v>
      </c>
      <c r="AH34" s="122">
        <v>1.8E-3</v>
      </c>
      <c r="AI34" s="122">
        <v>1.4999999999999999E-2</v>
      </c>
      <c r="AJ34" s="122">
        <v>1.2E-2</v>
      </c>
      <c r="AK34" s="122">
        <v>8.9999999999999993E-3</v>
      </c>
      <c r="AL34" s="122">
        <v>1.266</v>
      </c>
      <c r="AM34" s="122">
        <v>0.63300000000000001</v>
      </c>
      <c r="AN34" s="122">
        <v>0.72899999999999998</v>
      </c>
      <c r="AO34" s="12">
        <v>4</v>
      </c>
      <c r="AP34" s="121">
        <v>5.01</v>
      </c>
      <c r="AQ34" s="121">
        <v>15.95</v>
      </c>
      <c r="AR34" s="121">
        <v>8</v>
      </c>
      <c r="AS34" s="121">
        <v>0.5</v>
      </c>
      <c r="AT34" s="121">
        <v>4.75</v>
      </c>
      <c r="AU34" s="121">
        <v>0.4</v>
      </c>
      <c r="AV34" s="121">
        <v>0.2</v>
      </c>
      <c r="AW34" s="121">
        <v>100</v>
      </c>
      <c r="AX34" s="121">
        <v>4.47</v>
      </c>
      <c r="AY34" s="121">
        <v>7.77</v>
      </c>
      <c r="AZ34" s="121">
        <v>0.12</v>
      </c>
      <c r="BA34" s="121">
        <v>1.7</v>
      </c>
      <c r="BB34" s="121">
        <v>0.01</v>
      </c>
      <c r="BC34" s="121">
        <v>0.1</v>
      </c>
      <c r="BD34" s="121">
        <v>0</v>
      </c>
      <c r="BE34" s="121">
        <v>0</v>
      </c>
      <c r="BF34" s="121">
        <v>0</v>
      </c>
      <c r="BG34" s="12" t="s">
        <v>2053</v>
      </c>
    </row>
    <row r="35" spans="1:59" s="12" customFormat="1" x14ac:dyDescent="0.25">
      <c r="A35" s="12">
        <v>30</v>
      </c>
      <c r="B35" s="12" t="s">
        <v>2054</v>
      </c>
      <c r="C35" s="121">
        <v>35</v>
      </c>
      <c r="D35" s="121">
        <v>0.5</v>
      </c>
      <c r="E35" s="121">
        <v>27.5</v>
      </c>
      <c r="F35" s="121">
        <v>10</v>
      </c>
      <c r="G35" s="121">
        <v>5</v>
      </c>
      <c r="H35" s="121">
        <v>0.8</v>
      </c>
      <c r="I35" s="121">
        <v>15.01</v>
      </c>
      <c r="J35" s="121">
        <v>50.95</v>
      </c>
      <c r="K35" s="121">
        <v>0.5</v>
      </c>
      <c r="L35" s="121">
        <v>0.5</v>
      </c>
      <c r="M35" s="146">
        <v>2</v>
      </c>
      <c r="N35" s="121">
        <v>7.0000000000000001E-3</v>
      </c>
      <c r="O35" s="121">
        <v>0.85</v>
      </c>
      <c r="P35" s="121">
        <v>90</v>
      </c>
      <c r="Q35" s="121">
        <v>2</v>
      </c>
      <c r="R35" s="121">
        <v>2</v>
      </c>
      <c r="S35" s="122">
        <v>660.4</v>
      </c>
      <c r="T35" s="122">
        <v>1.9900000000000001E-2</v>
      </c>
      <c r="U35" s="122">
        <v>3.2000000000000002E-3</v>
      </c>
      <c r="V35" s="122">
        <v>3.8999999999999998E-3</v>
      </c>
      <c r="W35" s="122">
        <v>0.45</v>
      </c>
      <c r="X35" s="122">
        <v>0.6</v>
      </c>
      <c r="Y35" s="122">
        <v>3.6619999999999999</v>
      </c>
      <c r="Z35" s="122">
        <v>0</v>
      </c>
      <c r="AA35" s="122">
        <v>33.08</v>
      </c>
      <c r="AB35" s="122">
        <v>0.13</v>
      </c>
      <c r="AC35" s="122">
        <v>4.3999999999999997E-2</v>
      </c>
      <c r="AD35" s="122">
        <v>1.6400000000000001E-2</v>
      </c>
      <c r="AE35" s="122">
        <v>1.2800000000000001E-2</v>
      </c>
      <c r="AF35" s="122">
        <v>6.0000000000000001E-3</v>
      </c>
      <c r="AG35" s="122">
        <v>2.2000000000000001E-3</v>
      </c>
      <c r="AH35" s="122">
        <v>1.8E-3</v>
      </c>
      <c r="AI35" s="122">
        <v>0.15</v>
      </c>
      <c r="AJ35" s="122">
        <v>0.15</v>
      </c>
      <c r="AK35" s="122">
        <v>0.15</v>
      </c>
      <c r="AL35" s="122">
        <v>3.39</v>
      </c>
      <c r="AM35" s="122">
        <v>3.39</v>
      </c>
      <c r="AN35" s="122">
        <v>0.32</v>
      </c>
      <c r="AO35" s="12">
        <v>4</v>
      </c>
      <c r="AP35" s="121">
        <v>5.05</v>
      </c>
      <c r="AQ35" s="121">
        <v>15.95</v>
      </c>
      <c r="AR35" s="121">
        <v>7</v>
      </c>
      <c r="AS35" s="121">
        <v>0.5</v>
      </c>
      <c r="AT35" s="121">
        <v>4.75</v>
      </c>
      <c r="AU35" s="121">
        <v>0.4</v>
      </c>
      <c r="AV35" s="121">
        <v>0.2</v>
      </c>
      <c r="AW35" s="121">
        <v>100</v>
      </c>
      <c r="AX35" s="121">
        <v>5.43</v>
      </c>
      <c r="AY35" s="121">
        <v>15.79</v>
      </c>
      <c r="AZ35" s="121">
        <v>0.2</v>
      </c>
      <c r="BA35" s="121">
        <v>4.8</v>
      </c>
      <c r="BB35" s="121">
        <v>0.01</v>
      </c>
      <c r="BC35" s="121">
        <v>0.1</v>
      </c>
      <c r="BD35" s="121">
        <v>0</v>
      </c>
      <c r="BE35" s="121">
        <v>0</v>
      </c>
      <c r="BF35" s="121">
        <v>0</v>
      </c>
      <c r="BG35" s="12" t="s">
        <v>2055</v>
      </c>
    </row>
    <row r="36" spans="1:59" s="12" customFormat="1" x14ac:dyDescent="0.25">
      <c r="A36" s="12">
        <v>31</v>
      </c>
      <c r="B36" s="12" t="s">
        <v>2056</v>
      </c>
      <c r="C36" s="121">
        <v>20</v>
      </c>
      <c r="D36" s="121">
        <v>0.02</v>
      </c>
      <c r="E36" s="121">
        <v>25</v>
      </c>
      <c r="F36" s="121">
        <v>1</v>
      </c>
      <c r="G36" s="121">
        <v>5</v>
      </c>
      <c r="H36" s="121">
        <v>0.9</v>
      </c>
      <c r="I36" s="121">
        <v>15.01</v>
      </c>
      <c r="J36" s="121">
        <v>50.95</v>
      </c>
      <c r="K36" s="121">
        <v>0.5</v>
      </c>
      <c r="L36" s="121">
        <v>0.5</v>
      </c>
      <c r="M36" s="146">
        <v>3</v>
      </c>
      <c r="N36" s="121">
        <v>0.01</v>
      </c>
      <c r="O36" s="121">
        <v>0.85</v>
      </c>
      <c r="P36" s="121">
        <v>15</v>
      </c>
      <c r="Q36" s="121">
        <v>1.25</v>
      </c>
      <c r="R36" s="121">
        <v>2</v>
      </c>
      <c r="S36" s="122">
        <v>660.27</v>
      </c>
      <c r="T36" s="122">
        <v>6.0100000000000001E-2</v>
      </c>
      <c r="U36" s="122">
        <v>6.6E-3</v>
      </c>
      <c r="V36" s="122">
        <v>7.4000000000000003E-3</v>
      </c>
      <c r="W36" s="122">
        <v>0.01</v>
      </c>
      <c r="X36" s="122">
        <v>0.6</v>
      </c>
      <c r="Y36" s="122">
        <v>3.6379999999999999</v>
      </c>
      <c r="Z36" s="122">
        <v>132</v>
      </c>
      <c r="AA36" s="122">
        <v>172.86</v>
      </c>
      <c r="AB36" s="122">
        <v>0.12</v>
      </c>
      <c r="AC36" s="122">
        <v>0.05</v>
      </c>
      <c r="AD36" s="122">
        <v>2.8299999999999999E-2</v>
      </c>
      <c r="AE36" s="122">
        <v>2.4E-2</v>
      </c>
      <c r="AF36" s="122">
        <v>7.1000000000000004E-3</v>
      </c>
      <c r="AG36" s="122">
        <v>2.3999999999999998E-3</v>
      </c>
      <c r="AH36" s="122">
        <v>1.9E-3</v>
      </c>
      <c r="AI36" s="122">
        <v>2.3099999999999999E-2</v>
      </c>
      <c r="AJ36" s="122">
        <v>1.89E-2</v>
      </c>
      <c r="AK36" s="122">
        <v>1.78E-2</v>
      </c>
      <c r="AL36" s="122">
        <v>3.39</v>
      </c>
      <c r="AM36" s="122">
        <v>3.39</v>
      </c>
      <c r="AN36" s="122">
        <v>3.39</v>
      </c>
      <c r="AO36" s="12">
        <v>3</v>
      </c>
      <c r="AP36" s="121">
        <v>5.01</v>
      </c>
      <c r="AQ36" s="121">
        <v>15.1</v>
      </c>
      <c r="AR36" s="121">
        <v>4</v>
      </c>
      <c r="AS36" s="121">
        <v>0.5</v>
      </c>
      <c r="AT36" s="121">
        <v>4.75</v>
      </c>
      <c r="AU36" s="121">
        <v>0.4</v>
      </c>
      <c r="AV36" s="121">
        <v>0.2</v>
      </c>
      <c r="AW36" s="121">
        <v>100</v>
      </c>
      <c r="AX36" s="121">
        <v>22.5</v>
      </c>
      <c r="AY36" s="121">
        <v>40.71</v>
      </c>
      <c r="AZ36" s="121">
        <v>7.0000000000000007E-2</v>
      </c>
      <c r="BA36" s="121">
        <v>2</v>
      </c>
      <c r="BB36" s="121">
        <v>0.01</v>
      </c>
      <c r="BC36" s="121">
        <v>0.1</v>
      </c>
      <c r="BD36" s="121">
        <v>0</v>
      </c>
      <c r="BE36" s="121">
        <v>0</v>
      </c>
      <c r="BF36" s="121">
        <v>0</v>
      </c>
      <c r="BG36" s="12" t="s">
        <v>2057</v>
      </c>
    </row>
    <row r="37" spans="1:59" s="12" customFormat="1" x14ac:dyDescent="0.25">
      <c r="A37" s="12">
        <v>32</v>
      </c>
      <c r="B37" s="12" t="s">
        <v>2058</v>
      </c>
      <c r="C37" s="121">
        <v>25</v>
      </c>
      <c r="D37" s="121">
        <v>0.02</v>
      </c>
      <c r="E37" s="121">
        <v>25</v>
      </c>
      <c r="F37" s="121">
        <v>1</v>
      </c>
      <c r="G37" s="121">
        <v>5</v>
      </c>
      <c r="H37" s="121">
        <v>0.75</v>
      </c>
      <c r="I37" s="121">
        <v>15.01</v>
      </c>
      <c r="J37" s="121">
        <v>50.95</v>
      </c>
      <c r="K37" s="121">
        <v>2</v>
      </c>
      <c r="L37" s="121">
        <v>10</v>
      </c>
      <c r="M37" s="146">
        <v>2</v>
      </c>
      <c r="N37" s="121">
        <v>7.0000000000000001E-3</v>
      </c>
      <c r="O37" s="121">
        <v>0.99</v>
      </c>
      <c r="P37" s="121">
        <v>35</v>
      </c>
      <c r="Q37" s="121">
        <v>1.2</v>
      </c>
      <c r="R37" s="121">
        <v>2</v>
      </c>
      <c r="S37" s="122">
        <v>660.34</v>
      </c>
      <c r="T37" s="122">
        <v>5.67E-2</v>
      </c>
      <c r="U37" s="122">
        <v>4.0000000000000001E-3</v>
      </c>
      <c r="V37" s="122">
        <v>1.7999999999999999E-2</v>
      </c>
      <c r="W37" s="122">
        <v>0.01</v>
      </c>
      <c r="X37" s="122">
        <v>0.6</v>
      </c>
      <c r="Y37" s="122">
        <v>2.1280000000000001</v>
      </c>
      <c r="Z37" s="122">
        <v>24</v>
      </c>
      <c r="AA37" s="122">
        <v>5</v>
      </c>
      <c r="AB37" s="122">
        <v>0.08</v>
      </c>
      <c r="AC37" s="122">
        <v>0.06</v>
      </c>
      <c r="AD37" s="122">
        <v>2.8000000000000001E-2</v>
      </c>
      <c r="AE37" s="122">
        <v>2.4E-2</v>
      </c>
      <c r="AF37" s="122">
        <v>6.0000000000000001E-3</v>
      </c>
      <c r="AG37" s="122">
        <v>3.0000000000000001E-3</v>
      </c>
      <c r="AH37" s="122">
        <v>2.5000000000000001E-3</v>
      </c>
      <c r="AI37" s="122">
        <v>2.1999999999999999E-2</v>
      </c>
      <c r="AJ37" s="122">
        <v>0.02</v>
      </c>
      <c r="AK37" s="122">
        <v>1.7999999999999999E-2</v>
      </c>
      <c r="AL37" s="122">
        <v>3.39</v>
      </c>
      <c r="AM37" s="122">
        <v>3.39</v>
      </c>
      <c r="AN37" s="122">
        <v>3.39</v>
      </c>
      <c r="AO37" s="12">
        <v>2</v>
      </c>
      <c r="AP37" s="121">
        <v>5.01</v>
      </c>
      <c r="AQ37" s="121">
        <v>15.1</v>
      </c>
      <c r="AR37" s="121">
        <v>10</v>
      </c>
      <c r="AS37" s="121">
        <v>1</v>
      </c>
      <c r="AT37" s="121">
        <v>4.75</v>
      </c>
      <c r="AU37" s="121">
        <v>0.4</v>
      </c>
      <c r="AV37" s="121">
        <v>0.2</v>
      </c>
      <c r="AW37" s="121">
        <v>100</v>
      </c>
      <c r="AX37" s="121">
        <v>22.5</v>
      </c>
      <c r="AY37" s="121">
        <v>40.71</v>
      </c>
      <c r="AZ37" s="121">
        <v>0.12</v>
      </c>
      <c r="BA37" s="121">
        <v>1.5</v>
      </c>
      <c r="BB37" s="121">
        <v>0.01</v>
      </c>
      <c r="BC37" s="121">
        <v>0.1</v>
      </c>
      <c r="BD37" s="121">
        <v>0</v>
      </c>
      <c r="BE37" s="121">
        <v>0</v>
      </c>
      <c r="BF37" s="121">
        <v>0</v>
      </c>
      <c r="BG37" s="12" t="s">
        <v>2059</v>
      </c>
    </row>
    <row r="38" spans="1:59" s="12" customFormat="1" x14ac:dyDescent="0.25">
      <c r="A38" s="12">
        <v>33</v>
      </c>
      <c r="B38" s="12" t="s">
        <v>2060</v>
      </c>
      <c r="C38" s="121">
        <v>25</v>
      </c>
      <c r="D38" s="121">
        <v>0.02</v>
      </c>
      <c r="E38" s="121">
        <v>25</v>
      </c>
      <c r="F38" s="121">
        <v>1</v>
      </c>
      <c r="G38" s="121">
        <v>5</v>
      </c>
      <c r="H38" s="121">
        <v>0.75</v>
      </c>
      <c r="I38" s="121">
        <v>15.01</v>
      </c>
      <c r="J38" s="121">
        <v>50.95</v>
      </c>
      <c r="K38" s="121">
        <v>2</v>
      </c>
      <c r="L38" s="121">
        <v>10</v>
      </c>
      <c r="M38" s="146">
        <v>2</v>
      </c>
      <c r="N38" s="121">
        <v>7.0000000000000001E-3</v>
      </c>
      <c r="O38" s="121">
        <v>0.85</v>
      </c>
      <c r="P38" s="121">
        <v>35</v>
      </c>
      <c r="Q38" s="121">
        <v>1.2</v>
      </c>
      <c r="R38" s="121">
        <v>2</v>
      </c>
      <c r="S38" s="122">
        <v>660.34</v>
      </c>
      <c r="T38" s="122">
        <v>5.9700000000000003E-2</v>
      </c>
      <c r="U38" s="122">
        <v>4.0000000000000001E-3</v>
      </c>
      <c r="V38" s="122">
        <v>1.7999999999999999E-2</v>
      </c>
      <c r="W38" s="122">
        <v>0.01</v>
      </c>
      <c r="X38" s="122">
        <v>0.6</v>
      </c>
      <c r="Y38" s="122">
        <v>3.153</v>
      </c>
      <c r="Z38" s="122">
        <v>24</v>
      </c>
      <c r="AA38" s="122">
        <v>5</v>
      </c>
      <c r="AB38" s="122">
        <v>0.12</v>
      </c>
      <c r="AC38" s="122">
        <v>6.5000000000000002E-2</v>
      </c>
      <c r="AD38" s="122">
        <v>2.8000000000000001E-2</v>
      </c>
      <c r="AE38" s="122">
        <v>2.4299999999999999E-2</v>
      </c>
      <c r="AF38" s="122">
        <v>6.0000000000000001E-3</v>
      </c>
      <c r="AG38" s="122">
        <v>2.8999999999999998E-3</v>
      </c>
      <c r="AH38" s="122">
        <v>2.3999999999999998E-3</v>
      </c>
      <c r="AI38" s="122">
        <v>2.1999999999999999E-2</v>
      </c>
      <c r="AJ38" s="122">
        <v>0.02</v>
      </c>
      <c r="AK38" s="122">
        <v>1.7999999999999999E-2</v>
      </c>
      <c r="AL38" s="122">
        <v>3.39</v>
      </c>
      <c r="AM38" s="122">
        <v>3.39</v>
      </c>
      <c r="AN38" s="122">
        <v>3.39</v>
      </c>
      <c r="AO38" s="12">
        <v>2</v>
      </c>
      <c r="AP38" s="121">
        <v>5.01</v>
      </c>
      <c r="AQ38" s="121">
        <v>15.1</v>
      </c>
      <c r="AR38" s="121">
        <v>10</v>
      </c>
      <c r="AS38" s="121">
        <v>1</v>
      </c>
      <c r="AT38" s="121">
        <v>4.75</v>
      </c>
      <c r="AU38" s="121">
        <v>0.4</v>
      </c>
      <c r="AV38" s="121">
        <v>0.2</v>
      </c>
      <c r="AW38" s="121">
        <v>100</v>
      </c>
      <c r="AX38" s="121">
        <v>22.5</v>
      </c>
      <c r="AY38" s="121">
        <v>40.71</v>
      </c>
      <c r="AZ38" s="121">
        <v>0.12</v>
      </c>
      <c r="BA38" s="121">
        <v>1.5</v>
      </c>
      <c r="BB38" s="121">
        <v>0.01</v>
      </c>
      <c r="BC38" s="121">
        <v>0.1</v>
      </c>
      <c r="BD38" s="121">
        <v>0</v>
      </c>
      <c r="BE38" s="121">
        <v>0</v>
      </c>
      <c r="BF38" s="121">
        <v>0</v>
      </c>
      <c r="BG38" s="12" t="s">
        <v>2061</v>
      </c>
    </row>
    <row r="39" spans="1:59" s="12" customFormat="1" x14ac:dyDescent="0.25">
      <c r="A39" s="12">
        <v>34</v>
      </c>
      <c r="B39" s="12" t="s">
        <v>2062</v>
      </c>
      <c r="C39" s="121">
        <v>25</v>
      </c>
      <c r="D39" s="121">
        <v>0.02</v>
      </c>
      <c r="E39" s="121">
        <v>25</v>
      </c>
      <c r="F39" s="121">
        <v>1</v>
      </c>
      <c r="G39" s="121">
        <v>5</v>
      </c>
      <c r="H39" s="121">
        <v>0.75</v>
      </c>
      <c r="I39" s="121">
        <v>15.01</v>
      </c>
      <c r="J39" s="121">
        <v>50.95</v>
      </c>
      <c r="K39" s="121">
        <v>2</v>
      </c>
      <c r="L39" s="121">
        <v>10</v>
      </c>
      <c r="M39" s="146">
        <v>2</v>
      </c>
      <c r="N39" s="121">
        <v>7.0000000000000001E-3</v>
      </c>
      <c r="O39" s="121">
        <v>0.75</v>
      </c>
      <c r="P39" s="121">
        <v>35</v>
      </c>
      <c r="Q39" s="121">
        <v>1.2</v>
      </c>
      <c r="R39" s="121">
        <v>2</v>
      </c>
      <c r="S39" s="122">
        <v>660.34</v>
      </c>
      <c r="T39" s="122">
        <v>6.4899999999999999E-2</v>
      </c>
      <c r="U39" s="122">
        <v>4.0000000000000001E-3</v>
      </c>
      <c r="V39" s="122">
        <v>1.7999999999999999E-2</v>
      </c>
      <c r="W39" s="122">
        <v>0.01</v>
      </c>
      <c r="X39" s="122">
        <v>0.6</v>
      </c>
      <c r="Y39" s="122">
        <v>2.1280000000000001</v>
      </c>
      <c r="Z39" s="122">
        <v>24</v>
      </c>
      <c r="AA39" s="122">
        <v>5</v>
      </c>
      <c r="AB39" s="122">
        <v>0.08</v>
      </c>
      <c r="AC39" s="122">
        <v>6.5000000000000002E-2</v>
      </c>
      <c r="AD39" s="122">
        <v>2.4199999999999999E-2</v>
      </c>
      <c r="AE39" s="122">
        <v>0.02</v>
      </c>
      <c r="AF39" s="122">
        <v>6.0000000000000001E-3</v>
      </c>
      <c r="AG39" s="122">
        <v>2.8999999999999998E-3</v>
      </c>
      <c r="AH39" s="122">
        <v>2.3999999999999998E-3</v>
      </c>
      <c r="AI39" s="122">
        <v>0.03</v>
      </c>
      <c r="AJ39" s="122">
        <v>2.3E-2</v>
      </c>
      <c r="AK39" s="122">
        <v>1.7999999999999999E-2</v>
      </c>
      <c r="AL39" s="122">
        <v>3.39</v>
      </c>
      <c r="AM39" s="122">
        <v>3.39</v>
      </c>
      <c r="AN39" s="122">
        <v>3.39</v>
      </c>
      <c r="AO39" s="12">
        <v>2</v>
      </c>
      <c r="AP39" s="121">
        <v>5.01</v>
      </c>
      <c r="AQ39" s="121">
        <v>15.1</v>
      </c>
      <c r="AR39" s="121">
        <v>10</v>
      </c>
      <c r="AS39" s="121">
        <v>1</v>
      </c>
      <c r="AT39" s="121">
        <v>4.75</v>
      </c>
      <c r="AU39" s="121">
        <v>0.4</v>
      </c>
      <c r="AV39" s="121">
        <v>0.2</v>
      </c>
      <c r="AW39" s="121">
        <v>100</v>
      </c>
      <c r="AX39" s="121">
        <v>22.5</v>
      </c>
      <c r="AY39" s="121">
        <v>40.71</v>
      </c>
      <c r="AZ39" s="121">
        <v>0.12</v>
      </c>
      <c r="BA39" s="121">
        <v>1.5</v>
      </c>
      <c r="BB39" s="121">
        <v>0.01</v>
      </c>
      <c r="BC39" s="121">
        <v>0.1</v>
      </c>
      <c r="BD39" s="121">
        <v>0</v>
      </c>
      <c r="BE39" s="121">
        <v>0</v>
      </c>
      <c r="BF39" s="121">
        <v>0</v>
      </c>
      <c r="BG39" s="12" t="s">
        <v>2063</v>
      </c>
    </row>
    <row r="40" spans="1:59" s="12" customFormat="1" x14ac:dyDescent="0.25">
      <c r="A40" s="12">
        <v>35</v>
      </c>
      <c r="B40" s="12" t="s">
        <v>2064</v>
      </c>
      <c r="C40" s="121">
        <v>35</v>
      </c>
      <c r="D40" s="121">
        <v>0.02</v>
      </c>
      <c r="E40" s="121">
        <v>25</v>
      </c>
      <c r="F40" s="121">
        <v>8</v>
      </c>
      <c r="G40" s="121">
        <v>11</v>
      </c>
      <c r="H40" s="121">
        <v>0.85</v>
      </c>
      <c r="I40" s="121">
        <v>15.01</v>
      </c>
      <c r="J40" s="121">
        <v>50.95</v>
      </c>
      <c r="K40" s="121">
        <v>2</v>
      </c>
      <c r="L40" s="121">
        <v>1</v>
      </c>
      <c r="M40" s="146">
        <v>2</v>
      </c>
      <c r="N40" s="121">
        <v>7.0000000000000001E-3</v>
      </c>
      <c r="O40" s="121">
        <v>0.85</v>
      </c>
      <c r="P40" s="121">
        <v>5</v>
      </c>
      <c r="Q40" s="121">
        <v>0.8</v>
      </c>
      <c r="R40" s="121">
        <v>2</v>
      </c>
      <c r="S40" s="122">
        <v>660.47</v>
      </c>
      <c r="T40" s="122">
        <v>2.3400000000000001E-2</v>
      </c>
      <c r="U40" s="122">
        <v>3.3E-3</v>
      </c>
      <c r="V40" s="122">
        <v>1.4999999999999999E-2</v>
      </c>
      <c r="W40" s="122">
        <v>0.01</v>
      </c>
      <c r="X40" s="122">
        <v>0.6</v>
      </c>
      <c r="Y40" s="122">
        <v>2.536</v>
      </c>
      <c r="Z40" s="122">
        <v>20</v>
      </c>
      <c r="AA40" s="122">
        <v>72.765000000000001</v>
      </c>
      <c r="AB40" s="122">
        <v>0.1</v>
      </c>
      <c r="AC40" s="122">
        <v>3.1399999999999997E-2</v>
      </c>
      <c r="AD40" s="122">
        <v>1.2999999999999999E-2</v>
      </c>
      <c r="AE40" s="122">
        <v>1.03E-2</v>
      </c>
      <c r="AF40" s="122">
        <v>3.8E-3</v>
      </c>
      <c r="AG40" s="122">
        <v>2.5000000000000001E-3</v>
      </c>
      <c r="AH40" s="122">
        <v>1.9E-3</v>
      </c>
      <c r="AI40" s="122">
        <v>1.7999999999999999E-2</v>
      </c>
      <c r="AJ40" s="122">
        <v>1.6E-2</v>
      </c>
      <c r="AK40" s="122">
        <v>1.4999999999999999E-2</v>
      </c>
      <c r="AL40" s="122">
        <v>3.39</v>
      </c>
      <c r="AM40" s="122">
        <v>3.39</v>
      </c>
      <c r="AN40" s="122">
        <v>3.39</v>
      </c>
      <c r="AO40" s="12">
        <v>6</v>
      </c>
      <c r="AP40" s="121">
        <v>5.05</v>
      </c>
      <c r="AQ40" s="121">
        <v>15.95</v>
      </c>
      <c r="AR40" s="121">
        <v>8</v>
      </c>
      <c r="AS40" s="121">
        <v>0.5</v>
      </c>
      <c r="AT40" s="121">
        <v>4.75</v>
      </c>
      <c r="AU40" s="121">
        <v>0.4</v>
      </c>
      <c r="AV40" s="121">
        <v>0.2</v>
      </c>
      <c r="AW40" s="121">
        <v>100</v>
      </c>
      <c r="AX40" s="121">
        <v>22.5</v>
      </c>
      <c r="AY40" s="121">
        <v>40.71</v>
      </c>
      <c r="AZ40" s="121">
        <v>0.09</v>
      </c>
      <c r="BA40" s="121">
        <v>2</v>
      </c>
      <c r="BB40" s="121">
        <v>0.01</v>
      </c>
      <c r="BC40" s="121">
        <v>0.1</v>
      </c>
      <c r="BD40" s="121">
        <v>0</v>
      </c>
      <c r="BE40" s="121">
        <v>0</v>
      </c>
      <c r="BF40" s="121">
        <v>0</v>
      </c>
      <c r="BG40" s="12" t="s">
        <v>2065</v>
      </c>
    </row>
    <row r="41" spans="1:59" s="12" customFormat="1" x14ac:dyDescent="0.25">
      <c r="A41" s="12">
        <v>36</v>
      </c>
      <c r="B41" s="12" t="s">
        <v>2066</v>
      </c>
      <c r="C41" s="121">
        <v>30</v>
      </c>
      <c r="D41" s="121">
        <v>0.02</v>
      </c>
      <c r="E41" s="121">
        <v>20</v>
      </c>
      <c r="F41" s="121">
        <v>8</v>
      </c>
      <c r="G41" s="121">
        <v>4.5</v>
      </c>
      <c r="H41" s="121">
        <v>0.99</v>
      </c>
      <c r="I41" s="121">
        <v>15.4</v>
      </c>
      <c r="J41" s="121">
        <v>35.950000000000003</v>
      </c>
      <c r="K41" s="121">
        <v>0.5</v>
      </c>
      <c r="L41" s="121">
        <v>0.5</v>
      </c>
      <c r="M41" s="146">
        <v>4</v>
      </c>
      <c r="N41" s="121">
        <v>7.0000000000000001E-3</v>
      </c>
      <c r="O41" s="121">
        <v>0.85</v>
      </c>
      <c r="P41" s="121">
        <v>5</v>
      </c>
      <c r="Q41" s="121">
        <v>1.3</v>
      </c>
      <c r="R41" s="121">
        <v>1.5</v>
      </c>
      <c r="S41" s="122">
        <v>660.41</v>
      </c>
      <c r="T41" s="122">
        <v>1.4999999999999999E-2</v>
      </c>
      <c r="U41" s="122">
        <v>1.6000000000000001E-3</v>
      </c>
      <c r="V41" s="122">
        <v>1.2E-2</v>
      </c>
      <c r="W41" s="122">
        <v>0.01</v>
      </c>
      <c r="X41" s="122">
        <v>0.6</v>
      </c>
      <c r="Y41" s="122">
        <v>0.69399999999999995</v>
      </c>
      <c r="Z41" s="122">
        <v>20</v>
      </c>
      <c r="AA41" s="122">
        <v>5</v>
      </c>
      <c r="AB41" s="122">
        <v>0.1</v>
      </c>
      <c r="AC41" s="122">
        <v>1.9300000000000001E-2</v>
      </c>
      <c r="AD41" s="122">
        <v>1.0999999999999999E-2</v>
      </c>
      <c r="AE41" s="122">
        <v>8.3000000000000001E-3</v>
      </c>
      <c r="AF41" s="122">
        <v>2.8E-3</v>
      </c>
      <c r="AG41" s="122">
        <v>1.6000000000000001E-3</v>
      </c>
      <c r="AH41" s="122">
        <v>1.1999999999999999E-3</v>
      </c>
      <c r="AI41" s="122">
        <v>2.1000000000000001E-2</v>
      </c>
      <c r="AJ41" s="122">
        <v>1.2E-2</v>
      </c>
      <c r="AK41" s="122">
        <v>8.9999999999999993E-3</v>
      </c>
      <c r="AL41" s="122">
        <v>3.39</v>
      </c>
      <c r="AM41" s="122">
        <v>3.39</v>
      </c>
      <c r="AN41" s="122">
        <v>3.39</v>
      </c>
      <c r="AO41" s="12">
        <v>6</v>
      </c>
      <c r="AP41" s="121">
        <v>1.9</v>
      </c>
      <c r="AQ41" s="121">
        <v>3.99</v>
      </c>
      <c r="AR41" s="121">
        <v>6</v>
      </c>
      <c r="AS41" s="121">
        <v>0.5</v>
      </c>
      <c r="AT41" s="121">
        <v>4.75</v>
      </c>
      <c r="AU41" s="121">
        <v>0.4</v>
      </c>
      <c r="AV41" s="121">
        <v>0.2</v>
      </c>
      <c r="AW41" s="121">
        <v>100</v>
      </c>
      <c r="AX41" s="121">
        <v>22.5</v>
      </c>
      <c r="AY41" s="121">
        <v>40.71</v>
      </c>
      <c r="AZ41" s="121">
        <v>0.09</v>
      </c>
      <c r="BA41" s="121">
        <v>2</v>
      </c>
      <c r="BB41" s="121">
        <v>0.01</v>
      </c>
      <c r="BC41" s="121">
        <v>0.1</v>
      </c>
      <c r="BD41" s="121">
        <v>0</v>
      </c>
      <c r="BE41" s="121">
        <v>0</v>
      </c>
      <c r="BF41" s="121">
        <v>0</v>
      </c>
      <c r="BG41" s="12" t="s">
        <v>2067</v>
      </c>
    </row>
    <row r="42" spans="1:59" s="12" customFormat="1" x14ac:dyDescent="0.25">
      <c r="A42" s="12">
        <v>37</v>
      </c>
      <c r="B42" s="12" t="s">
        <v>2068</v>
      </c>
      <c r="C42" s="121">
        <v>35</v>
      </c>
      <c r="D42" s="121">
        <v>0.02</v>
      </c>
      <c r="E42" s="121">
        <v>25</v>
      </c>
      <c r="F42" s="121">
        <v>8</v>
      </c>
      <c r="G42" s="121">
        <v>5</v>
      </c>
      <c r="H42" s="121">
        <v>0.99</v>
      </c>
      <c r="I42" s="121">
        <v>15.01</v>
      </c>
      <c r="J42" s="121">
        <v>50.95</v>
      </c>
      <c r="K42" s="121">
        <v>1</v>
      </c>
      <c r="L42" s="121">
        <v>1</v>
      </c>
      <c r="M42" s="146">
        <v>2</v>
      </c>
      <c r="N42" s="121">
        <v>7.0000000000000001E-3</v>
      </c>
      <c r="O42" s="121">
        <v>0.85</v>
      </c>
      <c r="P42" s="121">
        <v>5</v>
      </c>
      <c r="Q42" s="121">
        <v>1</v>
      </c>
      <c r="R42" s="121">
        <v>2</v>
      </c>
      <c r="S42" s="122">
        <v>660.4</v>
      </c>
      <c r="T42" s="122">
        <v>1.4999999999999999E-2</v>
      </c>
      <c r="U42" s="122">
        <v>2.0999999999999999E-3</v>
      </c>
      <c r="V42" s="122">
        <v>1.5699999999999999E-2</v>
      </c>
      <c r="W42" s="122">
        <v>0.01</v>
      </c>
      <c r="X42" s="122">
        <v>0.6</v>
      </c>
      <c r="Y42" s="122">
        <v>0.69399999999999995</v>
      </c>
      <c r="Z42" s="122">
        <v>20</v>
      </c>
      <c r="AA42" s="122">
        <v>5</v>
      </c>
      <c r="AB42" s="122">
        <v>0.1</v>
      </c>
      <c r="AC42" s="122">
        <v>2.2200000000000001E-2</v>
      </c>
      <c r="AD42" s="122">
        <v>1.2699999999999999E-2</v>
      </c>
      <c r="AE42" s="122">
        <v>9.4999999999999998E-3</v>
      </c>
      <c r="AF42" s="122">
        <v>3.7000000000000002E-3</v>
      </c>
      <c r="AG42" s="122">
        <v>2.0999999999999999E-3</v>
      </c>
      <c r="AH42" s="122">
        <v>1.6000000000000001E-3</v>
      </c>
      <c r="AI42" s="122">
        <v>2.75E-2</v>
      </c>
      <c r="AJ42" s="122">
        <v>1.5699999999999999E-2</v>
      </c>
      <c r="AK42" s="122">
        <v>1.18E-2</v>
      </c>
      <c r="AL42" s="122">
        <v>3.39</v>
      </c>
      <c r="AM42" s="122">
        <v>3.39</v>
      </c>
      <c r="AN42" s="122">
        <v>3.39</v>
      </c>
      <c r="AO42" s="12">
        <v>6</v>
      </c>
      <c r="AP42" s="121">
        <v>5.05</v>
      </c>
      <c r="AQ42" s="121">
        <v>15.95</v>
      </c>
      <c r="AR42" s="121">
        <v>7</v>
      </c>
      <c r="AS42" s="121">
        <v>0.5</v>
      </c>
      <c r="AT42" s="121">
        <v>4.75</v>
      </c>
      <c r="AU42" s="121">
        <v>0.4</v>
      </c>
      <c r="AV42" s="121">
        <v>0.2</v>
      </c>
      <c r="AW42" s="121">
        <v>100</v>
      </c>
      <c r="AX42" s="121">
        <v>22.5</v>
      </c>
      <c r="AY42" s="121">
        <v>40.71</v>
      </c>
      <c r="AZ42" s="121">
        <v>0.04</v>
      </c>
      <c r="BA42" s="121">
        <v>2.8</v>
      </c>
      <c r="BB42" s="121">
        <v>0.01</v>
      </c>
      <c r="BC42" s="121">
        <v>0.1</v>
      </c>
      <c r="BD42" s="121">
        <v>0</v>
      </c>
      <c r="BE42" s="121">
        <v>0</v>
      </c>
      <c r="BF42" s="121">
        <v>0</v>
      </c>
      <c r="BG42" s="12" t="s">
        <v>2069</v>
      </c>
    </row>
    <row r="43" spans="1:59" s="12" customFormat="1" x14ac:dyDescent="0.25">
      <c r="A43" s="12">
        <v>38</v>
      </c>
      <c r="B43" s="12" t="s">
        <v>2070</v>
      </c>
      <c r="C43" s="121">
        <v>35</v>
      </c>
      <c r="D43" s="121">
        <v>0.02</v>
      </c>
      <c r="E43" s="121">
        <v>18</v>
      </c>
      <c r="F43" s="121">
        <v>3</v>
      </c>
      <c r="G43" s="121">
        <v>5</v>
      </c>
      <c r="H43" s="121">
        <v>0.7</v>
      </c>
      <c r="I43" s="121">
        <v>15.05</v>
      </c>
      <c r="J43" s="121">
        <v>50.95</v>
      </c>
      <c r="K43" s="121">
        <v>1</v>
      </c>
      <c r="L43" s="121">
        <v>1</v>
      </c>
      <c r="M43" s="146">
        <v>2</v>
      </c>
      <c r="N43" s="121">
        <v>7.0000000000000001E-3</v>
      </c>
      <c r="O43" s="121">
        <v>0.85</v>
      </c>
      <c r="P43" s="121">
        <v>5</v>
      </c>
      <c r="Q43" s="121">
        <v>1</v>
      </c>
      <c r="R43" s="121">
        <v>2</v>
      </c>
      <c r="S43" s="122">
        <v>660.47</v>
      </c>
      <c r="T43" s="122">
        <v>1.4999999999999999E-2</v>
      </c>
      <c r="U43" s="122">
        <v>1.8E-3</v>
      </c>
      <c r="V43" s="122">
        <v>1.11E-2</v>
      </c>
      <c r="W43" s="122">
        <v>0.01</v>
      </c>
      <c r="X43" s="122">
        <v>0.6</v>
      </c>
      <c r="Y43" s="122">
        <v>0.40300000000000002</v>
      </c>
      <c r="Z43" s="122">
        <v>120</v>
      </c>
      <c r="AA43" s="122">
        <v>5</v>
      </c>
      <c r="AB43" s="122">
        <v>0.1</v>
      </c>
      <c r="AC43" s="122">
        <v>2.76E-2</v>
      </c>
      <c r="AD43" s="122">
        <v>1.55E-2</v>
      </c>
      <c r="AE43" s="122">
        <v>1.0999999999999999E-2</v>
      </c>
      <c r="AF43" s="122">
        <v>3.0999999999999999E-3</v>
      </c>
      <c r="AG43" s="122">
        <v>1.8E-3</v>
      </c>
      <c r="AH43" s="122">
        <v>1.2999999999999999E-3</v>
      </c>
      <c r="AI43" s="122">
        <v>1.2200000000000001E-2</v>
      </c>
      <c r="AJ43" s="122">
        <v>1.11E-2</v>
      </c>
      <c r="AK43" s="122">
        <v>8.3000000000000001E-3</v>
      </c>
      <c r="AL43" s="122">
        <v>3.39</v>
      </c>
      <c r="AM43" s="122">
        <v>3.39</v>
      </c>
      <c r="AN43" s="122">
        <v>1.61</v>
      </c>
      <c r="AO43" s="12">
        <v>6</v>
      </c>
      <c r="AP43" s="121">
        <v>5.01</v>
      </c>
      <c r="AQ43" s="121">
        <v>15.1</v>
      </c>
      <c r="AR43" s="121">
        <v>6</v>
      </c>
      <c r="AS43" s="121">
        <v>0.5</v>
      </c>
      <c r="AT43" s="121">
        <v>4.75</v>
      </c>
      <c r="AU43" s="121">
        <v>0.4</v>
      </c>
      <c r="AV43" s="121">
        <v>0.2</v>
      </c>
      <c r="AW43" s="121">
        <v>100</v>
      </c>
      <c r="AX43" s="121">
        <v>22.5</v>
      </c>
      <c r="AY43" s="121">
        <v>40.71</v>
      </c>
      <c r="AZ43" s="121">
        <v>0.05</v>
      </c>
      <c r="BA43" s="121">
        <v>3.9</v>
      </c>
      <c r="BB43" s="121">
        <v>0.01</v>
      </c>
      <c r="BC43" s="121">
        <v>0.1</v>
      </c>
      <c r="BD43" s="121">
        <v>0</v>
      </c>
      <c r="BE43" s="121">
        <v>0</v>
      </c>
      <c r="BF43" s="121">
        <v>0</v>
      </c>
      <c r="BG43" s="12" t="s">
        <v>2071</v>
      </c>
    </row>
    <row r="44" spans="1:59" s="12" customFormat="1" x14ac:dyDescent="0.25">
      <c r="A44" s="12">
        <v>39</v>
      </c>
      <c r="B44" s="12" t="s">
        <v>2072</v>
      </c>
      <c r="C44" s="121">
        <v>30</v>
      </c>
      <c r="D44" s="121">
        <v>0.02</v>
      </c>
      <c r="E44" s="121">
        <v>15</v>
      </c>
      <c r="F44" s="121">
        <v>0</v>
      </c>
      <c r="G44" s="121">
        <v>3</v>
      </c>
      <c r="H44" s="121">
        <v>0.8</v>
      </c>
      <c r="I44" s="121">
        <v>35.01</v>
      </c>
      <c r="J44" s="121">
        <v>62.95</v>
      </c>
      <c r="K44" s="121">
        <v>1</v>
      </c>
      <c r="L44" s="121">
        <v>1</v>
      </c>
      <c r="M44" s="146">
        <v>2</v>
      </c>
      <c r="N44" s="121">
        <v>7.0000000000000001E-3</v>
      </c>
      <c r="O44" s="121">
        <v>0.75</v>
      </c>
      <c r="P44" s="121">
        <v>90</v>
      </c>
      <c r="Q44" s="121">
        <v>1.1000000000000001</v>
      </c>
      <c r="R44" s="121">
        <v>1.3</v>
      </c>
      <c r="S44" s="122">
        <v>660.41</v>
      </c>
      <c r="T44" s="122">
        <v>2.3E-2</v>
      </c>
      <c r="U44" s="122">
        <v>3.7000000000000002E-3</v>
      </c>
      <c r="V44" s="122">
        <v>6.0000000000000001E-3</v>
      </c>
      <c r="W44" s="122">
        <v>0.01</v>
      </c>
      <c r="X44" s="122">
        <v>0.6</v>
      </c>
      <c r="Y44" s="122">
        <v>0.40300000000000002</v>
      </c>
      <c r="Z44" s="122">
        <v>120</v>
      </c>
      <c r="AA44" s="122">
        <v>5</v>
      </c>
      <c r="AB44" s="122">
        <v>0.1</v>
      </c>
      <c r="AC44" s="122">
        <v>2.5000000000000001E-2</v>
      </c>
      <c r="AD44" s="122">
        <v>1.7999999999999999E-2</v>
      </c>
      <c r="AE44" s="122">
        <v>1.4E-2</v>
      </c>
      <c r="AF44" s="122">
        <v>4.0000000000000001E-3</v>
      </c>
      <c r="AG44" s="122">
        <v>3.0000000000000001E-3</v>
      </c>
      <c r="AH44" s="122">
        <v>2.3999999999999998E-3</v>
      </c>
      <c r="AI44" s="122">
        <v>1.7999999999999999E-2</v>
      </c>
      <c r="AJ44" s="122">
        <v>1.4999999999999999E-2</v>
      </c>
      <c r="AK44" s="122">
        <v>1.2E-2</v>
      </c>
      <c r="AL44" s="122">
        <v>3.39</v>
      </c>
      <c r="AM44" s="122">
        <v>3.39</v>
      </c>
      <c r="AN44" s="122">
        <v>1.61</v>
      </c>
      <c r="AO44" s="12">
        <v>6</v>
      </c>
      <c r="AP44" s="121">
        <v>5.01</v>
      </c>
      <c r="AQ44" s="121">
        <v>15.1</v>
      </c>
      <c r="AR44" s="121">
        <v>8</v>
      </c>
      <c r="AS44" s="121">
        <v>0.5</v>
      </c>
      <c r="AT44" s="121">
        <v>4.75</v>
      </c>
      <c r="AU44" s="121">
        <v>0.4</v>
      </c>
      <c r="AV44" s="121">
        <v>0.2</v>
      </c>
      <c r="AW44" s="121">
        <v>100</v>
      </c>
      <c r="AX44" s="121">
        <v>22.5</v>
      </c>
      <c r="AY44" s="121">
        <v>40.71</v>
      </c>
      <c r="AZ44" s="121">
        <v>7.0000000000000007E-2</v>
      </c>
      <c r="BA44" s="121">
        <v>6</v>
      </c>
      <c r="BB44" s="121">
        <v>0.01</v>
      </c>
      <c r="BC44" s="121">
        <v>0.1</v>
      </c>
      <c r="BD44" s="121">
        <v>0</v>
      </c>
      <c r="BE44" s="121">
        <v>0</v>
      </c>
      <c r="BF44" s="121">
        <v>0</v>
      </c>
      <c r="BG44" s="12" t="s">
        <v>2073</v>
      </c>
    </row>
    <row r="45" spans="1:59" s="12" customFormat="1" x14ac:dyDescent="0.25">
      <c r="A45" s="12">
        <v>40</v>
      </c>
      <c r="B45" s="12" t="s">
        <v>2074</v>
      </c>
      <c r="C45" s="121">
        <v>30</v>
      </c>
      <c r="D45" s="121">
        <v>0.02</v>
      </c>
      <c r="E45" s="121">
        <v>15</v>
      </c>
      <c r="F45" s="121">
        <v>0</v>
      </c>
      <c r="G45" s="121">
        <v>3</v>
      </c>
      <c r="H45" s="121">
        <v>0.8</v>
      </c>
      <c r="I45" s="121">
        <v>35.01</v>
      </c>
      <c r="J45" s="121">
        <v>62.95</v>
      </c>
      <c r="K45" s="121">
        <v>1</v>
      </c>
      <c r="L45" s="121">
        <v>1</v>
      </c>
      <c r="M45" s="146">
        <v>2</v>
      </c>
      <c r="N45" s="121">
        <v>7.0000000000000001E-3</v>
      </c>
      <c r="O45" s="121">
        <v>0.75</v>
      </c>
      <c r="P45" s="121">
        <v>90</v>
      </c>
      <c r="Q45" s="121">
        <v>1</v>
      </c>
      <c r="R45" s="121">
        <v>1.3</v>
      </c>
      <c r="S45" s="122">
        <v>660.41</v>
      </c>
      <c r="T45" s="122">
        <v>2.3E-2</v>
      </c>
      <c r="U45" s="122">
        <v>3.7000000000000002E-3</v>
      </c>
      <c r="V45" s="122">
        <v>6.0000000000000001E-3</v>
      </c>
      <c r="W45" s="122">
        <v>0.01</v>
      </c>
      <c r="X45" s="122">
        <v>0.6</v>
      </c>
      <c r="Y45" s="122">
        <v>0.40300000000000002</v>
      </c>
      <c r="Z45" s="122">
        <v>120</v>
      </c>
      <c r="AA45" s="122">
        <v>5</v>
      </c>
      <c r="AB45" s="122">
        <v>0.1</v>
      </c>
      <c r="AC45" s="122">
        <v>2.5000000000000001E-2</v>
      </c>
      <c r="AD45" s="122">
        <v>1.7999999999999999E-2</v>
      </c>
      <c r="AE45" s="122">
        <v>1.4E-2</v>
      </c>
      <c r="AF45" s="122">
        <v>4.0000000000000001E-3</v>
      </c>
      <c r="AG45" s="122">
        <v>3.0000000000000001E-3</v>
      </c>
      <c r="AH45" s="122">
        <v>2.3999999999999998E-3</v>
      </c>
      <c r="AI45" s="122">
        <v>1.7999999999999999E-2</v>
      </c>
      <c r="AJ45" s="122">
        <v>1.4999999999999999E-2</v>
      </c>
      <c r="AK45" s="122">
        <v>1.2E-2</v>
      </c>
      <c r="AL45" s="122">
        <v>3.39</v>
      </c>
      <c r="AM45" s="122">
        <v>3.39</v>
      </c>
      <c r="AN45" s="122">
        <v>1.61</v>
      </c>
      <c r="AO45" s="12">
        <v>6</v>
      </c>
      <c r="AP45" s="121">
        <v>5.01</v>
      </c>
      <c r="AQ45" s="121">
        <v>15.1</v>
      </c>
      <c r="AR45" s="121">
        <v>8</v>
      </c>
      <c r="AS45" s="121">
        <v>0.5</v>
      </c>
      <c r="AT45" s="121">
        <v>4.75</v>
      </c>
      <c r="AU45" s="121">
        <v>0.4</v>
      </c>
      <c r="AV45" s="121">
        <v>0.2</v>
      </c>
      <c r="AW45" s="121">
        <v>100</v>
      </c>
      <c r="AX45" s="121">
        <v>22.5</v>
      </c>
      <c r="AY45" s="121">
        <v>40.71</v>
      </c>
      <c r="AZ45" s="121">
        <v>7.0000000000000007E-2</v>
      </c>
      <c r="BA45" s="121">
        <v>6</v>
      </c>
      <c r="BB45" s="121">
        <v>0.01</v>
      </c>
      <c r="BC45" s="121">
        <v>0.1</v>
      </c>
      <c r="BD45" s="121">
        <v>0</v>
      </c>
      <c r="BE45" s="121">
        <v>0</v>
      </c>
      <c r="BF45" s="121">
        <v>0</v>
      </c>
      <c r="BG45" s="12" t="s">
        <v>2075</v>
      </c>
    </row>
    <row r="46" spans="1:59" s="12" customFormat="1" x14ac:dyDescent="0.25">
      <c r="A46" s="12">
        <v>41</v>
      </c>
      <c r="B46" s="12" t="s">
        <v>2076</v>
      </c>
      <c r="C46" s="121">
        <v>30</v>
      </c>
      <c r="D46" s="121">
        <v>0.02</v>
      </c>
      <c r="E46" s="121">
        <v>18</v>
      </c>
      <c r="F46" s="121">
        <v>0</v>
      </c>
      <c r="G46" s="121">
        <v>5</v>
      </c>
      <c r="H46" s="121">
        <v>0.5</v>
      </c>
      <c r="I46" s="121">
        <v>20.32</v>
      </c>
      <c r="J46" s="121">
        <v>45.95</v>
      </c>
      <c r="K46" s="121">
        <v>0.5</v>
      </c>
      <c r="L46" s="121">
        <v>1</v>
      </c>
      <c r="M46" s="146">
        <v>2</v>
      </c>
      <c r="N46" s="121">
        <v>7.0000000000000001E-3</v>
      </c>
      <c r="O46" s="121">
        <v>0.85</v>
      </c>
      <c r="P46" s="121">
        <v>90</v>
      </c>
      <c r="Q46" s="121">
        <v>0.8</v>
      </c>
      <c r="R46" s="121">
        <v>1.3</v>
      </c>
      <c r="S46" s="122">
        <v>660.41</v>
      </c>
      <c r="T46" s="122">
        <v>2.1999999999999999E-2</v>
      </c>
      <c r="U46" s="122">
        <v>2.8E-3</v>
      </c>
      <c r="V46" s="122">
        <v>6.0000000000000001E-3</v>
      </c>
      <c r="W46" s="122">
        <v>0.01</v>
      </c>
      <c r="X46" s="122">
        <v>0.6</v>
      </c>
      <c r="Y46" s="122">
        <v>1.3340000000000001</v>
      </c>
      <c r="Z46" s="122">
        <v>120</v>
      </c>
      <c r="AA46" s="122">
        <v>5</v>
      </c>
      <c r="AB46" s="122">
        <v>0.1</v>
      </c>
      <c r="AC46" s="122">
        <v>6.6000000000000003E-2</v>
      </c>
      <c r="AD46" s="122">
        <v>2.5000000000000001E-2</v>
      </c>
      <c r="AE46" s="122">
        <v>1.47E-2</v>
      </c>
      <c r="AF46" s="122">
        <v>1.0500000000000001E-2</v>
      </c>
      <c r="AG46" s="122">
        <v>4.0000000000000001E-3</v>
      </c>
      <c r="AH46" s="122">
        <v>2.3999999999999998E-3</v>
      </c>
      <c r="AI46" s="122">
        <v>2.3E-2</v>
      </c>
      <c r="AJ46" s="122">
        <v>1.4999999999999999E-2</v>
      </c>
      <c r="AK46" s="122">
        <v>1.0999999999999999E-2</v>
      </c>
      <c r="AL46" s="122">
        <v>3.39</v>
      </c>
      <c r="AM46" s="122">
        <v>3.39</v>
      </c>
      <c r="AN46" s="122">
        <v>1.61</v>
      </c>
      <c r="AO46" s="12">
        <v>5</v>
      </c>
      <c r="AP46" s="121">
        <v>5.01</v>
      </c>
      <c r="AQ46" s="121">
        <v>15.1</v>
      </c>
      <c r="AR46" s="121">
        <v>6</v>
      </c>
      <c r="AS46" s="121">
        <v>0.5</v>
      </c>
      <c r="AT46" s="121">
        <v>4.75</v>
      </c>
      <c r="AU46" s="121">
        <v>0.4</v>
      </c>
      <c r="AV46" s="121">
        <v>0.2</v>
      </c>
      <c r="AW46" s="121">
        <v>100</v>
      </c>
      <c r="AX46" s="121">
        <v>22.5</v>
      </c>
      <c r="AY46" s="121">
        <v>40.71</v>
      </c>
      <c r="AZ46" s="121">
        <v>7.0000000000000007E-2</v>
      </c>
      <c r="BA46" s="121">
        <v>6</v>
      </c>
      <c r="BB46" s="121">
        <v>0.01</v>
      </c>
      <c r="BC46" s="121">
        <v>0.1</v>
      </c>
      <c r="BD46" s="121">
        <v>0</v>
      </c>
      <c r="BE46" s="121">
        <v>0</v>
      </c>
      <c r="BF46" s="121">
        <v>0</v>
      </c>
      <c r="BG46" s="12" t="s">
        <v>2077</v>
      </c>
    </row>
    <row r="47" spans="1:59" s="12" customFormat="1" x14ac:dyDescent="0.25">
      <c r="A47" s="12">
        <v>42</v>
      </c>
      <c r="B47" s="12" t="s">
        <v>2078</v>
      </c>
      <c r="C47" s="121">
        <v>35</v>
      </c>
      <c r="D47" s="121">
        <v>0.02</v>
      </c>
      <c r="E47" s="121">
        <v>25</v>
      </c>
      <c r="F47" s="121">
        <v>8</v>
      </c>
      <c r="G47" s="121">
        <v>5</v>
      </c>
      <c r="H47" s="121">
        <v>0.85</v>
      </c>
      <c r="I47" s="121">
        <v>50.01</v>
      </c>
      <c r="J47" s="121">
        <v>89.95</v>
      </c>
      <c r="K47" s="121">
        <v>2</v>
      </c>
      <c r="L47" s="121">
        <v>1</v>
      </c>
      <c r="M47" s="146">
        <v>4</v>
      </c>
      <c r="N47" s="121">
        <v>7.0000000000000001E-3</v>
      </c>
      <c r="O47" s="121">
        <v>0.85</v>
      </c>
      <c r="P47" s="121">
        <v>5</v>
      </c>
      <c r="Q47" s="121">
        <v>0.6</v>
      </c>
      <c r="R47" s="121">
        <v>1.3</v>
      </c>
      <c r="S47" s="122">
        <v>660.47</v>
      </c>
      <c r="T47" s="122">
        <v>1.5100000000000001E-2</v>
      </c>
      <c r="U47" s="122">
        <v>2.3999999999999998E-3</v>
      </c>
      <c r="V47" s="122">
        <v>1.11E-2</v>
      </c>
      <c r="W47" s="122">
        <v>0.01</v>
      </c>
      <c r="X47" s="122">
        <v>0.6</v>
      </c>
      <c r="Y47" s="122">
        <v>0.69399999999999995</v>
      </c>
      <c r="Z47" s="122">
        <v>20</v>
      </c>
      <c r="AA47" s="122">
        <v>5</v>
      </c>
      <c r="AB47" s="122">
        <v>0.1</v>
      </c>
      <c r="AC47" s="122">
        <v>2.76E-2</v>
      </c>
      <c r="AD47" s="122">
        <v>1.55E-2</v>
      </c>
      <c r="AE47" s="122">
        <v>1.0999999999999999E-2</v>
      </c>
      <c r="AF47" s="122">
        <v>3.0999999999999999E-3</v>
      </c>
      <c r="AG47" s="122">
        <v>1.8E-3</v>
      </c>
      <c r="AH47" s="122">
        <v>1.2999999999999999E-3</v>
      </c>
      <c r="AI47" s="122">
        <v>2.3E-2</v>
      </c>
      <c r="AJ47" s="122">
        <v>2.3E-2</v>
      </c>
      <c r="AK47" s="122">
        <v>2.3E-2</v>
      </c>
      <c r="AL47" s="122">
        <v>3.39</v>
      </c>
      <c r="AM47" s="122">
        <v>3.39</v>
      </c>
      <c r="AN47" s="122">
        <v>3.39</v>
      </c>
      <c r="AO47" s="12">
        <v>6</v>
      </c>
      <c r="AP47" s="121">
        <v>5.01</v>
      </c>
      <c r="AQ47" s="121">
        <v>15.95</v>
      </c>
      <c r="AR47" s="121">
        <v>8</v>
      </c>
      <c r="AS47" s="121">
        <v>0.5</v>
      </c>
      <c r="AT47" s="121">
        <v>4.75</v>
      </c>
      <c r="AU47" s="121">
        <v>0.4</v>
      </c>
      <c r="AV47" s="121">
        <v>0.2</v>
      </c>
      <c r="AW47" s="121">
        <v>100</v>
      </c>
      <c r="AX47" s="121">
        <v>22.5</v>
      </c>
      <c r="AY47" s="121">
        <v>40.71</v>
      </c>
      <c r="AZ47" s="121">
        <v>7.0000000000000007E-2</v>
      </c>
      <c r="BA47" s="121">
        <v>6</v>
      </c>
      <c r="BB47" s="121">
        <v>0.01</v>
      </c>
      <c r="BC47" s="121">
        <v>0.1</v>
      </c>
      <c r="BD47" s="121">
        <v>0</v>
      </c>
      <c r="BE47" s="121">
        <v>0</v>
      </c>
      <c r="BF47" s="121">
        <v>0</v>
      </c>
      <c r="BG47" s="12" t="s">
        <v>2079</v>
      </c>
    </row>
    <row r="48" spans="1:59" s="12" customFormat="1" x14ac:dyDescent="0.25">
      <c r="A48" s="12">
        <v>43</v>
      </c>
      <c r="B48" s="12" t="s">
        <v>2080</v>
      </c>
      <c r="C48" s="121">
        <v>35</v>
      </c>
      <c r="D48" s="121">
        <v>0.02</v>
      </c>
      <c r="E48" s="121">
        <v>25</v>
      </c>
      <c r="F48" s="121">
        <v>8</v>
      </c>
      <c r="G48" s="121">
        <v>5</v>
      </c>
      <c r="H48" s="121">
        <v>0.85</v>
      </c>
      <c r="I48" s="121">
        <v>15.01</v>
      </c>
      <c r="J48" s="121">
        <v>50.95</v>
      </c>
      <c r="K48" s="121">
        <v>2</v>
      </c>
      <c r="L48" s="121">
        <v>1</v>
      </c>
      <c r="M48" s="146">
        <v>4</v>
      </c>
      <c r="N48" s="121">
        <v>7.0000000000000001E-3</v>
      </c>
      <c r="O48" s="121">
        <v>0.85</v>
      </c>
      <c r="P48" s="121">
        <v>5</v>
      </c>
      <c r="Q48" s="121">
        <v>0.8</v>
      </c>
      <c r="R48" s="121">
        <v>2</v>
      </c>
      <c r="S48" s="122">
        <v>660.47</v>
      </c>
      <c r="T48" s="122">
        <v>1.4999999999999999E-2</v>
      </c>
      <c r="U48" s="122">
        <v>1.8E-3</v>
      </c>
      <c r="V48" s="122">
        <v>1.11E-2</v>
      </c>
      <c r="W48" s="122">
        <v>0.01</v>
      </c>
      <c r="X48" s="122">
        <v>0.6</v>
      </c>
      <c r="Y48" s="122">
        <v>0.69399999999999995</v>
      </c>
      <c r="Z48" s="122">
        <v>20</v>
      </c>
      <c r="AA48" s="122">
        <v>5</v>
      </c>
      <c r="AB48" s="122">
        <v>0.1</v>
      </c>
      <c r="AC48" s="122">
        <v>2.76E-2</v>
      </c>
      <c r="AD48" s="122">
        <v>1.55E-2</v>
      </c>
      <c r="AE48" s="122">
        <v>1.0999999999999999E-2</v>
      </c>
      <c r="AF48" s="122">
        <v>3.0999999999999999E-3</v>
      </c>
      <c r="AG48" s="122">
        <v>1.8E-3</v>
      </c>
      <c r="AH48" s="122">
        <v>1.2999999999999999E-3</v>
      </c>
      <c r="AI48" s="122">
        <v>2.3E-2</v>
      </c>
      <c r="AJ48" s="122">
        <v>2.3E-2</v>
      </c>
      <c r="AK48" s="122">
        <v>2.3E-2</v>
      </c>
      <c r="AL48" s="122">
        <v>3.39</v>
      </c>
      <c r="AM48" s="122">
        <v>3.39</v>
      </c>
      <c r="AN48" s="122">
        <v>3.39</v>
      </c>
      <c r="AO48" s="12">
        <v>6</v>
      </c>
      <c r="AP48" s="121">
        <v>5.01</v>
      </c>
      <c r="AQ48" s="121">
        <v>15.95</v>
      </c>
      <c r="AR48" s="121">
        <v>8</v>
      </c>
      <c r="AS48" s="121">
        <v>0.5</v>
      </c>
      <c r="AT48" s="121">
        <v>4.75</v>
      </c>
      <c r="AU48" s="121">
        <v>0.4</v>
      </c>
      <c r="AV48" s="121">
        <v>0.2</v>
      </c>
      <c r="AW48" s="121">
        <v>100</v>
      </c>
      <c r="AX48" s="121">
        <v>22.5</v>
      </c>
      <c r="AY48" s="121">
        <v>40.71</v>
      </c>
      <c r="AZ48" s="121">
        <v>7.0000000000000007E-2</v>
      </c>
      <c r="BA48" s="121">
        <v>6</v>
      </c>
      <c r="BB48" s="121">
        <v>0.01</v>
      </c>
      <c r="BC48" s="121">
        <v>0.1</v>
      </c>
      <c r="BD48" s="121">
        <v>0</v>
      </c>
      <c r="BE48" s="121">
        <v>0</v>
      </c>
      <c r="BF48" s="121">
        <v>0</v>
      </c>
      <c r="BG48" s="12" t="s">
        <v>2081</v>
      </c>
    </row>
    <row r="49" spans="1:59" s="12" customFormat="1" x14ac:dyDescent="0.25">
      <c r="A49" s="12">
        <v>44</v>
      </c>
      <c r="B49" s="12" t="s">
        <v>2082</v>
      </c>
      <c r="C49" s="121">
        <v>35</v>
      </c>
      <c r="D49" s="121">
        <v>0.02</v>
      </c>
      <c r="E49" s="121">
        <v>25</v>
      </c>
      <c r="F49" s="121">
        <v>8</v>
      </c>
      <c r="G49" s="121">
        <v>5</v>
      </c>
      <c r="H49" s="121">
        <v>0.85</v>
      </c>
      <c r="I49" s="121">
        <v>15.01</v>
      </c>
      <c r="J49" s="121">
        <v>50.95</v>
      </c>
      <c r="K49" s="121">
        <v>2</v>
      </c>
      <c r="L49" s="121">
        <v>1</v>
      </c>
      <c r="M49" s="146">
        <v>4</v>
      </c>
      <c r="N49" s="121">
        <v>7.0000000000000001E-3</v>
      </c>
      <c r="O49" s="121">
        <v>0.85</v>
      </c>
      <c r="P49" s="121">
        <v>5</v>
      </c>
      <c r="Q49" s="121">
        <v>0.7</v>
      </c>
      <c r="R49" s="121">
        <v>2</v>
      </c>
      <c r="S49" s="122">
        <v>660.47</v>
      </c>
      <c r="T49" s="122">
        <v>1.4200000000000001E-2</v>
      </c>
      <c r="U49" s="122">
        <v>2.7000000000000001E-3</v>
      </c>
      <c r="V49" s="122">
        <v>1.11E-2</v>
      </c>
      <c r="W49" s="122">
        <v>0.01</v>
      </c>
      <c r="X49" s="122">
        <v>0.6</v>
      </c>
      <c r="Y49" s="122">
        <v>0.69399999999999995</v>
      </c>
      <c r="Z49" s="122">
        <v>20</v>
      </c>
      <c r="AA49" s="122">
        <v>5</v>
      </c>
      <c r="AB49" s="122">
        <v>0.1</v>
      </c>
      <c r="AC49" s="122">
        <v>2.76E-2</v>
      </c>
      <c r="AD49" s="122">
        <v>1.55E-2</v>
      </c>
      <c r="AE49" s="122">
        <v>1.0999999999999999E-2</v>
      </c>
      <c r="AF49" s="122">
        <v>3.0999999999999999E-3</v>
      </c>
      <c r="AG49" s="122">
        <v>1.8E-3</v>
      </c>
      <c r="AH49" s="122">
        <v>1.2999999999999999E-3</v>
      </c>
      <c r="AI49" s="122">
        <v>2.7E-2</v>
      </c>
      <c r="AJ49" s="122">
        <v>2.7E-2</v>
      </c>
      <c r="AK49" s="122">
        <v>2.7E-2</v>
      </c>
      <c r="AL49" s="122">
        <v>3.39</v>
      </c>
      <c r="AM49" s="122">
        <v>3.39</v>
      </c>
      <c r="AN49" s="122">
        <v>3.39</v>
      </c>
      <c r="AO49" s="12">
        <v>6</v>
      </c>
      <c r="AP49" s="121">
        <v>5.01</v>
      </c>
      <c r="AQ49" s="121">
        <v>15.95</v>
      </c>
      <c r="AR49" s="121">
        <v>8</v>
      </c>
      <c r="AS49" s="121">
        <v>0.5</v>
      </c>
      <c r="AT49" s="121">
        <v>4.75</v>
      </c>
      <c r="AU49" s="121">
        <v>0.4</v>
      </c>
      <c r="AV49" s="121">
        <v>0.2</v>
      </c>
      <c r="AW49" s="121">
        <v>100</v>
      </c>
      <c r="AX49" s="121">
        <v>22.5</v>
      </c>
      <c r="AY49" s="121">
        <v>40.71</v>
      </c>
      <c r="AZ49" s="121">
        <v>7.0000000000000007E-2</v>
      </c>
      <c r="BA49" s="121">
        <v>6</v>
      </c>
      <c r="BB49" s="121">
        <v>0.01</v>
      </c>
      <c r="BC49" s="121">
        <v>0.1</v>
      </c>
      <c r="BD49" s="121">
        <v>0</v>
      </c>
      <c r="BE49" s="121">
        <v>0</v>
      </c>
      <c r="BF49" s="121">
        <v>0</v>
      </c>
      <c r="BG49" s="12" t="s">
        <v>2083</v>
      </c>
    </row>
    <row r="50" spans="1:59" s="12" customFormat="1" x14ac:dyDescent="0.25">
      <c r="A50" s="12">
        <v>45</v>
      </c>
      <c r="B50" s="12" t="s">
        <v>2084</v>
      </c>
      <c r="C50" s="121">
        <v>35</v>
      </c>
      <c r="D50" s="121">
        <v>0.02</v>
      </c>
      <c r="E50" s="121">
        <v>25</v>
      </c>
      <c r="F50" s="121">
        <v>6</v>
      </c>
      <c r="G50" s="121">
        <v>5</v>
      </c>
      <c r="H50" s="121">
        <v>0.85</v>
      </c>
      <c r="I50" s="121">
        <v>35.01</v>
      </c>
      <c r="J50" s="121">
        <v>62.95</v>
      </c>
      <c r="K50" s="121">
        <v>2</v>
      </c>
      <c r="L50" s="121">
        <v>1</v>
      </c>
      <c r="M50" s="146">
        <v>4</v>
      </c>
      <c r="N50" s="121">
        <v>7.0000000000000001E-3</v>
      </c>
      <c r="O50" s="121">
        <v>0.85</v>
      </c>
      <c r="P50" s="121">
        <v>5</v>
      </c>
      <c r="Q50" s="121">
        <v>0.7</v>
      </c>
      <c r="R50" s="121">
        <v>1.3</v>
      </c>
      <c r="S50" s="122">
        <v>660.47</v>
      </c>
      <c r="T50" s="122">
        <v>1.6299999999999999E-2</v>
      </c>
      <c r="U50" s="122">
        <v>1.8E-3</v>
      </c>
      <c r="V50" s="122">
        <v>1.11E-2</v>
      </c>
      <c r="W50" s="122">
        <v>0.01</v>
      </c>
      <c r="X50" s="122">
        <v>0.6</v>
      </c>
      <c r="Y50" s="122">
        <v>0.69399999999999995</v>
      </c>
      <c r="Z50" s="122">
        <v>20</v>
      </c>
      <c r="AA50" s="122">
        <v>5</v>
      </c>
      <c r="AB50" s="122">
        <v>0.1</v>
      </c>
      <c r="AC50" s="122">
        <v>2.76E-2</v>
      </c>
      <c r="AD50" s="122">
        <v>1.55E-2</v>
      </c>
      <c r="AE50" s="122">
        <v>1.0999999999999999E-2</v>
      </c>
      <c r="AF50" s="122">
        <v>3.0999999999999999E-3</v>
      </c>
      <c r="AG50" s="122">
        <v>1.8E-3</v>
      </c>
      <c r="AH50" s="122">
        <v>1.2999999999999999E-3</v>
      </c>
      <c r="AI50" s="122">
        <v>2.3E-2</v>
      </c>
      <c r="AJ50" s="122">
        <v>2.3E-2</v>
      </c>
      <c r="AK50" s="122">
        <v>2.3E-2</v>
      </c>
      <c r="AL50" s="122">
        <v>3.39</v>
      </c>
      <c r="AM50" s="122">
        <v>3.39</v>
      </c>
      <c r="AN50" s="122">
        <v>3.39</v>
      </c>
      <c r="AO50" s="12">
        <v>6</v>
      </c>
      <c r="AP50" s="121">
        <v>5.01</v>
      </c>
      <c r="AQ50" s="121">
        <v>15.95</v>
      </c>
      <c r="AR50" s="121">
        <v>8</v>
      </c>
      <c r="AS50" s="121">
        <v>0.5</v>
      </c>
      <c r="AT50" s="121">
        <v>4.75</v>
      </c>
      <c r="AU50" s="121">
        <v>0.4</v>
      </c>
      <c r="AV50" s="121">
        <v>0.2</v>
      </c>
      <c r="AW50" s="121">
        <v>100</v>
      </c>
      <c r="AX50" s="121">
        <v>22.5</v>
      </c>
      <c r="AY50" s="121">
        <v>40.71</v>
      </c>
      <c r="AZ50" s="121">
        <v>7.0000000000000007E-2</v>
      </c>
      <c r="BA50" s="121">
        <v>6</v>
      </c>
      <c r="BB50" s="121">
        <v>0.01</v>
      </c>
      <c r="BC50" s="121">
        <v>0.1</v>
      </c>
      <c r="BD50" s="121">
        <v>0</v>
      </c>
      <c r="BE50" s="121">
        <v>0</v>
      </c>
      <c r="BF50" s="121">
        <v>0</v>
      </c>
      <c r="BG50" s="12" t="s">
        <v>2085</v>
      </c>
    </row>
    <row r="51" spans="1:59" s="12" customFormat="1" x14ac:dyDescent="0.25">
      <c r="A51" s="12">
        <v>46</v>
      </c>
      <c r="B51" s="12" t="s">
        <v>2086</v>
      </c>
      <c r="C51" s="121">
        <v>35</v>
      </c>
      <c r="D51" s="121">
        <v>0.02</v>
      </c>
      <c r="E51" s="121">
        <v>25</v>
      </c>
      <c r="F51" s="121">
        <v>6</v>
      </c>
      <c r="G51" s="121">
        <v>3</v>
      </c>
      <c r="H51" s="121">
        <v>0.85</v>
      </c>
      <c r="I51" s="121">
        <v>45.01</v>
      </c>
      <c r="J51" s="121">
        <v>80.95</v>
      </c>
      <c r="K51" s="121">
        <v>2</v>
      </c>
      <c r="L51" s="121">
        <v>1</v>
      </c>
      <c r="M51" s="146">
        <v>4</v>
      </c>
      <c r="N51" s="121">
        <v>7.0000000000000001E-3</v>
      </c>
      <c r="O51" s="121">
        <v>0.75</v>
      </c>
      <c r="P51" s="121">
        <v>5</v>
      </c>
      <c r="Q51" s="121">
        <v>0.8</v>
      </c>
      <c r="R51" s="121">
        <v>1.3</v>
      </c>
      <c r="S51" s="122">
        <v>660.47</v>
      </c>
      <c r="T51" s="122">
        <v>1.4999999999999999E-2</v>
      </c>
      <c r="U51" s="122">
        <v>2.2000000000000001E-3</v>
      </c>
      <c r="V51" s="122">
        <v>2.2200000000000001E-2</v>
      </c>
      <c r="W51" s="122">
        <v>0.01</v>
      </c>
      <c r="X51" s="122">
        <v>0.6</v>
      </c>
      <c r="Y51" s="122">
        <v>5.444</v>
      </c>
      <c r="Z51" s="122">
        <v>20</v>
      </c>
      <c r="AA51" s="122">
        <v>5</v>
      </c>
      <c r="AB51" s="122">
        <v>0.1</v>
      </c>
      <c r="AC51" s="122">
        <v>2.6700000000000002E-2</v>
      </c>
      <c r="AD51" s="122">
        <v>1.4200000000000001E-2</v>
      </c>
      <c r="AE51" s="122">
        <v>1.0699999999999999E-2</v>
      </c>
      <c r="AF51" s="122">
        <v>3.5999999999999999E-3</v>
      </c>
      <c r="AG51" s="122">
        <v>2.2000000000000001E-3</v>
      </c>
      <c r="AH51" s="122">
        <v>1.6999999999999999E-3</v>
      </c>
      <c r="AI51" s="122">
        <v>2.1999999999999999E-2</v>
      </c>
      <c r="AJ51" s="122">
        <v>2.4E-2</v>
      </c>
      <c r="AK51" s="122">
        <v>2.7E-2</v>
      </c>
      <c r="AL51" s="122">
        <v>3.39</v>
      </c>
      <c r="AM51" s="122">
        <v>3.39</v>
      </c>
      <c r="AN51" s="122">
        <v>3.39</v>
      </c>
      <c r="AO51" s="12">
        <v>6</v>
      </c>
      <c r="AP51" s="121">
        <v>5.01</v>
      </c>
      <c r="AQ51" s="121">
        <v>15.95</v>
      </c>
      <c r="AR51" s="121">
        <v>8</v>
      </c>
      <c r="AS51" s="121">
        <v>0.5</v>
      </c>
      <c r="AT51" s="121">
        <v>4.75</v>
      </c>
      <c r="AU51" s="121">
        <v>0.4</v>
      </c>
      <c r="AV51" s="121">
        <v>0.2</v>
      </c>
      <c r="AW51" s="121">
        <v>100</v>
      </c>
      <c r="AX51" s="121">
        <v>22.5</v>
      </c>
      <c r="AY51" s="121">
        <v>40.71</v>
      </c>
      <c r="AZ51" s="121">
        <v>0.09</v>
      </c>
      <c r="BA51" s="121">
        <v>2</v>
      </c>
      <c r="BB51" s="121">
        <v>0.01</v>
      </c>
      <c r="BC51" s="121">
        <v>0.1</v>
      </c>
      <c r="BD51" s="121">
        <v>0</v>
      </c>
      <c r="BE51" s="121">
        <v>0</v>
      </c>
      <c r="BF51" s="121">
        <v>0</v>
      </c>
      <c r="BG51" s="12" t="s">
        <v>2087</v>
      </c>
    </row>
    <row r="52" spans="1:59" s="12" customFormat="1" x14ac:dyDescent="0.25">
      <c r="A52" s="12">
        <v>47</v>
      </c>
      <c r="B52" s="12" t="s">
        <v>2088</v>
      </c>
      <c r="C52" s="121">
        <v>35</v>
      </c>
      <c r="D52" s="121">
        <v>0.02</v>
      </c>
      <c r="E52" s="121">
        <v>25</v>
      </c>
      <c r="F52" s="121">
        <v>8</v>
      </c>
      <c r="G52" s="121">
        <v>5</v>
      </c>
      <c r="H52" s="121">
        <v>0.85</v>
      </c>
      <c r="I52" s="121">
        <v>15.01</v>
      </c>
      <c r="J52" s="121">
        <v>50.95</v>
      </c>
      <c r="K52" s="121">
        <v>2</v>
      </c>
      <c r="L52" s="121">
        <v>1</v>
      </c>
      <c r="M52" s="146">
        <v>4</v>
      </c>
      <c r="N52" s="121">
        <v>7.0000000000000001E-3</v>
      </c>
      <c r="O52" s="121">
        <v>0.85</v>
      </c>
      <c r="P52" s="121">
        <v>5</v>
      </c>
      <c r="Q52" s="121">
        <v>0.8</v>
      </c>
      <c r="R52" s="121">
        <v>2</v>
      </c>
      <c r="S52" s="122">
        <v>660.47</v>
      </c>
      <c r="T52" s="122">
        <v>1.84E-2</v>
      </c>
      <c r="U52" s="122">
        <v>2.0999999999999999E-3</v>
      </c>
      <c r="V52" s="122">
        <v>2.2200000000000001E-2</v>
      </c>
      <c r="W52" s="122">
        <v>0.01</v>
      </c>
      <c r="X52" s="122">
        <v>0.6</v>
      </c>
      <c r="Y52" s="122">
        <v>5.444</v>
      </c>
      <c r="Z52" s="122">
        <v>20</v>
      </c>
      <c r="AA52" s="122">
        <v>5</v>
      </c>
      <c r="AB52" s="122">
        <v>0.1</v>
      </c>
      <c r="AC52" s="122">
        <v>2.6700000000000002E-2</v>
      </c>
      <c r="AD52" s="122">
        <v>1.4200000000000001E-2</v>
      </c>
      <c r="AE52" s="122">
        <v>1.0699999999999999E-2</v>
      </c>
      <c r="AF52" s="122">
        <v>3.5999999999999999E-3</v>
      </c>
      <c r="AG52" s="122">
        <v>2.2000000000000001E-3</v>
      </c>
      <c r="AH52" s="122">
        <v>1.6999999999999999E-3</v>
      </c>
      <c r="AI52" s="122">
        <v>2.1000000000000001E-2</v>
      </c>
      <c r="AJ52" s="122">
        <v>2.3E-2</v>
      </c>
      <c r="AK52" s="122">
        <v>2.7E-2</v>
      </c>
      <c r="AL52" s="122">
        <v>3.39</v>
      </c>
      <c r="AM52" s="122">
        <v>3.39</v>
      </c>
      <c r="AN52" s="122">
        <v>3.39</v>
      </c>
      <c r="AO52" s="12">
        <v>6</v>
      </c>
      <c r="AP52" s="121">
        <v>5.01</v>
      </c>
      <c r="AQ52" s="121">
        <v>15.95</v>
      </c>
      <c r="AR52" s="121">
        <v>8</v>
      </c>
      <c r="AS52" s="121">
        <v>0.5</v>
      </c>
      <c r="AT52" s="121">
        <v>4.75</v>
      </c>
      <c r="AU52" s="121">
        <v>0.4</v>
      </c>
      <c r="AV52" s="121">
        <v>0.2</v>
      </c>
      <c r="AW52" s="121">
        <v>100</v>
      </c>
      <c r="AX52" s="121">
        <v>22.5</v>
      </c>
      <c r="AY52" s="121">
        <v>40.71</v>
      </c>
      <c r="AZ52" s="121">
        <v>0.09</v>
      </c>
      <c r="BA52" s="121">
        <v>2</v>
      </c>
      <c r="BB52" s="121">
        <v>0.01</v>
      </c>
      <c r="BC52" s="121">
        <v>0.1</v>
      </c>
      <c r="BD52" s="121">
        <v>0</v>
      </c>
      <c r="BE52" s="121">
        <v>0</v>
      </c>
      <c r="BF52" s="121">
        <v>0</v>
      </c>
      <c r="BG52" s="12" t="s">
        <v>2089</v>
      </c>
    </row>
    <row r="53" spans="1:59" s="12" customFormat="1" x14ac:dyDescent="0.25">
      <c r="A53" s="12">
        <v>48</v>
      </c>
      <c r="B53" s="12" t="s">
        <v>2090</v>
      </c>
      <c r="C53" s="121">
        <v>35</v>
      </c>
      <c r="D53" s="121">
        <v>0.02</v>
      </c>
      <c r="E53" s="121">
        <v>15</v>
      </c>
      <c r="F53" s="121">
        <v>0</v>
      </c>
      <c r="G53" s="121">
        <v>8</v>
      </c>
      <c r="H53" s="121">
        <v>0.8</v>
      </c>
      <c r="I53" s="121">
        <v>15.01</v>
      </c>
      <c r="J53" s="121">
        <v>50.95</v>
      </c>
      <c r="K53" s="121">
        <v>1</v>
      </c>
      <c r="L53" s="121">
        <v>1</v>
      </c>
      <c r="M53" s="146">
        <v>2</v>
      </c>
      <c r="N53" s="121">
        <v>7.0000000000000001E-3</v>
      </c>
      <c r="O53" s="121">
        <v>0.85</v>
      </c>
      <c r="P53" s="121">
        <v>90</v>
      </c>
      <c r="Q53" s="121">
        <v>1.2</v>
      </c>
      <c r="R53" s="121">
        <v>2</v>
      </c>
      <c r="S53" s="122">
        <v>660.47</v>
      </c>
      <c r="T53" s="122">
        <v>1.4999999999999999E-2</v>
      </c>
      <c r="U53" s="122">
        <v>1.8E-3</v>
      </c>
      <c r="V53" s="122">
        <v>1.11E-2</v>
      </c>
      <c r="W53" s="122">
        <v>0.01</v>
      </c>
      <c r="X53" s="122">
        <v>0.6</v>
      </c>
      <c r="Y53" s="122">
        <v>0.40300000000000002</v>
      </c>
      <c r="Z53" s="122">
        <v>120</v>
      </c>
      <c r="AA53" s="122">
        <v>5</v>
      </c>
      <c r="AB53" s="122">
        <v>0.1</v>
      </c>
      <c r="AC53" s="122">
        <v>2.76E-2</v>
      </c>
      <c r="AD53" s="122">
        <v>1.55E-2</v>
      </c>
      <c r="AE53" s="122">
        <v>1.0999999999999999E-2</v>
      </c>
      <c r="AF53" s="122">
        <v>3.0999999999999999E-3</v>
      </c>
      <c r="AG53" s="122">
        <v>1.8E-3</v>
      </c>
      <c r="AH53" s="122">
        <v>1.2999999999999999E-3</v>
      </c>
      <c r="AI53" s="122">
        <v>2.1999999999999999E-2</v>
      </c>
      <c r="AJ53" s="122">
        <v>2.1999999999999999E-2</v>
      </c>
      <c r="AK53" s="122">
        <v>2.1999999999999999E-2</v>
      </c>
      <c r="AL53" s="122">
        <v>3.39</v>
      </c>
      <c r="AM53" s="122">
        <v>3.39</v>
      </c>
      <c r="AN53" s="122">
        <v>3.39</v>
      </c>
      <c r="AO53" s="12">
        <v>6</v>
      </c>
      <c r="AP53" s="121">
        <v>5.01</v>
      </c>
      <c r="AQ53" s="121">
        <v>15.1</v>
      </c>
      <c r="AR53" s="121">
        <v>8</v>
      </c>
      <c r="AS53" s="121">
        <v>0.5</v>
      </c>
      <c r="AT53" s="121">
        <v>4.75</v>
      </c>
      <c r="AU53" s="121">
        <v>0.4</v>
      </c>
      <c r="AV53" s="121">
        <v>0.2</v>
      </c>
      <c r="AW53" s="121">
        <v>100</v>
      </c>
      <c r="AX53" s="121">
        <v>22.5</v>
      </c>
      <c r="AY53" s="121">
        <v>40.71</v>
      </c>
      <c r="AZ53" s="121">
        <v>0.1</v>
      </c>
      <c r="BA53" s="121">
        <v>2.5</v>
      </c>
      <c r="BB53" s="121">
        <v>0.01</v>
      </c>
      <c r="BC53" s="121">
        <v>0.1</v>
      </c>
      <c r="BD53" s="121">
        <v>0</v>
      </c>
      <c r="BE53" s="121">
        <v>0</v>
      </c>
      <c r="BF53" s="121">
        <v>0</v>
      </c>
      <c r="BG53" s="12" t="s">
        <v>2091</v>
      </c>
    </row>
    <row r="54" spans="1:59" s="12" customFormat="1" x14ac:dyDescent="0.25">
      <c r="A54" s="12">
        <v>49</v>
      </c>
      <c r="B54" s="12" t="s">
        <v>2092</v>
      </c>
      <c r="C54" s="121">
        <v>35</v>
      </c>
      <c r="D54" s="121">
        <v>0.02</v>
      </c>
      <c r="E54" s="121">
        <v>25</v>
      </c>
      <c r="F54" s="121">
        <v>12</v>
      </c>
      <c r="G54" s="121">
        <v>5</v>
      </c>
      <c r="H54" s="121">
        <v>0.99</v>
      </c>
      <c r="I54" s="121">
        <v>15.05</v>
      </c>
      <c r="J54" s="121">
        <v>50.95</v>
      </c>
      <c r="K54" s="121">
        <v>1</v>
      </c>
      <c r="L54" s="121">
        <v>1</v>
      </c>
      <c r="M54" s="146">
        <v>2</v>
      </c>
      <c r="N54" s="121">
        <v>7.0000000000000001E-3</v>
      </c>
      <c r="O54" s="121">
        <v>0.85</v>
      </c>
      <c r="P54" s="121">
        <v>5</v>
      </c>
      <c r="Q54" s="121">
        <v>1</v>
      </c>
      <c r="R54" s="121">
        <v>2</v>
      </c>
      <c r="S54" s="122">
        <v>660.4</v>
      </c>
      <c r="T54" s="122">
        <v>1.2699999999999999E-2</v>
      </c>
      <c r="U54" s="122">
        <v>2.0999999999999999E-3</v>
      </c>
      <c r="V54" s="122">
        <v>1.5699999999999999E-2</v>
      </c>
      <c r="W54" s="122">
        <v>0.01</v>
      </c>
      <c r="X54" s="122">
        <v>0.6</v>
      </c>
      <c r="Y54" s="122">
        <v>0.40300000000000002</v>
      </c>
      <c r="Z54" s="122">
        <v>20</v>
      </c>
      <c r="AA54" s="122">
        <v>72.765000000000001</v>
      </c>
      <c r="AB54" s="122">
        <v>0.1</v>
      </c>
      <c r="AC54" s="122">
        <v>2.2200000000000001E-2</v>
      </c>
      <c r="AD54" s="122">
        <v>1.2699999999999999E-2</v>
      </c>
      <c r="AE54" s="122">
        <v>9.4999999999999998E-3</v>
      </c>
      <c r="AF54" s="122">
        <v>3.7000000000000002E-3</v>
      </c>
      <c r="AG54" s="122">
        <v>2.0999999999999999E-3</v>
      </c>
      <c r="AH54" s="122">
        <v>1.6000000000000001E-3</v>
      </c>
      <c r="AI54" s="122">
        <v>1.7999999999999999E-2</v>
      </c>
      <c r="AJ54" s="122">
        <v>1.7000000000000001E-2</v>
      </c>
      <c r="AK54" s="122">
        <v>1.6E-2</v>
      </c>
      <c r="AL54" s="122">
        <v>3.39</v>
      </c>
      <c r="AM54" s="122">
        <v>3.39</v>
      </c>
      <c r="AN54" s="122">
        <v>3.39</v>
      </c>
      <c r="AO54" s="12">
        <v>6</v>
      </c>
      <c r="AP54" s="121">
        <v>5.01</v>
      </c>
      <c r="AQ54" s="121">
        <v>15.95</v>
      </c>
      <c r="AR54" s="121">
        <v>7</v>
      </c>
      <c r="AS54" s="121">
        <v>0.5</v>
      </c>
      <c r="AT54" s="121">
        <v>4.75</v>
      </c>
      <c r="AU54" s="121">
        <v>0.4</v>
      </c>
      <c r="AV54" s="121">
        <v>0.2</v>
      </c>
      <c r="AW54" s="121">
        <v>100</v>
      </c>
      <c r="AX54" s="121">
        <v>22.5</v>
      </c>
      <c r="AY54" s="121">
        <v>40.71</v>
      </c>
      <c r="AZ54" s="121">
        <v>0.06</v>
      </c>
      <c r="BA54" s="121">
        <v>6.9</v>
      </c>
      <c r="BB54" s="121">
        <v>0.01</v>
      </c>
      <c r="BC54" s="121">
        <v>0.1</v>
      </c>
      <c r="BD54" s="121">
        <v>0</v>
      </c>
      <c r="BE54" s="121">
        <v>0</v>
      </c>
      <c r="BF54" s="121">
        <v>0</v>
      </c>
      <c r="BG54" s="12" t="s">
        <v>2093</v>
      </c>
    </row>
    <row r="55" spans="1:59" s="12" customFormat="1" x14ac:dyDescent="0.25">
      <c r="A55" s="12">
        <v>50</v>
      </c>
      <c r="B55" s="12" t="s">
        <v>2094</v>
      </c>
      <c r="C55" s="121">
        <v>35</v>
      </c>
      <c r="D55" s="121">
        <v>0.45</v>
      </c>
      <c r="E55" s="121">
        <v>15</v>
      </c>
      <c r="F55" s="121">
        <v>0</v>
      </c>
      <c r="G55" s="121">
        <v>6</v>
      </c>
      <c r="H55" s="121">
        <v>0.6</v>
      </c>
      <c r="I55" s="121">
        <v>15.01</v>
      </c>
      <c r="J55" s="121">
        <v>50.95</v>
      </c>
      <c r="K55" s="121">
        <v>1</v>
      </c>
      <c r="L55" s="121">
        <v>1</v>
      </c>
      <c r="M55" s="146">
        <v>2</v>
      </c>
      <c r="N55" s="121">
        <v>7.0000000000000001E-3</v>
      </c>
      <c r="O55" s="121">
        <v>0.85</v>
      </c>
      <c r="P55" s="121">
        <v>90</v>
      </c>
      <c r="Q55" s="121">
        <v>1</v>
      </c>
      <c r="R55" s="121">
        <v>2</v>
      </c>
      <c r="S55" s="122">
        <v>660.47299999999996</v>
      </c>
      <c r="T55" s="122">
        <v>2.4899999999999999E-2</v>
      </c>
      <c r="U55" s="122">
        <v>3.3E-3</v>
      </c>
      <c r="V55" s="122">
        <v>4.1999999999999997E-3</v>
      </c>
      <c r="W55" s="122">
        <v>0.21</v>
      </c>
      <c r="X55" s="122">
        <v>0.6</v>
      </c>
      <c r="Y55" s="122">
        <v>0.25900000000000001</v>
      </c>
      <c r="Z55" s="122">
        <v>115</v>
      </c>
      <c r="AA55" s="122">
        <v>20</v>
      </c>
      <c r="AB55" s="122">
        <v>0.12</v>
      </c>
      <c r="AC55" s="122">
        <v>0.06</v>
      </c>
      <c r="AD55" s="122">
        <v>2.3E-2</v>
      </c>
      <c r="AE55" s="122">
        <v>1.34E-2</v>
      </c>
      <c r="AF55" s="122">
        <v>8.3999999999999995E-3</v>
      </c>
      <c r="AG55" s="122">
        <v>3.2000000000000002E-3</v>
      </c>
      <c r="AH55" s="122">
        <v>1.9E-3</v>
      </c>
      <c r="AI55" s="122">
        <v>2.3E-2</v>
      </c>
      <c r="AJ55" s="122">
        <v>0.02</v>
      </c>
      <c r="AK55" s="122">
        <v>1.7000000000000001E-2</v>
      </c>
      <c r="AL55" s="122">
        <v>3.39</v>
      </c>
      <c r="AM55" s="122">
        <v>3.39</v>
      </c>
      <c r="AN55" s="122">
        <v>1.61</v>
      </c>
      <c r="AO55" s="12">
        <v>5</v>
      </c>
      <c r="AP55" s="121">
        <v>5.01</v>
      </c>
      <c r="AQ55" s="121">
        <v>15.1</v>
      </c>
      <c r="AR55" s="121">
        <v>6</v>
      </c>
      <c r="AS55" s="121">
        <v>0.5</v>
      </c>
      <c r="AT55" s="121">
        <v>4.75</v>
      </c>
      <c r="AU55" s="121">
        <v>0.4</v>
      </c>
      <c r="AV55" s="121">
        <v>0.2</v>
      </c>
      <c r="AW55" s="121">
        <v>100</v>
      </c>
      <c r="AX55" s="121">
        <v>125.6</v>
      </c>
      <c r="AY55" s="121">
        <v>250.95</v>
      </c>
      <c r="AZ55" s="121">
        <v>7.0999999999999994E-2</v>
      </c>
      <c r="BA55" s="121">
        <v>6</v>
      </c>
      <c r="BB55" s="121">
        <v>0.01</v>
      </c>
      <c r="BC55" s="121">
        <v>0.1</v>
      </c>
      <c r="BD55" s="121">
        <v>0</v>
      </c>
      <c r="BE55" s="121">
        <v>0</v>
      </c>
      <c r="BF55" s="121">
        <v>0</v>
      </c>
      <c r="BG55" s="12" t="s">
        <v>2015</v>
      </c>
    </row>
    <row r="56" spans="1:59" s="12" customFormat="1" x14ac:dyDescent="0.25">
      <c r="A56" s="12">
        <v>51</v>
      </c>
      <c r="B56" s="12" t="s">
        <v>2095</v>
      </c>
      <c r="C56" s="121">
        <v>30</v>
      </c>
      <c r="D56" s="121">
        <v>0.95</v>
      </c>
      <c r="E56" s="121">
        <v>20</v>
      </c>
      <c r="F56" s="121">
        <v>7</v>
      </c>
      <c r="G56" s="121">
        <v>5</v>
      </c>
      <c r="H56" s="121">
        <v>0.6</v>
      </c>
      <c r="I56" s="121">
        <v>15.01</v>
      </c>
      <c r="J56" s="121">
        <v>50.95</v>
      </c>
      <c r="K56" s="121">
        <v>2</v>
      </c>
      <c r="L56" s="121">
        <v>10</v>
      </c>
      <c r="M56" s="146">
        <v>3</v>
      </c>
      <c r="N56" s="121">
        <v>7.0000000000000001E-3</v>
      </c>
      <c r="O56" s="121">
        <v>0.85</v>
      </c>
      <c r="P56" s="121">
        <v>200</v>
      </c>
      <c r="Q56" s="121">
        <v>1.2</v>
      </c>
      <c r="R56" s="121">
        <v>2</v>
      </c>
      <c r="S56" s="122">
        <v>660.41</v>
      </c>
      <c r="T56" s="122">
        <v>1.7600000000000001E-2</v>
      </c>
      <c r="U56" s="122">
        <v>2.2000000000000001E-3</v>
      </c>
      <c r="V56" s="122">
        <v>2.5499999999999998E-2</v>
      </c>
      <c r="W56" s="122">
        <v>0.95</v>
      </c>
      <c r="X56" s="122">
        <v>0.6</v>
      </c>
      <c r="Y56" s="122">
        <v>0.23</v>
      </c>
      <c r="Z56" s="122">
        <v>485</v>
      </c>
      <c r="AA56" s="122">
        <v>266.80500000000001</v>
      </c>
      <c r="AB56" s="122">
        <v>0.8</v>
      </c>
      <c r="AC56" s="122">
        <v>3.5000000000000003E-2</v>
      </c>
      <c r="AD56" s="122">
        <v>0.02</v>
      </c>
      <c r="AE56" s="122">
        <v>1.2E-2</v>
      </c>
      <c r="AF56" s="122">
        <v>6.0000000000000001E-3</v>
      </c>
      <c r="AG56" s="122">
        <v>2.5000000000000001E-3</v>
      </c>
      <c r="AH56" s="122">
        <v>1.9E-3</v>
      </c>
      <c r="AI56" s="122">
        <v>0.11</v>
      </c>
      <c r="AJ56" s="122">
        <v>3.5000000000000003E-2</v>
      </c>
      <c r="AK56" s="122">
        <v>2.5000000000000001E-2</v>
      </c>
      <c r="AL56" s="122">
        <v>1.266</v>
      </c>
      <c r="AM56" s="122">
        <v>0.63300000000000001</v>
      </c>
      <c r="AN56" s="122">
        <v>0.72899999999999998</v>
      </c>
      <c r="AO56" s="12">
        <v>5</v>
      </c>
      <c r="AP56" s="121">
        <v>5.01</v>
      </c>
      <c r="AQ56" s="121">
        <v>15.95</v>
      </c>
      <c r="AR56" s="121">
        <v>10</v>
      </c>
      <c r="AS56" s="121">
        <v>1</v>
      </c>
      <c r="AT56" s="121">
        <v>4.75</v>
      </c>
      <c r="AU56" s="121">
        <v>0.4</v>
      </c>
      <c r="AV56" s="121">
        <v>0.6</v>
      </c>
      <c r="AW56" s="121">
        <v>100</v>
      </c>
      <c r="AX56" s="121">
        <v>4.47</v>
      </c>
      <c r="AY56" s="121">
        <v>7.77</v>
      </c>
      <c r="AZ56" s="121">
        <v>0.12</v>
      </c>
      <c r="BA56" s="121">
        <v>1.7</v>
      </c>
      <c r="BB56" s="121">
        <v>0.01</v>
      </c>
      <c r="BC56" s="121">
        <v>0.1</v>
      </c>
      <c r="BD56" s="121">
        <v>0</v>
      </c>
      <c r="BE56" s="121">
        <v>0</v>
      </c>
      <c r="BF56" s="121">
        <v>0</v>
      </c>
      <c r="BG56" s="12" t="s">
        <v>2096</v>
      </c>
    </row>
    <row r="57" spans="1:59" s="12" customFormat="1" x14ac:dyDescent="0.25">
      <c r="A57" s="12">
        <v>52</v>
      </c>
      <c r="B57" s="12" t="s">
        <v>2097</v>
      </c>
      <c r="C57" s="121">
        <v>90</v>
      </c>
      <c r="D57" s="121">
        <v>0.8</v>
      </c>
      <c r="E57" s="121">
        <v>35</v>
      </c>
      <c r="F57" s="121">
        <v>10</v>
      </c>
      <c r="G57" s="121">
        <v>4.2</v>
      </c>
      <c r="H57" s="121">
        <v>1</v>
      </c>
      <c r="I57" s="121">
        <v>25.23</v>
      </c>
      <c r="J57" s="121">
        <v>40.86</v>
      </c>
      <c r="K57" s="121">
        <v>0.1</v>
      </c>
      <c r="L57" s="121">
        <v>0.1</v>
      </c>
      <c r="M57" s="146">
        <v>3</v>
      </c>
      <c r="N57" s="121">
        <v>0.01</v>
      </c>
      <c r="O57" s="121">
        <v>0.85</v>
      </c>
      <c r="P57" s="121">
        <v>35</v>
      </c>
      <c r="Q57" s="121">
        <v>1.2</v>
      </c>
      <c r="R57" s="121">
        <v>1.5</v>
      </c>
      <c r="S57" s="122">
        <v>661.22</v>
      </c>
      <c r="T57" s="122">
        <v>6.3200000000000006E-2</v>
      </c>
      <c r="U57" s="122">
        <v>6.7000000000000002E-3</v>
      </c>
      <c r="V57" s="122">
        <v>3.9E-2</v>
      </c>
      <c r="W57" s="122">
        <v>0.8</v>
      </c>
      <c r="X57" s="122">
        <v>0.6</v>
      </c>
      <c r="Y57" s="122">
        <v>5.601</v>
      </c>
      <c r="Z57" s="122">
        <v>120</v>
      </c>
      <c r="AA57" s="122">
        <v>5</v>
      </c>
      <c r="AB57" s="122">
        <v>0.92</v>
      </c>
      <c r="AC57" s="122">
        <v>7.0000000000000007E-2</v>
      </c>
      <c r="AD57" s="122">
        <v>0.06</v>
      </c>
      <c r="AE57" s="122">
        <v>5.5E-2</v>
      </c>
      <c r="AF57" s="122">
        <v>6.0000000000000001E-3</v>
      </c>
      <c r="AG57" s="122">
        <v>4.0000000000000001E-3</v>
      </c>
      <c r="AH57" s="122">
        <v>3.0000000000000001E-3</v>
      </c>
      <c r="AI57" s="122">
        <v>0.04</v>
      </c>
      <c r="AJ57" s="122">
        <v>3.5000000000000003E-2</v>
      </c>
      <c r="AK57" s="122">
        <v>0.03</v>
      </c>
      <c r="AL57" s="122">
        <v>1.266</v>
      </c>
      <c r="AM57" s="122">
        <v>0.63300000000000001</v>
      </c>
      <c r="AN57" s="122">
        <v>0.72899999999999998</v>
      </c>
      <c r="AO57" s="12">
        <v>5</v>
      </c>
      <c r="AP57" s="121">
        <v>5.01</v>
      </c>
      <c r="AQ57" s="121">
        <v>15.95</v>
      </c>
      <c r="AR57" s="121">
        <v>5</v>
      </c>
      <c r="AS57" s="121">
        <v>1</v>
      </c>
      <c r="AT57" s="121">
        <v>4.75</v>
      </c>
      <c r="AU57" s="121">
        <v>0.4</v>
      </c>
      <c r="AV57" s="121">
        <v>0.2</v>
      </c>
      <c r="AW57" s="121">
        <v>100</v>
      </c>
      <c r="AX57" s="121">
        <v>20.2</v>
      </c>
      <c r="AY57" s="121">
        <v>100.9</v>
      </c>
      <c r="AZ57" s="121">
        <v>0.12</v>
      </c>
      <c r="BA57" s="121">
        <v>1.7</v>
      </c>
      <c r="BB57" s="121">
        <v>0.01</v>
      </c>
      <c r="BC57" s="121">
        <v>0.1</v>
      </c>
      <c r="BD57" s="121">
        <v>0</v>
      </c>
      <c r="BE57" s="121">
        <v>0</v>
      </c>
      <c r="BF57" s="121">
        <v>0</v>
      </c>
      <c r="BG57" s="12" t="s">
        <v>2098</v>
      </c>
    </row>
    <row r="58" spans="1:59" s="12" customFormat="1" x14ac:dyDescent="0.25">
      <c r="A58" s="12">
        <v>53</v>
      </c>
      <c r="B58" s="12" t="s">
        <v>2099</v>
      </c>
      <c r="C58" s="121">
        <v>26</v>
      </c>
      <c r="D58" s="121">
        <v>0.8</v>
      </c>
      <c r="E58" s="121">
        <v>24</v>
      </c>
      <c r="F58" s="121">
        <v>4</v>
      </c>
      <c r="G58" s="121">
        <v>4.2</v>
      </c>
      <c r="H58" s="121">
        <v>1</v>
      </c>
      <c r="I58" s="121">
        <v>25.23</v>
      </c>
      <c r="J58" s="121">
        <v>40.86</v>
      </c>
      <c r="K58" s="121">
        <v>0.1</v>
      </c>
      <c r="L58" s="121">
        <v>0.1</v>
      </c>
      <c r="M58" s="146">
        <v>3</v>
      </c>
      <c r="N58" s="121">
        <v>0.01</v>
      </c>
      <c r="O58" s="121">
        <v>0.85</v>
      </c>
      <c r="P58" s="121">
        <v>35</v>
      </c>
      <c r="Q58" s="121">
        <v>1.2</v>
      </c>
      <c r="R58" s="121">
        <v>0.7</v>
      </c>
      <c r="S58" s="122">
        <v>660.35</v>
      </c>
      <c r="T58" s="122">
        <v>5.1200000000000002E-2</v>
      </c>
      <c r="U58" s="122">
        <v>7.1000000000000004E-3</v>
      </c>
      <c r="V58" s="122">
        <v>3.49E-2</v>
      </c>
      <c r="W58" s="122">
        <v>0.8</v>
      </c>
      <c r="X58" s="122">
        <v>0.6</v>
      </c>
      <c r="Y58" s="122">
        <v>1155.92</v>
      </c>
      <c r="Z58" s="122">
        <v>120</v>
      </c>
      <c r="AA58" s="122">
        <v>5</v>
      </c>
      <c r="AB58" s="122">
        <v>0.91</v>
      </c>
      <c r="AC58" s="122">
        <v>7.0000000000000007E-2</v>
      </c>
      <c r="AD58" s="122">
        <v>0.05</v>
      </c>
      <c r="AE58" s="122">
        <v>0.04</v>
      </c>
      <c r="AF58" s="122">
        <v>6.0000000000000001E-3</v>
      </c>
      <c r="AG58" s="122">
        <v>4.0000000000000001E-3</v>
      </c>
      <c r="AH58" s="122">
        <v>3.0000000000000001E-3</v>
      </c>
      <c r="AI58" s="122">
        <v>0.05</v>
      </c>
      <c r="AJ58" s="122">
        <v>0.05</v>
      </c>
      <c r="AK58" s="122">
        <v>0.05</v>
      </c>
      <c r="AL58" s="122">
        <v>1.266</v>
      </c>
      <c r="AM58" s="122">
        <v>0.63300000000000001</v>
      </c>
      <c r="AN58" s="122">
        <v>0.72899999999999998</v>
      </c>
      <c r="AO58" s="12">
        <v>5</v>
      </c>
      <c r="AP58" s="121">
        <v>5.01</v>
      </c>
      <c r="AQ58" s="121">
        <v>15.95</v>
      </c>
      <c r="AR58" s="121">
        <v>5</v>
      </c>
      <c r="AS58" s="121">
        <v>1</v>
      </c>
      <c r="AT58" s="121">
        <v>4.75</v>
      </c>
      <c r="AU58" s="121">
        <v>0.4</v>
      </c>
      <c r="AV58" s="121">
        <v>0.2</v>
      </c>
      <c r="AW58" s="121">
        <v>100</v>
      </c>
      <c r="AX58" s="121">
        <v>10.199999999999999</v>
      </c>
      <c r="AY58" s="121">
        <v>50.9</v>
      </c>
      <c r="AZ58" s="121">
        <v>0.12</v>
      </c>
      <c r="BA58" s="121">
        <v>1.7</v>
      </c>
      <c r="BB58" s="121">
        <v>0.01</v>
      </c>
      <c r="BC58" s="121">
        <v>0.1</v>
      </c>
      <c r="BD58" s="121">
        <v>0</v>
      </c>
      <c r="BE58" s="121">
        <v>0</v>
      </c>
      <c r="BF58" s="121">
        <v>0</v>
      </c>
      <c r="BG58" s="12" t="s">
        <v>2100</v>
      </c>
    </row>
    <row r="59" spans="1:59" s="12" customFormat="1" x14ac:dyDescent="0.25">
      <c r="A59" s="12">
        <v>54</v>
      </c>
      <c r="B59" s="12" t="s">
        <v>2101</v>
      </c>
      <c r="C59" s="121">
        <v>19</v>
      </c>
      <c r="D59" s="121">
        <v>0.8</v>
      </c>
      <c r="E59" s="121">
        <v>24</v>
      </c>
      <c r="F59" s="121">
        <v>4</v>
      </c>
      <c r="G59" s="121">
        <v>3</v>
      </c>
      <c r="H59" s="121">
        <v>1</v>
      </c>
      <c r="I59" s="121">
        <v>25.23</v>
      </c>
      <c r="J59" s="121">
        <v>40.86</v>
      </c>
      <c r="K59" s="121">
        <v>0.1</v>
      </c>
      <c r="L59" s="121">
        <v>0.1</v>
      </c>
      <c r="M59" s="146">
        <v>3</v>
      </c>
      <c r="N59" s="121">
        <v>0.01</v>
      </c>
      <c r="O59" s="121">
        <v>0.85</v>
      </c>
      <c r="P59" s="121">
        <v>35</v>
      </c>
      <c r="Q59" s="121">
        <v>1.2</v>
      </c>
      <c r="R59" s="121">
        <v>0.7</v>
      </c>
      <c r="S59" s="122">
        <v>660.26</v>
      </c>
      <c r="T59" s="122">
        <v>2.5899999999999999E-2</v>
      </c>
      <c r="U59" s="122">
        <v>3.0999999999999999E-3</v>
      </c>
      <c r="V59" s="122">
        <v>3.2899999999999999E-2</v>
      </c>
      <c r="W59" s="122">
        <v>0.8</v>
      </c>
      <c r="X59" s="122">
        <v>0.6</v>
      </c>
      <c r="Y59" s="122">
        <v>77.805000000000007</v>
      </c>
      <c r="Z59" s="122">
        <v>420</v>
      </c>
      <c r="AA59" s="122">
        <v>5</v>
      </c>
      <c r="AB59" s="122">
        <v>0.93</v>
      </c>
      <c r="AC59" s="122">
        <v>7.0000000000000007E-2</v>
      </c>
      <c r="AD59" s="122">
        <v>0.03</v>
      </c>
      <c r="AE59" s="122">
        <v>0.02</v>
      </c>
      <c r="AF59" s="122">
        <v>6.0000000000000001E-3</v>
      </c>
      <c r="AG59" s="122">
        <v>3.5000000000000001E-3</v>
      </c>
      <c r="AH59" s="122">
        <v>2E-3</v>
      </c>
      <c r="AI59" s="122">
        <v>0.04</v>
      </c>
      <c r="AJ59" s="122">
        <v>0.04</v>
      </c>
      <c r="AK59" s="122">
        <v>0.04</v>
      </c>
      <c r="AL59" s="122">
        <v>1.266</v>
      </c>
      <c r="AM59" s="122">
        <v>0.63300000000000001</v>
      </c>
      <c r="AN59" s="122">
        <v>0.72899999999999998</v>
      </c>
      <c r="AO59" s="12">
        <v>5</v>
      </c>
      <c r="AP59" s="121">
        <v>5.01</v>
      </c>
      <c r="AQ59" s="121">
        <v>15.95</v>
      </c>
      <c r="AR59" s="121">
        <v>5</v>
      </c>
      <c r="AS59" s="121">
        <v>1</v>
      </c>
      <c r="AT59" s="121">
        <v>4.75</v>
      </c>
      <c r="AU59" s="121">
        <v>0.4</v>
      </c>
      <c r="AV59" s="121">
        <v>0.2</v>
      </c>
      <c r="AW59" s="121">
        <v>100</v>
      </c>
      <c r="AX59" s="121">
        <v>10.199999999999999</v>
      </c>
      <c r="AY59" s="121">
        <v>50.9</v>
      </c>
      <c r="AZ59" s="121">
        <v>0.12</v>
      </c>
      <c r="BA59" s="121">
        <v>1.7</v>
      </c>
      <c r="BB59" s="121">
        <v>0.01</v>
      </c>
      <c r="BC59" s="121">
        <v>0.1</v>
      </c>
      <c r="BD59" s="121">
        <v>0</v>
      </c>
      <c r="BE59" s="121">
        <v>0</v>
      </c>
      <c r="BF59" s="121">
        <v>0</v>
      </c>
      <c r="BG59" s="12" t="s">
        <v>2102</v>
      </c>
    </row>
    <row r="60" spans="1:59" s="12" customFormat="1" x14ac:dyDescent="0.25">
      <c r="A60" s="12">
        <v>55</v>
      </c>
      <c r="B60" s="12" t="s">
        <v>2103</v>
      </c>
      <c r="C60" s="121">
        <v>21</v>
      </c>
      <c r="D60" s="121">
        <v>0.8</v>
      </c>
      <c r="E60" s="121">
        <v>24</v>
      </c>
      <c r="F60" s="121">
        <v>7</v>
      </c>
      <c r="G60" s="121">
        <v>2.5</v>
      </c>
      <c r="H60" s="121">
        <v>1</v>
      </c>
      <c r="I60" s="121">
        <v>25.23</v>
      </c>
      <c r="J60" s="121">
        <v>40.86</v>
      </c>
      <c r="K60" s="121">
        <v>0.1</v>
      </c>
      <c r="L60" s="121">
        <v>0.1</v>
      </c>
      <c r="M60" s="146">
        <v>3</v>
      </c>
      <c r="N60" s="121">
        <v>0.01</v>
      </c>
      <c r="O60" s="121">
        <v>0.85</v>
      </c>
      <c r="P60" s="121">
        <v>35</v>
      </c>
      <c r="Q60" s="121">
        <v>1.2</v>
      </c>
      <c r="R60" s="121">
        <v>0.7</v>
      </c>
      <c r="S60" s="122">
        <v>660.28</v>
      </c>
      <c r="T60" s="122">
        <v>4.1099999999999998E-2</v>
      </c>
      <c r="U60" s="122">
        <v>5.8999999999999999E-3</v>
      </c>
      <c r="V60" s="122">
        <v>4.5900000000000003E-2</v>
      </c>
      <c r="W60" s="122">
        <v>0.8</v>
      </c>
      <c r="X60" s="122">
        <v>0.6</v>
      </c>
      <c r="Y60" s="122">
        <v>755.803</v>
      </c>
      <c r="Z60" s="122">
        <v>120</v>
      </c>
      <c r="AA60" s="122">
        <v>5</v>
      </c>
      <c r="AB60" s="122">
        <v>0.92</v>
      </c>
      <c r="AC60" s="122">
        <v>7.0000000000000007E-2</v>
      </c>
      <c r="AD60" s="122">
        <v>0.04</v>
      </c>
      <c r="AE60" s="122">
        <v>0.03</v>
      </c>
      <c r="AF60" s="122">
        <v>6.0000000000000001E-3</v>
      </c>
      <c r="AG60" s="122">
        <v>3.5000000000000001E-3</v>
      </c>
      <c r="AH60" s="122">
        <v>2E-3</v>
      </c>
      <c r="AI60" s="122">
        <v>0.04</v>
      </c>
      <c r="AJ60" s="122">
        <v>0.04</v>
      </c>
      <c r="AK60" s="122">
        <v>0.04</v>
      </c>
      <c r="AL60" s="122">
        <v>1.266</v>
      </c>
      <c r="AM60" s="122">
        <v>0.63300000000000001</v>
      </c>
      <c r="AN60" s="122">
        <v>0.72899999999999998</v>
      </c>
      <c r="AO60" s="12">
        <v>5</v>
      </c>
      <c r="AP60" s="121">
        <v>5.01</v>
      </c>
      <c r="AQ60" s="121">
        <v>15.95</v>
      </c>
      <c r="AR60" s="121">
        <v>5</v>
      </c>
      <c r="AS60" s="121">
        <v>1</v>
      </c>
      <c r="AT60" s="121">
        <v>4.75</v>
      </c>
      <c r="AU60" s="121">
        <v>0.4</v>
      </c>
      <c r="AV60" s="121">
        <v>0.2</v>
      </c>
      <c r="AW60" s="121">
        <v>100</v>
      </c>
      <c r="AX60" s="121">
        <v>10.199999999999999</v>
      </c>
      <c r="AY60" s="121">
        <v>50.9</v>
      </c>
      <c r="AZ60" s="121">
        <v>0.12</v>
      </c>
      <c r="BA60" s="121">
        <v>1.7</v>
      </c>
      <c r="BB60" s="121">
        <v>0.01</v>
      </c>
      <c r="BC60" s="121">
        <v>0.1</v>
      </c>
      <c r="BD60" s="121">
        <v>0</v>
      </c>
      <c r="BE60" s="121">
        <v>0</v>
      </c>
      <c r="BF60" s="121">
        <v>0</v>
      </c>
      <c r="BG60" s="12" t="s">
        <v>2104</v>
      </c>
    </row>
    <row r="61" spans="1:59" s="12" customFormat="1" x14ac:dyDescent="0.25">
      <c r="A61" s="12">
        <v>56</v>
      </c>
      <c r="B61" s="12" t="s">
        <v>2105</v>
      </c>
      <c r="C61" s="121">
        <v>27</v>
      </c>
      <c r="D61" s="121">
        <v>0.8</v>
      </c>
      <c r="E61" s="121">
        <v>24</v>
      </c>
      <c r="F61" s="121">
        <v>7</v>
      </c>
      <c r="G61" s="121">
        <v>2.5</v>
      </c>
      <c r="H61" s="121">
        <v>1</v>
      </c>
      <c r="I61" s="121">
        <v>25.23</v>
      </c>
      <c r="J61" s="121">
        <v>40.86</v>
      </c>
      <c r="K61" s="121">
        <v>0.1</v>
      </c>
      <c r="L61" s="121">
        <v>0.1</v>
      </c>
      <c r="M61" s="146">
        <v>3</v>
      </c>
      <c r="N61" s="121">
        <v>0.01</v>
      </c>
      <c r="O61" s="121">
        <v>0.85</v>
      </c>
      <c r="P61" s="121">
        <v>35</v>
      </c>
      <c r="Q61" s="121">
        <v>1.2</v>
      </c>
      <c r="R61" s="121">
        <v>0.7</v>
      </c>
      <c r="S61" s="122">
        <v>660.36</v>
      </c>
      <c r="T61" s="122">
        <v>0.02</v>
      </c>
      <c r="U61" s="122">
        <v>4.8999999999999998E-3</v>
      </c>
      <c r="V61" s="122">
        <v>5.3600000000000002E-2</v>
      </c>
      <c r="W61" s="122">
        <v>0.8</v>
      </c>
      <c r="X61" s="122">
        <v>0.6</v>
      </c>
      <c r="Y61" s="122">
        <v>195.12799999999999</v>
      </c>
      <c r="Z61" s="122">
        <v>120</v>
      </c>
      <c r="AA61" s="122">
        <v>5</v>
      </c>
      <c r="AB61" s="122">
        <v>0.95</v>
      </c>
      <c r="AC61" s="122">
        <v>0.05</v>
      </c>
      <c r="AD61" s="122">
        <v>0.02</v>
      </c>
      <c r="AE61" s="122">
        <v>0.01</v>
      </c>
      <c r="AF61" s="122">
        <v>7.0000000000000001E-3</v>
      </c>
      <c r="AG61" s="122">
        <v>5.0000000000000001E-3</v>
      </c>
      <c r="AH61" s="122">
        <v>4.0000000000000001E-3</v>
      </c>
      <c r="AI61" s="122">
        <v>0.05</v>
      </c>
      <c r="AJ61" s="122">
        <v>0.05</v>
      </c>
      <c r="AK61" s="122">
        <v>0.05</v>
      </c>
      <c r="AL61" s="122">
        <v>1.266</v>
      </c>
      <c r="AM61" s="122">
        <v>0.63300000000000001</v>
      </c>
      <c r="AN61" s="122">
        <v>0.72899999999999998</v>
      </c>
      <c r="AO61" s="12">
        <v>5</v>
      </c>
      <c r="AP61" s="121">
        <v>5.01</v>
      </c>
      <c r="AQ61" s="121">
        <v>15.95</v>
      </c>
      <c r="AR61" s="121">
        <v>5</v>
      </c>
      <c r="AS61" s="121">
        <v>1</v>
      </c>
      <c r="AT61" s="121">
        <v>4.75</v>
      </c>
      <c r="AU61" s="121">
        <v>0.4</v>
      </c>
      <c r="AV61" s="121">
        <v>0.2</v>
      </c>
      <c r="AW61" s="121">
        <v>100</v>
      </c>
      <c r="AX61" s="121">
        <v>10.199999999999999</v>
      </c>
      <c r="AY61" s="121">
        <v>50.9</v>
      </c>
      <c r="AZ61" s="121">
        <v>0.12</v>
      </c>
      <c r="BA61" s="121">
        <v>1.7</v>
      </c>
      <c r="BB61" s="121">
        <v>0.01</v>
      </c>
      <c r="BC61" s="121">
        <v>0.1</v>
      </c>
      <c r="BD61" s="121">
        <v>0</v>
      </c>
      <c r="BE61" s="121">
        <v>0</v>
      </c>
      <c r="BF61" s="121">
        <v>0</v>
      </c>
      <c r="BG61" s="12" t="s">
        <v>2106</v>
      </c>
    </row>
    <row r="62" spans="1:59" s="12" customFormat="1" x14ac:dyDescent="0.25">
      <c r="A62" s="12">
        <v>57</v>
      </c>
      <c r="B62" s="12" t="s">
        <v>2107</v>
      </c>
      <c r="C62" s="121">
        <v>23</v>
      </c>
      <c r="D62" s="121">
        <v>0.8</v>
      </c>
      <c r="E62" s="121">
        <v>18.2</v>
      </c>
      <c r="F62" s="121">
        <v>0</v>
      </c>
      <c r="G62" s="121">
        <v>4.2</v>
      </c>
      <c r="H62" s="121">
        <v>1</v>
      </c>
      <c r="I62" s="121">
        <v>25.23</v>
      </c>
      <c r="J62" s="121">
        <v>40.86</v>
      </c>
      <c r="K62" s="121">
        <v>0.1</v>
      </c>
      <c r="L62" s="121">
        <v>0.5</v>
      </c>
      <c r="M62" s="146">
        <v>2</v>
      </c>
      <c r="N62" s="121">
        <v>1.2200000000000001E-2</v>
      </c>
      <c r="O62" s="121">
        <v>0.86</v>
      </c>
      <c r="P62" s="121">
        <v>2.5</v>
      </c>
      <c r="Q62" s="121">
        <v>0.2</v>
      </c>
      <c r="R62" s="121">
        <v>0.8</v>
      </c>
      <c r="S62" s="122">
        <v>660.31</v>
      </c>
      <c r="T62" s="122">
        <v>3.9399999999999998E-2</v>
      </c>
      <c r="U62" s="122">
        <v>4.8999999999999998E-3</v>
      </c>
      <c r="V62" s="122">
        <v>3.8399999999999997E-2</v>
      </c>
      <c r="W62" s="122">
        <v>0.8</v>
      </c>
      <c r="X62" s="122">
        <v>0.6</v>
      </c>
      <c r="Y62" s="122">
        <v>148.19499999999999</v>
      </c>
      <c r="Z62" s="122">
        <v>4500</v>
      </c>
      <c r="AA62" s="122">
        <v>5</v>
      </c>
      <c r="AB62" s="122">
        <v>0.96</v>
      </c>
      <c r="AC62" s="122">
        <v>0.05</v>
      </c>
      <c r="AD62" s="122">
        <v>2.5000000000000001E-2</v>
      </c>
      <c r="AE62" s="122">
        <v>2.1000000000000001E-2</v>
      </c>
      <c r="AF62" s="122">
        <v>8.3999999999999995E-3</v>
      </c>
      <c r="AG62" s="122">
        <v>3.2000000000000002E-3</v>
      </c>
      <c r="AH62" s="122">
        <v>1.9E-3</v>
      </c>
      <c r="AI62" s="122">
        <v>0.04</v>
      </c>
      <c r="AJ62" s="122">
        <v>0.04</v>
      </c>
      <c r="AK62" s="122">
        <v>0.04</v>
      </c>
      <c r="AL62" s="122">
        <v>1.266</v>
      </c>
      <c r="AM62" s="122">
        <v>0.63300000000000001</v>
      </c>
      <c r="AN62" s="122">
        <v>0.72899999999999998</v>
      </c>
      <c r="AO62" s="12">
        <v>5</v>
      </c>
      <c r="AP62" s="121">
        <v>5.01</v>
      </c>
      <c r="AQ62" s="121">
        <v>15.1</v>
      </c>
      <c r="AR62" s="121">
        <v>8</v>
      </c>
      <c r="AS62" s="121">
        <v>0.5</v>
      </c>
      <c r="AT62" s="121">
        <v>4.3</v>
      </c>
      <c r="AU62" s="121">
        <v>0.4</v>
      </c>
      <c r="AV62" s="121">
        <v>0.2</v>
      </c>
      <c r="AW62" s="121">
        <v>100</v>
      </c>
      <c r="AX62" s="121">
        <v>10.199999999999999</v>
      </c>
      <c r="AY62" s="121">
        <v>50.9</v>
      </c>
      <c r="AZ62" s="121">
        <v>0.12</v>
      </c>
      <c r="BA62" s="121">
        <v>1.7</v>
      </c>
      <c r="BB62" s="121">
        <v>0.01</v>
      </c>
      <c r="BC62" s="121">
        <v>0.1</v>
      </c>
      <c r="BD62" s="121">
        <v>0</v>
      </c>
      <c r="BE62" s="121">
        <v>0</v>
      </c>
      <c r="BF62" s="121">
        <v>0</v>
      </c>
      <c r="BG62" s="12" t="s">
        <v>2108</v>
      </c>
    </row>
    <row r="63" spans="1:59" s="12" customFormat="1" x14ac:dyDescent="0.25">
      <c r="A63" s="12">
        <v>58</v>
      </c>
      <c r="B63" s="12" t="s">
        <v>2109</v>
      </c>
      <c r="C63" s="121">
        <v>19</v>
      </c>
      <c r="D63" s="121">
        <v>0.8</v>
      </c>
      <c r="E63" s="121">
        <v>18.2</v>
      </c>
      <c r="F63" s="121">
        <v>0</v>
      </c>
      <c r="G63" s="121">
        <v>4.2</v>
      </c>
      <c r="H63" s="121">
        <v>1</v>
      </c>
      <c r="I63" s="121">
        <v>25.23</v>
      </c>
      <c r="J63" s="121">
        <v>40.86</v>
      </c>
      <c r="K63" s="121">
        <v>0.1</v>
      </c>
      <c r="L63" s="121">
        <v>0.5</v>
      </c>
      <c r="M63" s="146">
        <v>2</v>
      </c>
      <c r="N63" s="121">
        <v>1.2200000000000001E-2</v>
      </c>
      <c r="O63" s="121">
        <v>0.86</v>
      </c>
      <c r="P63" s="121">
        <v>2.5</v>
      </c>
      <c r="Q63" s="121">
        <v>0.2</v>
      </c>
      <c r="R63" s="121">
        <v>0.8</v>
      </c>
      <c r="S63" s="122">
        <v>660.26</v>
      </c>
      <c r="T63" s="122">
        <v>3.4700000000000002E-2</v>
      </c>
      <c r="U63" s="122">
        <v>4.1999999999999997E-3</v>
      </c>
      <c r="V63" s="122">
        <v>4.3999999999999997E-2</v>
      </c>
      <c r="W63" s="122">
        <v>0.8</v>
      </c>
      <c r="X63" s="122">
        <v>0.6</v>
      </c>
      <c r="Y63" s="122">
        <v>136.09700000000001</v>
      </c>
      <c r="Z63" s="122">
        <v>4500</v>
      </c>
      <c r="AA63" s="122">
        <v>5</v>
      </c>
      <c r="AB63" s="122">
        <v>0.94</v>
      </c>
      <c r="AC63" s="122">
        <v>0.05</v>
      </c>
      <c r="AD63" s="122">
        <v>2.5000000000000001E-2</v>
      </c>
      <c r="AE63" s="122">
        <v>2.1000000000000001E-2</v>
      </c>
      <c r="AF63" s="122">
        <v>8.3999999999999995E-3</v>
      </c>
      <c r="AG63" s="122">
        <v>3.2000000000000002E-3</v>
      </c>
      <c r="AH63" s="122">
        <v>1.9E-3</v>
      </c>
      <c r="AI63" s="122">
        <v>4.3999999999999997E-2</v>
      </c>
      <c r="AJ63" s="122">
        <v>4.3999999999999997E-2</v>
      </c>
      <c r="AK63" s="122">
        <v>4.3999999999999997E-2</v>
      </c>
      <c r="AL63" s="122">
        <v>1.266</v>
      </c>
      <c r="AM63" s="122">
        <v>0.63300000000000001</v>
      </c>
      <c r="AN63" s="122">
        <v>0.72899999999999998</v>
      </c>
      <c r="AO63" s="12">
        <v>5</v>
      </c>
      <c r="AP63" s="121">
        <v>5.01</v>
      </c>
      <c r="AQ63" s="121">
        <v>15.1</v>
      </c>
      <c r="AR63" s="121">
        <v>8</v>
      </c>
      <c r="AS63" s="121">
        <v>0.5</v>
      </c>
      <c r="AT63" s="121">
        <v>4.3</v>
      </c>
      <c r="AU63" s="121">
        <v>0.4</v>
      </c>
      <c r="AV63" s="121">
        <v>0.2</v>
      </c>
      <c r="AW63" s="121">
        <v>100</v>
      </c>
      <c r="AX63" s="121">
        <v>10.199999999999999</v>
      </c>
      <c r="AY63" s="121">
        <v>50.9</v>
      </c>
      <c r="AZ63" s="121">
        <v>0.12</v>
      </c>
      <c r="BA63" s="121">
        <v>1.7</v>
      </c>
      <c r="BB63" s="121">
        <v>0.01</v>
      </c>
      <c r="BC63" s="121">
        <v>0.1</v>
      </c>
      <c r="BD63" s="121">
        <v>0</v>
      </c>
      <c r="BE63" s="121">
        <v>0</v>
      </c>
      <c r="BF63" s="121">
        <v>0</v>
      </c>
      <c r="BG63" s="12" t="s">
        <v>2110</v>
      </c>
    </row>
    <row r="64" spans="1:59" s="12" customFormat="1" x14ac:dyDescent="0.25">
      <c r="A64" s="12">
        <v>59</v>
      </c>
      <c r="B64" s="12" t="s">
        <v>2111</v>
      </c>
      <c r="C64" s="121">
        <v>30</v>
      </c>
      <c r="D64" s="121">
        <v>0.95</v>
      </c>
      <c r="E64" s="121">
        <v>24</v>
      </c>
      <c r="F64" s="121">
        <v>4</v>
      </c>
      <c r="G64" s="121">
        <v>4.2</v>
      </c>
      <c r="H64" s="121">
        <v>0.95</v>
      </c>
      <c r="I64" s="121">
        <v>10.050000000000001</v>
      </c>
      <c r="J64" s="121">
        <v>90.95</v>
      </c>
      <c r="K64" s="121">
        <v>0.1</v>
      </c>
      <c r="L64" s="121">
        <v>0.1</v>
      </c>
      <c r="M64" s="146">
        <v>3</v>
      </c>
      <c r="N64" s="121">
        <v>0.01</v>
      </c>
      <c r="O64" s="121">
        <v>0.85</v>
      </c>
      <c r="P64" s="121">
        <v>35</v>
      </c>
      <c r="Q64" s="121">
        <v>1.2</v>
      </c>
      <c r="R64" s="121">
        <v>0.7</v>
      </c>
      <c r="S64" s="122">
        <v>660.41</v>
      </c>
      <c r="T64" s="122">
        <v>5.4399999999999997E-2</v>
      </c>
      <c r="U64" s="122">
        <v>5.7999999999999996E-3</v>
      </c>
      <c r="V64" s="122">
        <v>6.6299999999999998E-2</v>
      </c>
      <c r="W64" s="122">
        <v>0.95</v>
      </c>
      <c r="X64" s="122">
        <v>0.6</v>
      </c>
      <c r="Y64" s="122">
        <v>35.844000000000001</v>
      </c>
      <c r="Z64" s="122">
        <v>120</v>
      </c>
      <c r="AA64" s="122">
        <v>5</v>
      </c>
      <c r="AB64" s="122">
        <v>0.92</v>
      </c>
      <c r="AC64" s="122">
        <v>7.0000000000000007E-2</v>
      </c>
      <c r="AD64" s="122">
        <v>0.04</v>
      </c>
      <c r="AE64" s="122">
        <v>0.03</v>
      </c>
      <c r="AF64" s="122">
        <v>5.0000000000000001E-3</v>
      </c>
      <c r="AG64" s="122">
        <v>4.0000000000000001E-3</v>
      </c>
      <c r="AH64" s="122">
        <v>3.5000000000000001E-3</v>
      </c>
      <c r="AI64" s="122">
        <v>6.6000000000000003E-2</v>
      </c>
      <c r="AJ64" s="122">
        <v>6.6000000000000003E-2</v>
      </c>
      <c r="AK64" s="122">
        <v>6.6000000000000003E-2</v>
      </c>
      <c r="AL64" s="122">
        <v>1.266</v>
      </c>
      <c r="AM64" s="122">
        <v>0.63300000000000001</v>
      </c>
      <c r="AN64" s="122">
        <v>0.72899999999999998</v>
      </c>
      <c r="AO64" s="12">
        <v>5</v>
      </c>
      <c r="AP64" s="121">
        <v>5.01</v>
      </c>
      <c r="AQ64" s="121">
        <v>15.95</v>
      </c>
      <c r="AR64" s="121">
        <v>5</v>
      </c>
      <c r="AS64" s="121">
        <v>1</v>
      </c>
      <c r="AT64" s="121">
        <v>4.75</v>
      </c>
      <c r="AU64" s="121">
        <v>0.4</v>
      </c>
      <c r="AV64" s="121">
        <v>0.2</v>
      </c>
      <c r="AW64" s="121">
        <v>100</v>
      </c>
      <c r="AX64" s="121">
        <v>10.199999999999999</v>
      </c>
      <c r="AY64" s="121">
        <v>50.9</v>
      </c>
      <c r="AZ64" s="121">
        <v>0.12</v>
      </c>
      <c r="BA64" s="121">
        <v>1.7</v>
      </c>
      <c r="BB64" s="121">
        <v>0.01</v>
      </c>
      <c r="BC64" s="121">
        <v>0.1</v>
      </c>
      <c r="BD64" s="121">
        <v>0</v>
      </c>
      <c r="BE64" s="121">
        <v>0</v>
      </c>
      <c r="BF64" s="121">
        <v>0</v>
      </c>
      <c r="BG64" s="12" t="s">
        <v>2112</v>
      </c>
    </row>
    <row r="65" spans="1:59" s="12" customFormat="1" x14ac:dyDescent="0.25">
      <c r="A65" s="12">
        <v>60</v>
      </c>
      <c r="B65" s="12" t="s">
        <v>2113</v>
      </c>
      <c r="C65" s="121">
        <v>30</v>
      </c>
      <c r="D65" s="121">
        <v>1.1200000000000001</v>
      </c>
      <c r="E65" s="121">
        <v>24</v>
      </c>
      <c r="F65" s="121">
        <v>7</v>
      </c>
      <c r="G65" s="121">
        <v>3.5</v>
      </c>
      <c r="H65" s="121">
        <v>0.6</v>
      </c>
      <c r="I65" s="121">
        <v>15.01</v>
      </c>
      <c r="J65" s="121">
        <v>50.95</v>
      </c>
      <c r="K65" s="121">
        <v>2</v>
      </c>
      <c r="L65" s="121">
        <v>10</v>
      </c>
      <c r="M65" s="146">
        <v>3</v>
      </c>
      <c r="N65" s="121">
        <v>7.0000000000000001E-3</v>
      </c>
      <c r="O65" s="121">
        <v>0.85</v>
      </c>
      <c r="P65" s="121">
        <v>35</v>
      </c>
      <c r="Q65" s="121">
        <v>0.3</v>
      </c>
      <c r="R65" s="121">
        <v>1.1000000000000001</v>
      </c>
      <c r="S65" s="122">
        <v>660.41</v>
      </c>
      <c r="T65" s="122">
        <v>1.35E-2</v>
      </c>
      <c r="U65" s="122">
        <v>3.5999999999999999E-3</v>
      </c>
      <c r="V65" s="122">
        <v>2.6499999999999999E-2</v>
      </c>
      <c r="W65" s="122">
        <v>0.75</v>
      </c>
      <c r="X65" s="122">
        <v>0.6</v>
      </c>
      <c r="Y65" s="122">
        <v>169.18600000000001</v>
      </c>
      <c r="Z65" s="122">
        <v>575</v>
      </c>
      <c r="AA65" s="122">
        <v>348.39</v>
      </c>
      <c r="AB65" s="122">
        <v>0.88</v>
      </c>
      <c r="AC65" s="122">
        <v>5.5E-2</v>
      </c>
      <c r="AD65" s="122">
        <v>1.4E-2</v>
      </c>
      <c r="AE65" s="122">
        <v>1.2E-2</v>
      </c>
      <c r="AF65" s="122">
        <v>6.0000000000000001E-3</v>
      </c>
      <c r="AG65" s="122">
        <v>3.0000000000000001E-3</v>
      </c>
      <c r="AH65" s="122">
        <v>2E-3</v>
      </c>
      <c r="AI65" s="122">
        <v>3.4000000000000002E-2</v>
      </c>
      <c r="AJ65" s="122">
        <v>3.4000000000000002E-2</v>
      </c>
      <c r="AK65" s="122">
        <v>3.4000000000000002E-2</v>
      </c>
      <c r="AL65" s="122">
        <v>1.266</v>
      </c>
      <c r="AM65" s="122">
        <v>0.63300000000000001</v>
      </c>
      <c r="AN65" s="122">
        <v>0.72899999999999998</v>
      </c>
      <c r="AO65" s="12">
        <v>5</v>
      </c>
      <c r="AP65" s="121">
        <v>5.01</v>
      </c>
      <c r="AQ65" s="121">
        <v>15.95</v>
      </c>
      <c r="AR65" s="121">
        <v>10</v>
      </c>
      <c r="AS65" s="121">
        <v>1</v>
      </c>
      <c r="AT65" s="121">
        <v>4.75</v>
      </c>
      <c r="AU65" s="121">
        <v>0.4</v>
      </c>
      <c r="AV65" s="121">
        <v>0.6</v>
      </c>
      <c r="AW65" s="121">
        <v>100</v>
      </c>
      <c r="AX65" s="121">
        <v>10.199999999999999</v>
      </c>
      <c r="AY65" s="121">
        <v>50.9</v>
      </c>
      <c r="AZ65" s="121">
        <v>0.12</v>
      </c>
      <c r="BA65" s="121">
        <v>1.7</v>
      </c>
      <c r="BB65" s="121">
        <v>0.01</v>
      </c>
      <c r="BC65" s="121">
        <v>0.1</v>
      </c>
      <c r="BD65" s="121">
        <v>0</v>
      </c>
      <c r="BE65" s="121">
        <v>0</v>
      </c>
      <c r="BF65" s="121">
        <v>0</v>
      </c>
      <c r="BG65" s="12" t="s">
        <v>2114</v>
      </c>
    </row>
    <row r="66" spans="1:59" s="12" customFormat="1" x14ac:dyDescent="0.25">
      <c r="A66" s="12">
        <v>61</v>
      </c>
      <c r="B66" s="12" t="s">
        <v>2115</v>
      </c>
      <c r="C66" s="121">
        <v>30</v>
      </c>
      <c r="D66" s="121">
        <v>1.25</v>
      </c>
      <c r="E66" s="121">
        <v>29</v>
      </c>
      <c r="F66" s="121">
        <v>7</v>
      </c>
      <c r="G66" s="121">
        <v>1.5</v>
      </c>
      <c r="H66" s="121">
        <v>0.6</v>
      </c>
      <c r="I66" s="121">
        <v>15.01</v>
      </c>
      <c r="J66" s="121">
        <v>50.95</v>
      </c>
      <c r="K66" s="121">
        <v>2</v>
      </c>
      <c r="L66" s="121">
        <v>10</v>
      </c>
      <c r="M66" s="146">
        <v>3</v>
      </c>
      <c r="N66" s="121">
        <v>7.0000000000000001E-3</v>
      </c>
      <c r="O66" s="121">
        <v>0.85</v>
      </c>
      <c r="P66" s="121">
        <v>35</v>
      </c>
      <c r="Q66" s="121">
        <v>1.2</v>
      </c>
      <c r="R66" s="121">
        <v>0.7</v>
      </c>
      <c r="S66" s="122">
        <v>660.41</v>
      </c>
      <c r="T66" s="122">
        <v>2.06E-2</v>
      </c>
      <c r="U66" s="122">
        <v>3.2000000000000002E-3</v>
      </c>
      <c r="V66" s="122">
        <v>1.6899999999999998E-2</v>
      </c>
      <c r="W66" s="122">
        <v>0.75</v>
      </c>
      <c r="X66" s="122">
        <v>0.6</v>
      </c>
      <c r="Y66" s="122">
        <v>205.25399999999999</v>
      </c>
      <c r="Z66" s="122">
        <v>500</v>
      </c>
      <c r="AA66" s="122">
        <v>405.72</v>
      </c>
      <c r="AB66" s="122">
        <v>0.91</v>
      </c>
      <c r="AC66" s="122">
        <v>0.04</v>
      </c>
      <c r="AD66" s="122">
        <v>2.1999999999999999E-2</v>
      </c>
      <c r="AE66" s="122">
        <v>0.02</v>
      </c>
      <c r="AF66" s="122">
        <v>4.0000000000000001E-3</v>
      </c>
      <c r="AG66" s="122">
        <v>2E-3</v>
      </c>
      <c r="AH66" s="122">
        <v>1.9E-3</v>
      </c>
      <c r="AI66" s="122">
        <v>0.03</v>
      </c>
      <c r="AJ66" s="122">
        <v>0.03</v>
      </c>
      <c r="AK66" s="122">
        <v>0.03</v>
      </c>
      <c r="AL66" s="122">
        <v>1.266</v>
      </c>
      <c r="AM66" s="122">
        <v>0.63300000000000001</v>
      </c>
      <c r="AN66" s="122">
        <v>0.72899999999999998</v>
      </c>
      <c r="AO66" s="12">
        <v>5</v>
      </c>
      <c r="AP66" s="121">
        <v>5.01</v>
      </c>
      <c r="AQ66" s="121">
        <v>15.95</v>
      </c>
      <c r="AR66" s="121">
        <v>10</v>
      </c>
      <c r="AS66" s="121">
        <v>1</v>
      </c>
      <c r="AT66" s="121">
        <v>4.75</v>
      </c>
      <c r="AU66" s="121">
        <v>0.4</v>
      </c>
      <c r="AV66" s="121">
        <v>0.6</v>
      </c>
      <c r="AW66" s="121">
        <v>100</v>
      </c>
      <c r="AX66" s="121">
        <v>10.199999999999999</v>
      </c>
      <c r="AY66" s="121">
        <v>50.9</v>
      </c>
      <c r="AZ66" s="121">
        <v>0.12</v>
      </c>
      <c r="BA66" s="121">
        <v>1.7</v>
      </c>
      <c r="BB66" s="121">
        <v>0.01</v>
      </c>
      <c r="BC66" s="121">
        <v>0.1</v>
      </c>
      <c r="BD66" s="121">
        <v>0</v>
      </c>
      <c r="BE66" s="121">
        <v>0</v>
      </c>
      <c r="BF66" s="121">
        <v>0</v>
      </c>
      <c r="BG66" s="12" t="s">
        <v>2116</v>
      </c>
    </row>
    <row r="67" spans="1:59" s="12" customFormat="1" x14ac:dyDescent="0.25">
      <c r="A67" s="12">
        <v>62</v>
      </c>
      <c r="B67" s="12" t="s">
        <v>2117</v>
      </c>
      <c r="C67" s="121">
        <v>31</v>
      </c>
      <c r="D67" s="121">
        <v>2</v>
      </c>
      <c r="E67" s="121">
        <v>22</v>
      </c>
      <c r="F67" s="121">
        <v>4</v>
      </c>
      <c r="G67" s="121">
        <v>5</v>
      </c>
      <c r="H67" s="121">
        <v>0.8</v>
      </c>
      <c r="I67" s="121">
        <v>5.01</v>
      </c>
      <c r="J67" s="121">
        <v>50.95</v>
      </c>
      <c r="K67" s="121">
        <v>1</v>
      </c>
      <c r="L67" s="121">
        <v>1</v>
      </c>
      <c r="M67" s="146">
        <v>3</v>
      </c>
      <c r="N67" s="121">
        <v>7.0000000000000001E-3</v>
      </c>
      <c r="O67" s="121">
        <v>0.85</v>
      </c>
      <c r="P67" s="121">
        <v>200</v>
      </c>
      <c r="Q67" s="121">
        <v>1.2</v>
      </c>
      <c r="R67" s="121">
        <v>2</v>
      </c>
      <c r="S67" s="122">
        <v>660.35</v>
      </c>
      <c r="T67" s="122">
        <v>1.2999999999999999E-2</v>
      </c>
      <c r="U67" s="122">
        <v>2E-3</v>
      </c>
      <c r="V67" s="122">
        <v>2.5999999999999999E-2</v>
      </c>
      <c r="W67" s="122">
        <v>0.3</v>
      </c>
      <c r="X67" s="122">
        <v>0.6</v>
      </c>
      <c r="Y67" s="122">
        <v>1.1559999999999999</v>
      </c>
      <c r="Z67" s="122">
        <v>110</v>
      </c>
      <c r="AA67" s="122">
        <v>35</v>
      </c>
      <c r="AB67" s="122">
        <v>0.83599999999999997</v>
      </c>
      <c r="AC67" s="122">
        <v>5.5E-2</v>
      </c>
      <c r="AD67" s="122">
        <v>0.02</v>
      </c>
      <c r="AE67" s="122">
        <v>1.2E-2</v>
      </c>
      <c r="AF67" s="122">
        <v>6.0000000000000001E-3</v>
      </c>
      <c r="AG67" s="122">
        <v>2E-3</v>
      </c>
      <c r="AH67" s="122">
        <v>2E-3</v>
      </c>
      <c r="AI67" s="122">
        <v>0.1</v>
      </c>
      <c r="AJ67" s="122">
        <v>0.04</v>
      </c>
      <c r="AK67" s="122">
        <v>2.4E-2</v>
      </c>
      <c r="AL67" s="122">
        <v>1.1379999999999999</v>
      </c>
      <c r="AM67" s="122">
        <v>0.60299999999999998</v>
      </c>
      <c r="AN67" s="122">
        <v>0.33200000000000002</v>
      </c>
      <c r="AO67" s="12">
        <v>4</v>
      </c>
      <c r="AP67" s="121">
        <v>5.01</v>
      </c>
      <c r="AQ67" s="121">
        <v>15.95</v>
      </c>
      <c r="AR67" s="121">
        <v>10</v>
      </c>
      <c r="AS67" s="121">
        <v>1</v>
      </c>
      <c r="AT67" s="121">
        <v>4.75</v>
      </c>
      <c r="AU67" s="121">
        <v>0.4</v>
      </c>
      <c r="AV67" s="121">
        <v>0.6</v>
      </c>
      <c r="AW67" s="121">
        <v>0</v>
      </c>
      <c r="AX67" s="121">
        <v>1.5</v>
      </c>
      <c r="AY67" s="121">
        <v>10.9</v>
      </c>
      <c r="AZ67" s="121">
        <v>5.8999999999999997E-2</v>
      </c>
      <c r="BA67" s="121">
        <v>7</v>
      </c>
      <c r="BB67" s="121">
        <v>0.01</v>
      </c>
      <c r="BC67" s="121">
        <v>0.1</v>
      </c>
      <c r="BD67" s="121">
        <v>0</v>
      </c>
      <c r="BE67" s="121">
        <v>0</v>
      </c>
      <c r="BF67" s="121">
        <v>0</v>
      </c>
      <c r="BG67" s="12" t="s">
        <v>2118</v>
      </c>
    </row>
    <row r="68" spans="1:59" s="12" customFormat="1" x14ac:dyDescent="0.25">
      <c r="A68" s="12">
        <v>63</v>
      </c>
      <c r="B68" s="12" t="s">
        <v>2119</v>
      </c>
      <c r="C68" s="121">
        <v>25</v>
      </c>
      <c r="D68" s="121">
        <v>0.1</v>
      </c>
      <c r="E68" s="121">
        <v>27</v>
      </c>
      <c r="F68" s="121">
        <v>10</v>
      </c>
      <c r="G68" s="121">
        <v>1.5</v>
      </c>
      <c r="H68" s="121">
        <v>0.9</v>
      </c>
      <c r="I68" s="121">
        <v>10.050000000000001</v>
      </c>
      <c r="J68" s="121">
        <v>80.95</v>
      </c>
      <c r="K68" s="121">
        <v>1</v>
      </c>
      <c r="L68" s="121">
        <v>1</v>
      </c>
      <c r="M68" s="146">
        <v>3</v>
      </c>
      <c r="N68" s="121">
        <v>0.01</v>
      </c>
      <c r="O68" s="121">
        <v>0.85</v>
      </c>
      <c r="P68" s="121">
        <v>35</v>
      </c>
      <c r="Q68" s="121">
        <v>0.6</v>
      </c>
      <c r="R68" s="121">
        <v>1.1000000000000001</v>
      </c>
      <c r="S68" s="122">
        <v>660.34</v>
      </c>
      <c r="T68" s="122">
        <v>2.9899999999999999E-2</v>
      </c>
      <c r="U68" s="122">
        <v>3.8999999999999998E-3</v>
      </c>
      <c r="V68" s="122">
        <v>2.1499999999999998E-2</v>
      </c>
      <c r="W68" s="122">
        <v>0.1</v>
      </c>
      <c r="X68" s="122">
        <v>0.6</v>
      </c>
      <c r="Y68" s="122">
        <v>2.9569999999999999</v>
      </c>
      <c r="Z68" s="122">
        <v>120</v>
      </c>
      <c r="AA68" s="122">
        <v>5</v>
      </c>
      <c r="AB68" s="122">
        <v>0.9</v>
      </c>
      <c r="AC68" s="122">
        <v>0.05</v>
      </c>
      <c r="AD68" s="122">
        <v>0.03</v>
      </c>
      <c r="AE68" s="122">
        <v>0.02</v>
      </c>
      <c r="AF68" s="122">
        <v>6.0000000000000001E-3</v>
      </c>
      <c r="AG68" s="122">
        <v>3.5000000000000001E-3</v>
      </c>
      <c r="AH68" s="122">
        <v>2.5000000000000001E-3</v>
      </c>
      <c r="AI68" s="122">
        <v>0.02</v>
      </c>
      <c r="AJ68" s="122">
        <v>0.02</v>
      </c>
      <c r="AK68" s="122">
        <v>0.02</v>
      </c>
      <c r="AL68" s="122">
        <v>1.266</v>
      </c>
      <c r="AM68" s="122">
        <v>0.63300000000000001</v>
      </c>
      <c r="AN68" s="122">
        <v>0.72899999999999998</v>
      </c>
      <c r="AO68" s="12">
        <v>1</v>
      </c>
      <c r="AP68" s="121">
        <v>5.01</v>
      </c>
      <c r="AQ68" s="121">
        <v>15.95</v>
      </c>
      <c r="AR68" s="121">
        <v>5</v>
      </c>
      <c r="AS68" s="121">
        <v>1</v>
      </c>
      <c r="AT68" s="121">
        <v>4.75</v>
      </c>
      <c r="AU68" s="121">
        <v>0.4</v>
      </c>
      <c r="AV68" s="121">
        <v>0.2</v>
      </c>
      <c r="AW68" s="121">
        <v>100</v>
      </c>
      <c r="AX68" s="121">
        <v>10.199999999999999</v>
      </c>
      <c r="AY68" s="121">
        <v>50.9</v>
      </c>
      <c r="AZ68" s="121">
        <v>0.19</v>
      </c>
      <c r="BA68" s="121">
        <v>1</v>
      </c>
      <c r="BB68" s="121">
        <v>0.01</v>
      </c>
      <c r="BC68" s="121">
        <v>0.1</v>
      </c>
      <c r="BD68" s="121">
        <v>0</v>
      </c>
      <c r="BE68" s="121">
        <v>0</v>
      </c>
      <c r="BF68" s="121">
        <v>0</v>
      </c>
      <c r="BG68" s="12" t="s">
        <v>2120</v>
      </c>
    </row>
    <row r="69" spans="1:59" s="12" customFormat="1" x14ac:dyDescent="0.25">
      <c r="A69" s="12">
        <v>64</v>
      </c>
      <c r="B69" s="12" t="s">
        <v>2121</v>
      </c>
      <c r="C69" s="121">
        <v>25</v>
      </c>
      <c r="D69" s="121">
        <v>0.3</v>
      </c>
      <c r="E69" s="121">
        <v>27</v>
      </c>
      <c r="F69" s="121">
        <v>10</v>
      </c>
      <c r="G69" s="121">
        <v>2.5</v>
      </c>
      <c r="H69" s="121">
        <v>0.9</v>
      </c>
      <c r="I69" s="121">
        <v>10.050000000000001</v>
      </c>
      <c r="J69" s="121">
        <v>80.95</v>
      </c>
      <c r="K69" s="121">
        <v>0.1</v>
      </c>
      <c r="L69" s="121">
        <v>0.1</v>
      </c>
      <c r="M69" s="146">
        <v>3</v>
      </c>
      <c r="N69" s="121">
        <v>0.01</v>
      </c>
      <c r="O69" s="121">
        <v>0.85</v>
      </c>
      <c r="P69" s="121">
        <v>35</v>
      </c>
      <c r="Q69" s="121">
        <v>0.6</v>
      </c>
      <c r="R69" s="121">
        <v>1.5</v>
      </c>
      <c r="S69" s="122">
        <v>660.34</v>
      </c>
      <c r="T69" s="122">
        <v>3.6600000000000001E-2</v>
      </c>
      <c r="U69" s="122">
        <v>4.5999999999999999E-3</v>
      </c>
      <c r="V69" s="122">
        <v>1.5699999999999999E-2</v>
      </c>
      <c r="W69" s="122">
        <v>0.22</v>
      </c>
      <c r="X69" s="122">
        <v>0.6</v>
      </c>
      <c r="Y69" s="122">
        <v>2.9569999999999999</v>
      </c>
      <c r="Z69" s="122">
        <v>120</v>
      </c>
      <c r="AA69" s="122">
        <v>5</v>
      </c>
      <c r="AB69" s="122">
        <v>0.7</v>
      </c>
      <c r="AC69" s="122">
        <v>5.5E-2</v>
      </c>
      <c r="AD69" s="122">
        <v>3.5000000000000003E-2</v>
      </c>
      <c r="AE69" s="122">
        <v>2.5000000000000001E-2</v>
      </c>
      <c r="AF69" s="122">
        <v>5.0000000000000001E-3</v>
      </c>
      <c r="AG69" s="122">
        <v>3.0000000000000001E-3</v>
      </c>
      <c r="AH69" s="122">
        <v>2.5000000000000001E-3</v>
      </c>
      <c r="AI69" s="122">
        <v>0.02</v>
      </c>
      <c r="AJ69" s="122">
        <v>0.02</v>
      </c>
      <c r="AK69" s="122">
        <v>0.02</v>
      </c>
      <c r="AL69" s="122">
        <v>1.266</v>
      </c>
      <c r="AM69" s="122">
        <v>0.63300000000000001</v>
      </c>
      <c r="AN69" s="122">
        <v>0.72899999999999998</v>
      </c>
      <c r="AO69" s="12">
        <v>1</v>
      </c>
      <c r="AP69" s="121">
        <v>5.01</v>
      </c>
      <c r="AQ69" s="121">
        <v>15.95</v>
      </c>
      <c r="AR69" s="121">
        <v>5</v>
      </c>
      <c r="AS69" s="121">
        <v>1</v>
      </c>
      <c r="AT69" s="121">
        <v>4.75</v>
      </c>
      <c r="AU69" s="121">
        <v>0.4</v>
      </c>
      <c r="AV69" s="121">
        <v>0.2</v>
      </c>
      <c r="AW69" s="121">
        <v>100</v>
      </c>
      <c r="AX69" s="121">
        <v>10.199999999999999</v>
      </c>
      <c r="AY69" s="121">
        <v>50.9</v>
      </c>
      <c r="AZ69" s="121">
        <v>0.19</v>
      </c>
      <c r="BA69" s="121">
        <v>1</v>
      </c>
      <c r="BB69" s="121">
        <v>0.01</v>
      </c>
      <c r="BC69" s="121">
        <v>0.1</v>
      </c>
      <c r="BD69" s="121">
        <v>0</v>
      </c>
      <c r="BE69" s="121">
        <v>0</v>
      </c>
      <c r="BF69" s="121">
        <v>0</v>
      </c>
      <c r="BG69" s="12" t="s">
        <v>2122</v>
      </c>
    </row>
    <row r="70" spans="1:59" s="12" customFormat="1" x14ac:dyDescent="0.25">
      <c r="A70" s="12">
        <v>65</v>
      </c>
      <c r="B70" s="12" t="s">
        <v>2123</v>
      </c>
      <c r="C70" s="121">
        <v>25</v>
      </c>
      <c r="D70" s="121">
        <v>0.3</v>
      </c>
      <c r="E70" s="121">
        <v>27</v>
      </c>
      <c r="F70" s="121">
        <v>10</v>
      </c>
      <c r="G70" s="121">
        <v>2.5</v>
      </c>
      <c r="H70" s="121">
        <v>0.6</v>
      </c>
      <c r="I70" s="121">
        <v>10.050000000000001</v>
      </c>
      <c r="J70" s="121">
        <v>80.95</v>
      </c>
      <c r="K70" s="121">
        <v>1</v>
      </c>
      <c r="L70" s="121">
        <v>1</v>
      </c>
      <c r="M70" s="146">
        <v>3</v>
      </c>
      <c r="N70" s="121">
        <v>0.01</v>
      </c>
      <c r="O70" s="121">
        <v>0.85</v>
      </c>
      <c r="P70" s="121">
        <v>35</v>
      </c>
      <c r="Q70" s="121">
        <v>0.6</v>
      </c>
      <c r="R70" s="121">
        <v>1.1000000000000001</v>
      </c>
      <c r="S70" s="122">
        <v>660.34</v>
      </c>
      <c r="T70" s="122">
        <v>4.1000000000000002E-2</v>
      </c>
      <c r="U70" s="122">
        <v>5.1000000000000004E-3</v>
      </c>
      <c r="V70" s="122">
        <v>1.7999999999999999E-2</v>
      </c>
      <c r="W70" s="122">
        <v>0.22</v>
      </c>
      <c r="X70" s="122">
        <v>0.6</v>
      </c>
      <c r="Y70" s="122">
        <v>0.89600000000000002</v>
      </c>
      <c r="Z70" s="122">
        <v>120</v>
      </c>
      <c r="AA70" s="122">
        <v>5</v>
      </c>
      <c r="AB70" s="122">
        <v>0.79</v>
      </c>
      <c r="AC70" s="122">
        <v>0.06</v>
      </c>
      <c r="AD70" s="122">
        <v>0.04</v>
      </c>
      <c r="AE70" s="122">
        <v>0.03</v>
      </c>
      <c r="AF70" s="122">
        <v>3.0000000000000001E-3</v>
      </c>
      <c r="AG70" s="122">
        <v>2E-3</v>
      </c>
      <c r="AH70" s="122">
        <v>1.5E-3</v>
      </c>
      <c r="AI70" s="122">
        <v>1.4E-2</v>
      </c>
      <c r="AJ70" s="122">
        <v>1.2999999999999999E-2</v>
      </c>
      <c r="AK70" s="122">
        <v>1.2E-2</v>
      </c>
      <c r="AL70" s="122">
        <v>1.266</v>
      </c>
      <c r="AM70" s="122">
        <v>0.63300000000000001</v>
      </c>
      <c r="AN70" s="122">
        <v>0.72899999999999998</v>
      </c>
      <c r="AO70" s="12">
        <v>1</v>
      </c>
      <c r="AP70" s="121">
        <v>5.01</v>
      </c>
      <c r="AQ70" s="121">
        <v>15.1</v>
      </c>
      <c r="AR70" s="121">
        <v>5</v>
      </c>
      <c r="AS70" s="121">
        <v>1</v>
      </c>
      <c r="AT70" s="121">
        <v>4.75</v>
      </c>
      <c r="AU70" s="121">
        <v>0.4</v>
      </c>
      <c r="AV70" s="121">
        <v>0.2</v>
      </c>
      <c r="AW70" s="121">
        <v>100</v>
      </c>
      <c r="AX70" s="121">
        <v>10.199999999999999</v>
      </c>
      <c r="AY70" s="121">
        <v>50.9</v>
      </c>
      <c r="AZ70" s="121">
        <v>0.1</v>
      </c>
      <c r="BA70" s="121">
        <v>2.5</v>
      </c>
      <c r="BB70" s="121">
        <v>0.01</v>
      </c>
      <c r="BC70" s="121">
        <v>0.1</v>
      </c>
      <c r="BD70" s="121">
        <v>0</v>
      </c>
      <c r="BE70" s="121">
        <v>0</v>
      </c>
      <c r="BF70" s="121">
        <v>0</v>
      </c>
      <c r="BG70" s="12" t="s">
        <v>2124</v>
      </c>
    </row>
    <row r="71" spans="1:59" s="12" customFormat="1" x14ac:dyDescent="0.25">
      <c r="A71" s="12">
        <v>66</v>
      </c>
      <c r="B71" s="12" t="s">
        <v>2125</v>
      </c>
      <c r="C71" s="121">
        <v>30</v>
      </c>
      <c r="D71" s="121">
        <v>0.27</v>
      </c>
      <c r="E71" s="121">
        <v>32</v>
      </c>
      <c r="F71" s="121">
        <v>16</v>
      </c>
      <c r="G71" s="121">
        <v>1.5</v>
      </c>
      <c r="H71" s="121">
        <v>0.6</v>
      </c>
      <c r="I71" s="121">
        <v>15.05</v>
      </c>
      <c r="J71" s="121">
        <v>50.95</v>
      </c>
      <c r="K71" s="121">
        <v>1</v>
      </c>
      <c r="L71" s="121">
        <v>1</v>
      </c>
      <c r="M71" s="146">
        <v>2</v>
      </c>
      <c r="N71" s="121">
        <v>7.0000000000000001E-3</v>
      </c>
      <c r="O71" s="121">
        <v>0.85</v>
      </c>
      <c r="P71" s="121">
        <v>90</v>
      </c>
      <c r="Q71" s="121">
        <v>0.8</v>
      </c>
      <c r="R71" s="121">
        <v>1.1000000000000001</v>
      </c>
      <c r="S71" s="122">
        <v>660.41</v>
      </c>
      <c r="T71" s="122">
        <v>2.18E-2</v>
      </c>
      <c r="U71" s="122">
        <v>4.3E-3</v>
      </c>
      <c r="V71" s="122">
        <v>3.7699999999999997E-2</v>
      </c>
      <c r="W71" s="122">
        <v>0.24</v>
      </c>
      <c r="X71" s="122">
        <v>0.6</v>
      </c>
      <c r="Y71" s="122">
        <v>311.22000000000003</v>
      </c>
      <c r="Z71" s="122">
        <v>120</v>
      </c>
      <c r="AA71" s="122">
        <v>5</v>
      </c>
      <c r="AB71" s="122">
        <v>0.96</v>
      </c>
      <c r="AC71" s="122">
        <v>0.04</v>
      </c>
      <c r="AD71" s="122">
        <v>0.02</v>
      </c>
      <c r="AE71" s="122">
        <v>1.4999999999999999E-2</v>
      </c>
      <c r="AF71" s="122">
        <v>5.3E-3</v>
      </c>
      <c r="AG71" s="122">
        <v>2.5000000000000001E-3</v>
      </c>
      <c r="AH71" s="122">
        <v>1.1999999999999999E-3</v>
      </c>
      <c r="AI71" s="122">
        <v>0.03</v>
      </c>
      <c r="AJ71" s="122">
        <v>0.03</v>
      </c>
      <c r="AK71" s="122">
        <v>0.03</v>
      </c>
      <c r="AL71" s="122">
        <v>1.266</v>
      </c>
      <c r="AM71" s="122">
        <v>0.63300000000000001</v>
      </c>
      <c r="AN71" s="122">
        <v>0.72899999999999998</v>
      </c>
      <c r="AO71" s="12">
        <v>4</v>
      </c>
      <c r="AP71" s="121">
        <v>5.15</v>
      </c>
      <c r="AQ71" s="121">
        <v>15.95</v>
      </c>
      <c r="AR71" s="121">
        <v>8</v>
      </c>
      <c r="AS71" s="121">
        <v>0.5</v>
      </c>
      <c r="AT71" s="121">
        <v>4.75</v>
      </c>
      <c r="AU71" s="121">
        <v>0.4</v>
      </c>
      <c r="AV71" s="121">
        <v>0.2</v>
      </c>
      <c r="AW71" s="121">
        <v>100</v>
      </c>
      <c r="AX71" s="121">
        <v>4.4000000000000004</v>
      </c>
      <c r="AY71" s="121">
        <v>7.9</v>
      </c>
      <c r="AZ71" s="121">
        <v>0.19</v>
      </c>
      <c r="BA71" s="121">
        <v>1</v>
      </c>
      <c r="BB71" s="121">
        <v>0.01</v>
      </c>
      <c r="BC71" s="121">
        <v>0.1</v>
      </c>
      <c r="BD71" s="121">
        <v>0</v>
      </c>
      <c r="BE71" s="121">
        <v>0</v>
      </c>
      <c r="BF71" s="121">
        <v>0</v>
      </c>
      <c r="BG71" s="12" t="s">
        <v>2126</v>
      </c>
    </row>
    <row r="72" spans="1:59" s="12" customFormat="1" x14ac:dyDescent="0.25">
      <c r="A72" s="12">
        <v>67</v>
      </c>
      <c r="B72" s="12" t="s">
        <v>2127</v>
      </c>
      <c r="C72" s="121">
        <v>30</v>
      </c>
      <c r="D72" s="121">
        <v>0.59</v>
      </c>
      <c r="E72" s="121">
        <v>35</v>
      </c>
      <c r="F72" s="121">
        <v>18</v>
      </c>
      <c r="G72" s="121">
        <v>3</v>
      </c>
      <c r="H72" s="121">
        <v>0.6</v>
      </c>
      <c r="I72" s="121">
        <v>15.05</v>
      </c>
      <c r="J72" s="121">
        <v>50.95</v>
      </c>
      <c r="K72" s="121">
        <v>0.1</v>
      </c>
      <c r="L72" s="121">
        <v>0.1</v>
      </c>
      <c r="M72" s="146">
        <v>2</v>
      </c>
      <c r="N72" s="121">
        <v>7.0000000000000001E-3</v>
      </c>
      <c r="O72" s="121">
        <v>0.85</v>
      </c>
      <c r="P72" s="121">
        <v>90</v>
      </c>
      <c r="Q72" s="121">
        <v>0.8</v>
      </c>
      <c r="R72" s="121">
        <v>1.1000000000000001</v>
      </c>
      <c r="S72" s="122">
        <v>660.41</v>
      </c>
      <c r="T72" s="122">
        <v>2.18E-2</v>
      </c>
      <c r="U72" s="122">
        <v>4.1000000000000003E-3</v>
      </c>
      <c r="V72" s="122">
        <v>2.7099999999999999E-2</v>
      </c>
      <c r="W72" s="122">
        <v>0.28999999999999998</v>
      </c>
      <c r="X72" s="122">
        <v>0.6</v>
      </c>
      <c r="Y72" s="122">
        <v>197.369</v>
      </c>
      <c r="Z72" s="122">
        <v>120</v>
      </c>
      <c r="AA72" s="122">
        <v>5</v>
      </c>
      <c r="AB72" s="122">
        <v>0.92</v>
      </c>
      <c r="AC72" s="122">
        <v>0.04</v>
      </c>
      <c r="AD72" s="122">
        <v>0.02</v>
      </c>
      <c r="AE72" s="122">
        <v>1.4999999999999999E-2</v>
      </c>
      <c r="AF72" s="122">
        <v>5.3E-3</v>
      </c>
      <c r="AG72" s="122">
        <v>2E-3</v>
      </c>
      <c r="AH72" s="122">
        <v>1.1999999999999999E-3</v>
      </c>
      <c r="AI72" s="122">
        <v>0.02</v>
      </c>
      <c r="AJ72" s="122">
        <v>0.02</v>
      </c>
      <c r="AK72" s="122">
        <v>0.02</v>
      </c>
      <c r="AL72" s="122">
        <v>1.266</v>
      </c>
      <c r="AM72" s="122">
        <v>0.63300000000000001</v>
      </c>
      <c r="AN72" s="122">
        <v>0.72899999999999998</v>
      </c>
      <c r="AO72" s="12">
        <v>4</v>
      </c>
      <c r="AP72" s="121">
        <v>5.15</v>
      </c>
      <c r="AQ72" s="121">
        <v>15.95</v>
      </c>
      <c r="AR72" s="121">
        <v>8</v>
      </c>
      <c r="AS72" s="121">
        <v>0.5</v>
      </c>
      <c r="AT72" s="121">
        <v>4.75</v>
      </c>
      <c r="AU72" s="121">
        <v>0.4</v>
      </c>
      <c r="AV72" s="121">
        <v>0.2</v>
      </c>
      <c r="AW72" s="121">
        <v>100</v>
      </c>
      <c r="AX72" s="121">
        <v>5.2</v>
      </c>
      <c r="AY72" s="121">
        <v>25.9</v>
      </c>
      <c r="AZ72" s="121">
        <v>0.19</v>
      </c>
      <c r="BA72" s="121">
        <v>1</v>
      </c>
      <c r="BB72" s="121">
        <v>0.01</v>
      </c>
      <c r="BC72" s="121">
        <v>0.1</v>
      </c>
      <c r="BD72" s="121">
        <v>0</v>
      </c>
      <c r="BE72" s="121">
        <v>0</v>
      </c>
      <c r="BF72" s="121">
        <v>0</v>
      </c>
      <c r="BG72" s="12" t="s">
        <v>2128</v>
      </c>
    </row>
    <row r="73" spans="1:59" s="12" customFormat="1" x14ac:dyDescent="0.25">
      <c r="A73" s="12">
        <v>68</v>
      </c>
      <c r="B73" s="12" t="s">
        <v>2129</v>
      </c>
      <c r="C73" s="121">
        <v>30</v>
      </c>
      <c r="D73" s="121">
        <v>0.5</v>
      </c>
      <c r="E73" s="121">
        <v>32</v>
      </c>
      <c r="F73" s="121">
        <v>16</v>
      </c>
      <c r="G73" s="121">
        <v>3</v>
      </c>
      <c r="H73" s="121">
        <v>0.6</v>
      </c>
      <c r="I73" s="121">
        <v>15.05</v>
      </c>
      <c r="J73" s="121">
        <v>50.95</v>
      </c>
      <c r="K73" s="121">
        <v>1</v>
      </c>
      <c r="L73" s="121">
        <v>1</v>
      </c>
      <c r="M73" s="146">
        <v>2</v>
      </c>
      <c r="N73" s="121">
        <v>7.0000000000000001E-3</v>
      </c>
      <c r="O73" s="121">
        <v>0.85</v>
      </c>
      <c r="P73" s="121">
        <v>90</v>
      </c>
      <c r="Q73" s="121">
        <v>0.9</v>
      </c>
      <c r="R73" s="121">
        <v>1.3</v>
      </c>
      <c r="S73" s="122">
        <v>660.41</v>
      </c>
      <c r="T73" s="122">
        <v>1.38E-2</v>
      </c>
      <c r="U73" s="122">
        <v>1.6999999999999999E-3</v>
      </c>
      <c r="V73" s="122">
        <v>3.0200000000000001E-2</v>
      </c>
      <c r="W73" s="122">
        <v>0.25</v>
      </c>
      <c r="X73" s="122">
        <v>0.6</v>
      </c>
      <c r="Y73" s="122">
        <v>89.611000000000004</v>
      </c>
      <c r="Z73" s="122">
        <v>535.81500000000005</v>
      </c>
      <c r="AA73" s="122">
        <v>5</v>
      </c>
      <c r="AB73" s="122">
        <v>0.9</v>
      </c>
      <c r="AC73" s="122">
        <v>0.03</v>
      </c>
      <c r="AD73" s="122">
        <v>1.4999999999999999E-2</v>
      </c>
      <c r="AE73" s="122">
        <v>0.01</v>
      </c>
      <c r="AF73" s="122">
        <v>5.3E-3</v>
      </c>
      <c r="AG73" s="122">
        <v>2E-3</v>
      </c>
      <c r="AH73" s="122">
        <v>1.1999999999999999E-3</v>
      </c>
      <c r="AI73" s="122">
        <v>0.02</v>
      </c>
      <c r="AJ73" s="122">
        <v>0.02</v>
      </c>
      <c r="AK73" s="122">
        <v>0.02</v>
      </c>
      <c r="AL73" s="122">
        <v>1.266</v>
      </c>
      <c r="AM73" s="122">
        <v>0.63300000000000001</v>
      </c>
      <c r="AN73" s="122">
        <v>0.72899999999999998</v>
      </c>
      <c r="AO73" s="12">
        <v>4</v>
      </c>
      <c r="AP73" s="121">
        <v>5.15</v>
      </c>
      <c r="AQ73" s="121">
        <v>15.95</v>
      </c>
      <c r="AR73" s="121">
        <v>8</v>
      </c>
      <c r="AS73" s="121">
        <v>0.5</v>
      </c>
      <c r="AT73" s="121">
        <v>4.75</v>
      </c>
      <c r="AU73" s="121">
        <v>0.4</v>
      </c>
      <c r="AV73" s="121">
        <v>0.2</v>
      </c>
      <c r="AW73" s="121">
        <v>100</v>
      </c>
      <c r="AX73" s="121">
        <v>4.4000000000000004</v>
      </c>
      <c r="AY73" s="121">
        <v>7.9</v>
      </c>
      <c r="AZ73" s="121">
        <v>0.19</v>
      </c>
      <c r="BA73" s="121">
        <v>1</v>
      </c>
      <c r="BB73" s="121">
        <v>0.01</v>
      </c>
      <c r="BC73" s="121">
        <v>0.1</v>
      </c>
      <c r="BD73" s="121">
        <v>0</v>
      </c>
      <c r="BE73" s="121">
        <v>0</v>
      </c>
      <c r="BF73" s="121">
        <v>0</v>
      </c>
      <c r="BG73" s="12" t="s">
        <v>2130</v>
      </c>
    </row>
    <row r="74" spans="1:59" s="12" customFormat="1" x14ac:dyDescent="0.25">
      <c r="A74" s="12">
        <v>69</v>
      </c>
      <c r="B74" s="12" t="s">
        <v>2131</v>
      </c>
      <c r="C74" s="121">
        <v>30</v>
      </c>
      <c r="D74" s="121">
        <v>0.55000000000000004</v>
      </c>
      <c r="E74" s="121">
        <v>35</v>
      </c>
      <c r="F74" s="121">
        <v>16</v>
      </c>
      <c r="G74" s="121">
        <v>4</v>
      </c>
      <c r="H74" s="121">
        <v>0.6</v>
      </c>
      <c r="I74" s="121">
        <v>15.05</v>
      </c>
      <c r="J74" s="121">
        <v>50.95</v>
      </c>
      <c r="K74" s="121">
        <v>1</v>
      </c>
      <c r="L74" s="121">
        <v>1</v>
      </c>
      <c r="M74" s="146">
        <v>2</v>
      </c>
      <c r="N74" s="121">
        <v>7.0000000000000001E-3</v>
      </c>
      <c r="O74" s="121">
        <v>0.85</v>
      </c>
      <c r="P74" s="121">
        <v>90</v>
      </c>
      <c r="Q74" s="121">
        <v>0.8</v>
      </c>
      <c r="R74" s="121">
        <v>1.1000000000000001</v>
      </c>
      <c r="S74" s="122">
        <v>660.41</v>
      </c>
      <c r="T74" s="122">
        <v>7.1999999999999998E-3</v>
      </c>
      <c r="U74" s="122">
        <v>1E-3</v>
      </c>
      <c r="V74" s="122">
        <v>2.6200000000000001E-2</v>
      </c>
      <c r="W74" s="122">
        <v>0.28000000000000003</v>
      </c>
      <c r="X74" s="122">
        <v>0.6</v>
      </c>
      <c r="Y74" s="122">
        <v>0.40300000000000002</v>
      </c>
      <c r="Z74" s="122">
        <v>564.48</v>
      </c>
      <c r="AA74" s="122">
        <v>5</v>
      </c>
      <c r="AB74" s="122">
        <v>0.9</v>
      </c>
      <c r="AC74" s="122">
        <v>0.02</v>
      </c>
      <c r="AD74" s="122">
        <v>0.01</v>
      </c>
      <c r="AE74" s="122">
        <v>8.0000000000000002E-3</v>
      </c>
      <c r="AF74" s="122">
        <v>2.5999999999999999E-3</v>
      </c>
      <c r="AG74" s="122">
        <v>2E-3</v>
      </c>
      <c r="AH74" s="122">
        <v>1.6999999999999999E-3</v>
      </c>
      <c r="AI74" s="122">
        <v>0.02</v>
      </c>
      <c r="AJ74" s="122">
        <v>0.02</v>
      </c>
      <c r="AK74" s="122">
        <v>0.02</v>
      </c>
      <c r="AL74" s="122">
        <v>1.266</v>
      </c>
      <c r="AM74" s="122">
        <v>0.63300000000000001</v>
      </c>
      <c r="AN74" s="122">
        <v>0.72899999999999998</v>
      </c>
      <c r="AO74" s="12">
        <v>4</v>
      </c>
      <c r="AP74" s="121">
        <v>5.15</v>
      </c>
      <c r="AQ74" s="121">
        <v>15.95</v>
      </c>
      <c r="AR74" s="121">
        <v>8</v>
      </c>
      <c r="AS74" s="121">
        <v>0.5</v>
      </c>
      <c r="AT74" s="121">
        <v>4.75</v>
      </c>
      <c r="AU74" s="121">
        <v>0.4</v>
      </c>
      <c r="AV74" s="121">
        <v>0.2</v>
      </c>
      <c r="AW74" s="121">
        <v>100</v>
      </c>
      <c r="AX74" s="121">
        <v>4.4000000000000004</v>
      </c>
      <c r="AY74" s="121">
        <v>7.9</v>
      </c>
      <c r="AZ74" s="121">
        <v>0.19</v>
      </c>
      <c r="BA74" s="121">
        <v>1</v>
      </c>
      <c r="BB74" s="121">
        <v>0.01</v>
      </c>
      <c r="BC74" s="121">
        <v>0.1</v>
      </c>
      <c r="BD74" s="121">
        <v>0</v>
      </c>
      <c r="BE74" s="121">
        <v>0</v>
      </c>
      <c r="BF74" s="121">
        <v>0</v>
      </c>
      <c r="BG74" s="12" t="s">
        <v>2132</v>
      </c>
    </row>
    <row r="75" spans="1:59" s="12" customFormat="1" x14ac:dyDescent="0.25">
      <c r="A75" s="12">
        <v>70</v>
      </c>
      <c r="B75" s="12" t="s">
        <v>2133</v>
      </c>
      <c r="C75" s="121">
        <v>30</v>
      </c>
      <c r="D75" s="121">
        <v>0.5</v>
      </c>
      <c r="E75" s="121">
        <v>35</v>
      </c>
      <c r="F75" s="121">
        <v>18</v>
      </c>
      <c r="G75" s="121">
        <v>1.5</v>
      </c>
      <c r="H75" s="121">
        <v>0.6</v>
      </c>
      <c r="I75" s="121">
        <v>15.05</v>
      </c>
      <c r="J75" s="121">
        <v>50.95</v>
      </c>
      <c r="K75" s="121">
        <v>1</v>
      </c>
      <c r="L75" s="121">
        <v>1</v>
      </c>
      <c r="M75" s="146">
        <v>2</v>
      </c>
      <c r="N75" s="121">
        <v>7.0000000000000001E-3</v>
      </c>
      <c r="O75" s="121">
        <v>0.85</v>
      </c>
      <c r="P75" s="121">
        <v>90</v>
      </c>
      <c r="Q75" s="121">
        <v>0.8</v>
      </c>
      <c r="R75" s="121">
        <v>1.1000000000000001</v>
      </c>
      <c r="S75" s="122">
        <v>660.41</v>
      </c>
      <c r="T75" s="122">
        <v>1.17E-2</v>
      </c>
      <c r="U75" s="122">
        <v>1.1000000000000001E-3</v>
      </c>
      <c r="V75" s="122">
        <v>1.37E-2</v>
      </c>
      <c r="W75" s="122">
        <v>0.25</v>
      </c>
      <c r="X75" s="122">
        <v>0.6</v>
      </c>
      <c r="Y75" s="122">
        <v>493.98200000000003</v>
      </c>
      <c r="Z75" s="122">
        <v>220</v>
      </c>
      <c r="AA75" s="122">
        <v>5</v>
      </c>
      <c r="AB75" s="122">
        <v>0.92</v>
      </c>
      <c r="AC75" s="122">
        <v>2.5000000000000001E-2</v>
      </c>
      <c r="AD75" s="122">
        <v>1.4999999999999999E-2</v>
      </c>
      <c r="AE75" s="122">
        <v>0.01</v>
      </c>
      <c r="AF75" s="122">
        <v>5.3E-3</v>
      </c>
      <c r="AG75" s="122">
        <v>2.5000000000000001E-3</v>
      </c>
      <c r="AH75" s="122">
        <v>1.1999999999999999E-3</v>
      </c>
      <c r="AI75" s="122">
        <v>0.01</v>
      </c>
      <c r="AJ75" s="122">
        <v>0.01</v>
      </c>
      <c r="AK75" s="122">
        <v>0.01</v>
      </c>
      <c r="AL75" s="122">
        <v>1.266</v>
      </c>
      <c r="AM75" s="122">
        <v>0.63300000000000001</v>
      </c>
      <c r="AN75" s="122">
        <v>0.72899999999999998</v>
      </c>
      <c r="AO75" s="12">
        <v>4</v>
      </c>
      <c r="AP75" s="121">
        <v>5.15</v>
      </c>
      <c r="AQ75" s="121">
        <v>15.95</v>
      </c>
      <c r="AR75" s="121">
        <v>8</v>
      </c>
      <c r="AS75" s="121">
        <v>0.5</v>
      </c>
      <c r="AT75" s="121">
        <v>4.75</v>
      </c>
      <c r="AU75" s="121">
        <v>0.4</v>
      </c>
      <c r="AV75" s="121">
        <v>0.2</v>
      </c>
      <c r="AW75" s="121">
        <v>100</v>
      </c>
      <c r="AX75" s="121">
        <v>4.4000000000000004</v>
      </c>
      <c r="AY75" s="121">
        <v>7.9</v>
      </c>
      <c r="AZ75" s="121">
        <v>0.19</v>
      </c>
      <c r="BA75" s="121">
        <v>1</v>
      </c>
      <c r="BB75" s="121">
        <v>0.01</v>
      </c>
      <c r="BC75" s="121">
        <v>0.1</v>
      </c>
      <c r="BD75" s="121">
        <v>0</v>
      </c>
      <c r="BE75" s="121">
        <v>0</v>
      </c>
      <c r="BF75" s="121">
        <v>0</v>
      </c>
      <c r="BG75" s="12" t="s">
        <v>2134</v>
      </c>
    </row>
    <row r="76" spans="1:59" s="12" customFormat="1" x14ac:dyDescent="0.25">
      <c r="A76" s="12">
        <v>71</v>
      </c>
      <c r="B76" s="12" t="s">
        <v>2135</v>
      </c>
      <c r="C76" s="121">
        <v>30</v>
      </c>
      <c r="D76" s="121">
        <v>0.6</v>
      </c>
      <c r="E76" s="121">
        <v>27</v>
      </c>
      <c r="F76" s="121">
        <v>18</v>
      </c>
      <c r="G76" s="121">
        <v>5</v>
      </c>
      <c r="H76" s="121">
        <v>0.6</v>
      </c>
      <c r="I76" s="121">
        <v>15.05</v>
      </c>
      <c r="J76" s="121">
        <v>50.95</v>
      </c>
      <c r="K76" s="121">
        <v>0.1</v>
      </c>
      <c r="L76" s="121">
        <v>0.1</v>
      </c>
      <c r="M76" s="146">
        <v>2</v>
      </c>
      <c r="N76" s="121">
        <v>7.0000000000000001E-3</v>
      </c>
      <c r="O76" s="121">
        <v>0.85</v>
      </c>
      <c r="P76" s="121">
        <v>90</v>
      </c>
      <c r="Q76" s="121">
        <v>0.8</v>
      </c>
      <c r="R76" s="121">
        <v>1.1000000000000001</v>
      </c>
      <c r="S76" s="122">
        <v>660.41</v>
      </c>
      <c r="T76" s="122">
        <v>1.8800000000000001E-2</v>
      </c>
      <c r="U76" s="122">
        <v>3.0000000000000001E-3</v>
      </c>
      <c r="V76" s="122">
        <v>2.7E-2</v>
      </c>
      <c r="W76" s="122">
        <v>0.3</v>
      </c>
      <c r="X76" s="122">
        <v>0.6</v>
      </c>
      <c r="Y76" s="122">
        <v>1481.95</v>
      </c>
      <c r="Z76" s="122">
        <v>1100</v>
      </c>
      <c r="AA76" s="122">
        <v>5</v>
      </c>
      <c r="AB76" s="122">
        <v>0.93</v>
      </c>
      <c r="AC76" s="122">
        <v>0.03</v>
      </c>
      <c r="AD76" s="122">
        <v>0.02</v>
      </c>
      <c r="AE76" s="122">
        <v>1.4999999999999999E-2</v>
      </c>
      <c r="AF76" s="122">
        <v>5.3E-3</v>
      </c>
      <c r="AG76" s="122">
        <v>2E-3</v>
      </c>
      <c r="AH76" s="122">
        <v>1.1999999999999999E-3</v>
      </c>
      <c r="AI76" s="122">
        <v>0.02</v>
      </c>
      <c r="AJ76" s="122">
        <v>0.02</v>
      </c>
      <c r="AK76" s="122">
        <v>0.02</v>
      </c>
      <c r="AL76" s="122">
        <v>1.266</v>
      </c>
      <c r="AM76" s="122">
        <v>0.63300000000000001</v>
      </c>
      <c r="AN76" s="122">
        <v>0.72899999999999998</v>
      </c>
      <c r="AO76" s="12">
        <v>4</v>
      </c>
      <c r="AP76" s="121">
        <v>5.15</v>
      </c>
      <c r="AQ76" s="121">
        <v>15.95</v>
      </c>
      <c r="AR76" s="121">
        <v>8</v>
      </c>
      <c r="AS76" s="121">
        <v>0.5</v>
      </c>
      <c r="AT76" s="121">
        <v>4.75</v>
      </c>
      <c r="AU76" s="121">
        <v>0.4</v>
      </c>
      <c r="AV76" s="121">
        <v>0.2</v>
      </c>
      <c r="AW76" s="121">
        <v>100</v>
      </c>
      <c r="AX76" s="121">
        <v>5.2</v>
      </c>
      <c r="AY76" s="121">
        <v>25.9</v>
      </c>
      <c r="AZ76" s="121">
        <v>0.19</v>
      </c>
      <c r="BA76" s="121">
        <v>1</v>
      </c>
      <c r="BB76" s="121">
        <v>0.01</v>
      </c>
      <c r="BC76" s="121">
        <v>0.1</v>
      </c>
      <c r="BD76" s="121">
        <v>0</v>
      </c>
      <c r="BE76" s="121">
        <v>0</v>
      </c>
      <c r="BF76" s="121">
        <v>0</v>
      </c>
      <c r="BG76" s="12" t="s">
        <v>2136</v>
      </c>
    </row>
    <row r="77" spans="1:59" s="12" customFormat="1" x14ac:dyDescent="0.25">
      <c r="A77" s="12">
        <v>72</v>
      </c>
      <c r="B77" s="12" t="s">
        <v>2137</v>
      </c>
      <c r="C77" s="121">
        <v>30</v>
      </c>
      <c r="D77" s="121">
        <v>0.45</v>
      </c>
      <c r="E77" s="121">
        <v>32</v>
      </c>
      <c r="F77" s="121">
        <v>10</v>
      </c>
      <c r="G77" s="121">
        <v>3</v>
      </c>
      <c r="H77" s="121">
        <v>0.6</v>
      </c>
      <c r="I77" s="121">
        <v>15.05</v>
      </c>
      <c r="J77" s="121">
        <v>50.95</v>
      </c>
      <c r="K77" s="121">
        <v>1</v>
      </c>
      <c r="L77" s="121">
        <v>1</v>
      </c>
      <c r="M77" s="146">
        <v>2</v>
      </c>
      <c r="N77" s="121">
        <v>7.0000000000000001E-3</v>
      </c>
      <c r="O77" s="121">
        <v>0.85</v>
      </c>
      <c r="P77" s="121">
        <v>90</v>
      </c>
      <c r="Q77" s="121">
        <v>0.8</v>
      </c>
      <c r="R77" s="121">
        <v>0.7</v>
      </c>
      <c r="S77" s="122">
        <v>660.39</v>
      </c>
      <c r="T77" s="122">
        <v>1.1599999999999999E-2</v>
      </c>
      <c r="U77" s="122">
        <v>2.3E-3</v>
      </c>
      <c r="V77" s="122">
        <v>2.1000000000000001E-2</v>
      </c>
      <c r="W77" s="122">
        <v>0.22</v>
      </c>
      <c r="X77" s="122">
        <v>0.6</v>
      </c>
      <c r="Y77" s="122">
        <v>32.103000000000002</v>
      </c>
      <c r="Z77" s="122">
        <v>120</v>
      </c>
      <c r="AA77" s="122">
        <v>5</v>
      </c>
      <c r="AB77" s="122">
        <v>0.92</v>
      </c>
      <c r="AC77" s="122">
        <v>6.6299999999999998E-2</v>
      </c>
      <c r="AD77" s="122">
        <v>2.5499999999999998E-2</v>
      </c>
      <c r="AE77" s="122">
        <v>1.4800000000000001E-2</v>
      </c>
      <c r="AF77" s="122">
        <v>5.3E-3</v>
      </c>
      <c r="AG77" s="122">
        <v>2E-3</v>
      </c>
      <c r="AH77" s="122">
        <v>1.1999999999999999E-3</v>
      </c>
      <c r="AI77" s="122">
        <v>0.02</v>
      </c>
      <c r="AJ77" s="122">
        <v>0.02</v>
      </c>
      <c r="AK77" s="122">
        <v>0.02</v>
      </c>
      <c r="AL77" s="122">
        <v>3.39</v>
      </c>
      <c r="AM77" s="122">
        <v>3.39</v>
      </c>
      <c r="AN77" s="122">
        <v>1.61</v>
      </c>
      <c r="AO77" s="12">
        <v>6</v>
      </c>
      <c r="AP77" s="121">
        <v>5.15</v>
      </c>
      <c r="AQ77" s="121">
        <v>15.95</v>
      </c>
      <c r="AR77" s="121">
        <v>8</v>
      </c>
      <c r="AS77" s="121">
        <v>0.5</v>
      </c>
      <c r="AT77" s="121">
        <v>4.75</v>
      </c>
      <c r="AU77" s="121">
        <v>0.4</v>
      </c>
      <c r="AV77" s="121">
        <v>0.2</v>
      </c>
      <c r="AW77" s="121">
        <v>100</v>
      </c>
      <c r="AX77" s="121">
        <v>5.2</v>
      </c>
      <c r="AY77" s="121">
        <v>25.9</v>
      </c>
      <c r="AZ77" s="121">
        <v>0.19</v>
      </c>
      <c r="BA77" s="121">
        <v>1</v>
      </c>
      <c r="BB77" s="121">
        <v>0.01</v>
      </c>
      <c r="BC77" s="121">
        <v>0.1</v>
      </c>
      <c r="BD77" s="121">
        <v>0</v>
      </c>
      <c r="BE77" s="121">
        <v>0</v>
      </c>
      <c r="BF77" s="121">
        <v>0</v>
      </c>
      <c r="BG77" s="12" t="s">
        <v>2138</v>
      </c>
    </row>
    <row r="78" spans="1:59" s="12" customFormat="1" x14ac:dyDescent="0.25">
      <c r="A78" s="12">
        <v>73</v>
      </c>
      <c r="B78" s="12" t="s">
        <v>2139</v>
      </c>
      <c r="C78" s="121">
        <v>30</v>
      </c>
      <c r="D78" s="121">
        <v>0.33</v>
      </c>
      <c r="E78" s="121">
        <v>27</v>
      </c>
      <c r="F78" s="121">
        <v>10</v>
      </c>
      <c r="G78" s="121">
        <v>3</v>
      </c>
      <c r="H78" s="121">
        <v>0.95</v>
      </c>
      <c r="I78" s="121">
        <v>15.05</v>
      </c>
      <c r="J78" s="121">
        <v>50.95</v>
      </c>
      <c r="K78" s="121">
        <v>0.1</v>
      </c>
      <c r="L78" s="121">
        <v>0.1</v>
      </c>
      <c r="M78" s="146">
        <v>2</v>
      </c>
      <c r="N78" s="121">
        <v>7.0000000000000001E-3</v>
      </c>
      <c r="O78" s="121">
        <v>0.85</v>
      </c>
      <c r="P78" s="121">
        <v>1</v>
      </c>
      <c r="Q78" s="121">
        <v>0.8</v>
      </c>
      <c r="R78" s="121">
        <v>1.5</v>
      </c>
      <c r="S78" s="122">
        <v>660.41</v>
      </c>
      <c r="T78" s="122">
        <v>2.35E-2</v>
      </c>
      <c r="U78" s="122">
        <v>3.8E-3</v>
      </c>
      <c r="V78" s="122">
        <v>3.4200000000000001E-2</v>
      </c>
      <c r="W78" s="122">
        <v>0.17</v>
      </c>
      <c r="X78" s="122">
        <v>0.6</v>
      </c>
      <c r="Y78" s="122">
        <v>220</v>
      </c>
      <c r="Z78" s="122">
        <v>120</v>
      </c>
      <c r="AA78" s="122">
        <v>5</v>
      </c>
      <c r="AB78" s="122">
        <v>0.94</v>
      </c>
      <c r="AC78" s="122">
        <v>6.6299999999999998E-2</v>
      </c>
      <c r="AD78" s="122">
        <v>0.03</v>
      </c>
      <c r="AE78" s="122">
        <v>2.5000000000000001E-2</v>
      </c>
      <c r="AF78" s="122">
        <v>5.3E-3</v>
      </c>
      <c r="AG78" s="122">
        <v>3.5000000000000001E-3</v>
      </c>
      <c r="AH78" s="122">
        <v>2.5000000000000001E-3</v>
      </c>
      <c r="AI78" s="122">
        <v>5.2999999999999999E-2</v>
      </c>
      <c r="AJ78" s="122">
        <v>4.4999999999999998E-2</v>
      </c>
      <c r="AK78" s="122">
        <v>0.04</v>
      </c>
      <c r="AL78" s="122">
        <v>1.1379999999999999</v>
      </c>
      <c r="AM78" s="122">
        <v>0.60299999999999998</v>
      </c>
      <c r="AN78" s="122">
        <v>0.33200000000000002</v>
      </c>
      <c r="AO78" s="12">
        <v>4</v>
      </c>
      <c r="AP78" s="121">
        <v>5.15</v>
      </c>
      <c r="AQ78" s="121">
        <v>15.95</v>
      </c>
      <c r="AR78" s="121">
        <v>8</v>
      </c>
      <c r="AS78" s="121">
        <v>0.5</v>
      </c>
      <c r="AT78" s="121">
        <v>4.75</v>
      </c>
      <c r="AU78" s="121">
        <v>0.4</v>
      </c>
      <c r="AV78" s="121">
        <v>0.2</v>
      </c>
      <c r="AW78" s="121">
        <v>100</v>
      </c>
      <c r="AX78" s="121">
        <v>4.4000000000000004</v>
      </c>
      <c r="AY78" s="121">
        <v>7.9</v>
      </c>
      <c r="AZ78" s="121">
        <v>0.19</v>
      </c>
      <c r="BA78" s="121">
        <v>1</v>
      </c>
      <c r="BB78" s="121">
        <v>0.01</v>
      </c>
      <c r="BC78" s="121">
        <v>0.1</v>
      </c>
      <c r="BD78" s="121">
        <v>0</v>
      </c>
      <c r="BE78" s="121">
        <v>0</v>
      </c>
      <c r="BF78" s="121">
        <v>0</v>
      </c>
      <c r="BG78" s="12" t="s">
        <v>2140</v>
      </c>
    </row>
    <row r="79" spans="1:59" s="12" customFormat="1" x14ac:dyDescent="0.25">
      <c r="A79" s="12">
        <v>74</v>
      </c>
      <c r="B79" s="12" t="s">
        <v>2141</v>
      </c>
      <c r="C79" s="121">
        <v>32</v>
      </c>
      <c r="D79" s="121">
        <v>0.95</v>
      </c>
      <c r="E79" s="121">
        <v>29</v>
      </c>
      <c r="F79" s="121">
        <v>14</v>
      </c>
      <c r="G79" s="121">
        <v>5</v>
      </c>
      <c r="H79" s="121">
        <v>0.6</v>
      </c>
      <c r="I79" s="121">
        <v>15.05</v>
      </c>
      <c r="J79" s="121">
        <v>50.95</v>
      </c>
      <c r="K79" s="121">
        <v>1</v>
      </c>
      <c r="L79" s="121">
        <v>1</v>
      </c>
      <c r="M79" s="146">
        <v>3</v>
      </c>
      <c r="N79" s="121">
        <v>0.01</v>
      </c>
      <c r="O79" s="121">
        <v>0.85</v>
      </c>
      <c r="P79" s="121">
        <v>200</v>
      </c>
      <c r="Q79" s="121">
        <v>0.8</v>
      </c>
      <c r="R79" s="121">
        <v>2</v>
      </c>
      <c r="S79" s="122">
        <v>660.2</v>
      </c>
      <c r="T79" s="122">
        <v>9.7000000000000003E-3</v>
      </c>
      <c r="U79" s="122">
        <v>1E-3</v>
      </c>
      <c r="V79" s="122">
        <v>7.4999999999999997E-3</v>
      </c>
      <c r="W79" s="122">
        <v>0.6</v>
      </c>
      <c r="X79" s="122">
        <v>0.6</v>
      </c>
      <c r="Y79" s="122">
        <v>0.314</v>
      </c>
      <c r="Z79" s="122">
        <v>120</v>
      </c>
      <c r="AA79" s="122">
        <v>5</v>
      </c>
      <c r="AB79" s="122">
        <v>0.73</v>
      </c>
      <c r="AC79" s="122">
        <v>5.3199999999999997E-2</v>
      </c>
      <c r="AD79" s="122">
        <v>0.02</v>
      </c>
      <c r="AE79" s="122">
        <v>1.0999999999999999E-2</v>
      </c>
      <c r="AF79" s="122">
        <v>7.7999999999999996E-3</v>
      </c>
      <c r="AG79" s="122">
        <v>3.3E-3</v>
      </c>
      <c r="AH79" s="122">
        <v>1.5E-3</v>
      </c>
      <c r="AI79" s="122">
        <v>0.05</v>
      </c>
      <c r="AJ79" s="122">
        <v>0.05</v>
      </c>
      <c r="AK79" s="122">
        <v>0.05</v>
      </c>
      <c r="AL79" s="122">
        <v>1.1379999999999999</v>
      </c>
      <c r="AM79" s="122">
        <v>0.60299999999999998</v>
      </c>
      <c r="AN79" s="122">
        <v>0.33200000000000002</v>
      </c>
      <c r="AO79" s="12">
        <v>4</v>
      </c>
      <c r="AP79" s="121">
        <v>5.15</v>
      </c>
      <c r="AQ79" s="121">
        <v>15.95</v>
      </c>
      <c r="AR79" s="121">
        <v>3</v>
      </c>
      <c r="AS79" s="121">
        <v>0.5</v>
      </c>
      <c r="AT79" s="121">
        <v>4.75</v>
      </c>
      <c r="AU79" s="121">
        <v>0.4</v>
      </c>
      <c r="AV79" s="121">
        <v>0.6</v>
      </c>
      <c r="AW79" s="121">
        <v>100</v>
      </c>
      <c r="AX79" s="121">
        <v>4.4000000000000004</v>
      </c>
      <c r="AY79" s="121">
        <v>7.9</v>
      </c>
      <c r="AZ79" s="121">
        <v>0</v>
      </c>
      <c r="BA79" s="121">
        <v>0</v>
      </c>
      <c r="BB79" s="121">
        <v>0.01</v>
      </c>
      <c r="BC79" s="121">
        <v>0.1</v>
      </c>
      <c r="BD79" s="121">
        <v>0</v>
      </c>
      <c r="BE79" s="121">
        <v>0</v>
      </c>
      <c r="BF79" s="121">
        <v>0</v>
      </c>
      <c r="BG79" s="12" t="s">
        <v>2142</v>
      </c>
    </row>
    <row r="80" spans="1:59" s="12" customFormat="1" x14ac:dyDescent="0.25">
      <c r="A80" s="12">
        <v>75</v>
      </c>
      <c r="B80" s="12" t="s">
        <v>2143</v>
      </c>
      <c r="C80" s="121">
        <v>39</v>
      </c>
      <c r="D80" s="121">
        <v>0.55000000000000004</v>
      </c>
      <c r="E80" s="121">
        <v>35</v>
      </c>
      <c r="F80" s="121">
        <v>8</v>
      </c>
      <c r="G80" s="121">
        <v>3</v>
      </c>
      <c r="H80" s="121">
        <v>0.5</v>
      </c>
      <c r="I80" s="121">
        <v>15.01</v>
      </c>
      <c r="J80" s="121">
        <v>50.95</v>
      </c>
      <c r="K80" s="121">
        <v>0.5</v>
      </c>
      <c r="L80" s="121">
        <v>0.5</v>
      </c>
      <c r="M80" s="146">
        <v>3</v>
      </c>
      <c r="N80" s="121">
        <v>7.0000000000000001E-3</v>
      </c>
      <c r="O80" s="121">
        <v>0.85</v>
      </c>
      <c r="P80" s="121">
        <v>20</v>
      </c>
      <c r="Q80" s="121">
        <v>2.5</v>
      </c>
      <c r="R80" s="121">
        <v>2</v>
      </c>
      <c r="S80" s="122">
        <v>660.45</v>
      </c>
      <c r="T80" s="122">
        <v>2.1399999999999999E-2</v>
      </c>
      <c r="U80" s="122">
        <v>3.7000000000000002E-3</v>
      </c>
      <c r="V80" s="122">
        <v>1.12E-2</v>
      </c>
      <c r="W80" s="122">
        <v>0.28000000000000003</v>
      </c>
      <c r="X80" s="122">
        <v>0.6</v>
      </c>
      <c r="Y80" s="122">
        <v>9.1180000000000003</v>
      </c>
      <c r="Z80" s="122">
        <v>100</v>
      </c>
      <c r="AA80" s="122">
        <v>5</v>
      </c>
      <c r="AB80" s="122">
        <v>0.76</v>
      </c>
      <c r="AC80" s="122">
        <v>4.7E-2</v>
      </c>
      <c r="AD80" s="122">
        <v>1.77E-2</v>
      </c>
      <c r="AE80" s="122">
        <v>1.38E-2</v>
      </c>
      <c r="AF80" s="122">
        <v>4.7999999999999996E-3</v>
      </c>
      <c r="AG80" s="122">
        <v>1.8E-3</v>
      </c>
      <c r="AH80" s="122">
        <v>1.4E-3</v>
      </c>
      <c r="AI80" s="122">
        <v>1.6E-2</v>
      </c>
      <c r="AJ80" s="122">
        <v>1.2999999999999999E-2</v>
      </c>
      <c r="AK80" s="122">
        <v>1.0999999999999999E-2</v>
      </c>
      <c r="AL80" s="122">
        <v>0.433</v>
      </c>
      <c r="AM80" s="122">
        <v>0.433</v>
      </c>
      <c r="AN80" s="122">
        <v>0.21299999999999999</v>
      </c>
      <c r="AO80" s="12">
        <v>4</v>
      </c>
      <c r="AP80" s="121">
        <v>5.15</v>
      </c>
      <c r="AQ80" s="121">
        <v>15.95</v>
      </c>
      <c r="AR80" s="121">
        <v>8</v>
      </c>
      <c r="AS80" s="121">
        <v>0.5</v>
      </c>
      <c r="AT80" s="121">
        <v>4.75</v>
      </c>
      <c r="AU80" s="121">
        <v>0.4</v>
      </c>
      <c r="AV80" s="121">
        <v>0.2</v>
      </c>
      <c r="AW80" s="121">
        <v>100</v>
      </c>
      <c r="AX80" s="121">
        <v>4.47</v>
      </c>
      <c r="AY80" s="121">
        <v>7.77</v>
      </c>
      <c r="AZ80" s="121">
        <v>0.12</v>
      </c>
      <c r="BA80" s="121">
        <v>1.7</v>
      </c>
      <c r="BB80" s="121">
        <v>0.01</v>
      </c>
      <c r="BC80" s="121">
        <v>0.1</v>
      </c>
      <c r="BD80" s="121">
        <v>0</v>
      </c>
      <c r="BE80" s="121">
        <v>0</v>
      </c>
      <c r="BF80" s="121">
        <v>0</v>
      </c>
      <c r="BG80" s="12" t="s">
        <v>2144</v>
      </c>
    </row>
    <row r="81" spans="1:59" s="12" customFormat="1" x14ac:dyDescent="0.25">
      <c r="A81" s="12">
        <v>76</v>
      </c>
      <c r="B81" s="12" t="s">
        <v>2145</v>
      </c>
      <c r="C81" s="121">
        <v>39</v>
      </c>
      <c r="D81" s="121">
        <v>0.55000000000000004</v>
      </c>
      <c r="E81" s="121">
        <v>25</v>
      </c>
      <c r="F81" s="121">
        <v>8</v>
      </c>
      <c r="G81" s="121">
        <v>8</v>
      </c>
      <c r="H81" s="121">
        <v>0.7</v>
      </c>
      <c r="I81" s="121">
        <v>15.05</v>
      </c>
      <c r="J81" s="121">
        <v>50.95</v>
      </c>
      <c r="K81" s="121">
        <v>1</v>
      </c>
      <c r="L81" s="121">
        <v>1</v>
      </c>
      <c r="M81" s="146">
        <v>3</v>
      </c>
      <c r="N81" s="121">
        <v>7.0000000000000001E-3</v>
      </c>
      <c r="O81" s="121">
        <v>0.85</v>
      </c>
      <c r="P81" s="121">
        <v>20</v>
      </c>
      <c r="Q81" s="121">
        <v>2.5</v>
      </c>
      <c r="R81" s="121">
        <v>2</v>
      </c>
      <c r="S81" s="122">
        <v>660.53</v>
      </c>
      <c r="T81" s="122">
        <v>1.4E-2</v>
      </c>
      <c r="U81" s="122">
        <v>2E-3</v>
      </c>
      <c r="V81" s="122">
        <v>0</v>
      </c>
      <c r="W81" s="122">
        <v>0.54</v>
      </c>
      <c r="X81" s="122">
        <v>0.6</v>
      </c>
      <c r="Y81" s="122">
        <v>5.6230000000000002</v>
      </c>
      <c r="Z81" s="122">
        <v>4123.3500000000004</v>
      </c>
      <c r="AA81" s="122">
        <v>5</v>
      </c>
      <c r="AB81" s="122">
        <v>0.15</v>
      </c>
      <c r="AC81" s="122">
        <v>4.7E-2</v>
      </c>
      <c r="AD81" s="122">
        <v>1.77E-2</v>
      </c>
      <c r="AE81" s="122">
        <v>1.38E-2</v>
      </c>
      <c r="AF81" s="122">
        <v>4.7999999999999996E-3</v>
      </c>
      <c r="AG81" s="122">
        <v>1.8E-3</v>
      </c>
      <c r="AH81" s="122">
        <v>1.4E-3</v>
      </c>
      <c r="AI81" s="122">
        <v>0.02</v>
      </c>
      <c r="AJ81" s="122">
        <v>0.02</v>
      </c>
      <c r="AK81" s="122">
        <v>0.02</v>
      </c>
      <c r="AL81" s="122">
        <v>0.433</v>
      </c>
      <c r="AM81" s="122">
        <v>0.433</v>
      </c>
      <c r="AN81" s="122">
        <v>0.21299999999999999</v>
      </c>
      <c r="AO81" s="12">
        <v>4</v>
      </c>
      <c r="AP81" s="121">
        <v>5.15</v>
      </c>
      <c r="AQ81" s="121">
        <v>15.95</v>
      </c>
      <c r="AR81" s="121">
        <v>8</v>
      </c>
      <c r="AS81" s="121">
        <v>0.5</v>
      </c>
      <c r="AT81" s="121">
        <v>4.75</v>
      </c>
      <c r="AU81" s="121">
        <v>0.4</v>
      </c>
      <c r="AV81" s="121">
        <v>0.2</v>
      </c>
      <c r="AW81" s="121">
        <v>100</v>
      </c>
      <c r="AX81" s="121">
        <v>4.47</v>
      </c>
      <c r="AY81" s="121">
        <v>7.77</v>
      </c>
      <c r="AZ81" s="121">
        <v>0.12</v>
      </c>
      <c r="BA81" s="121">
        <v>1.7</v>
      </c>
      <c r="BB81" s="121">
        <v>0.01</v>
      </c>
      <c r="BC81" s="121">
        <v>0.1</v>
      </c>
      <c r="BD81" s="121">
        <v>0</v>
      </c>
      <c r="BE81" s="121">
        <v>0</v>
      </c>
      <c r="BF81" s="121">
        <v>0</v>
      </c>
      <c r="BG81" s="12" t="s">
        <v>2146</v>
      </c>
    </row>
    <row r="82" spans="1:59" s="12" customFormat="1" x14ac:dyDescent="0.25">
      <c r="A82" s="12">
        <v>77</v>
      </c>
      <c r="B82" s="12" t="s">
        <v>2147</v>
      </c>
      <c r="C82" s="121">
        <v>48</v>
      </c>
      <c r="D82" s="121">
        <v>0.9</v>
      </c>
      <c r="E82" s="121">
        <v>30</v>
      </c>
      <c r="F82" s="121">
        <v>12.7</v>
      </c>
      <c r="G82" s="121">
        <v>9</v>
      </c>
      <c r="H82" s="121">
        <v>0.85</v>
      </c>
      <c r="I82" s="121">
        <v>15.15</v>
      </c>
      <c r="J82" s="121">
        <v>75.95</v>
      </c>
      <c r="K82" s="121">
        <v>0.5</v>
      </c>
      <c r="L82" s="121">
        <v>0.1</v>
      </c>
      <c r="M82" s="146">
        <v>3</v>
      </c>
      <c r="N82" s="121">
        <v>7.4000000000000003E-3</v>
      </c>
      <c r="O82" s="121">
        <v>0.85</v>
      </c>
      <c r="P82" s="121">
        <v>500</v>
      </c>
      <c r="Q82" s="121">
        <v>3.3</v>
      </c>
      <c r="R82" s="121">
        <v>2</v>
      </c>
      <c r="S82" s="122">
        <v>660.29</v>
      </c>
      <c r="T82" s="122">
        <v>6.8999999999999999E-3</v>
      </c>
      <c r="U82" s="122">
        <v>1.6999999999999999E-3</v>
      </c>
      <c r="V82" s="122">
        <v>1.5900000000000001E-2</v>
      </c>
      <c r="W82" s="122">
        <v>0.75</v>
      </c>
      <c r="X82" s="122">
        <v>0.6</v>
      </c>
      <c r="Y82" s="122">
        <v>0.224</v>
      </c>
      <c r="Z82" s="122">
        <v>400</v>
      </c>
      <c r="AA82" s="122">
        <v>5</v>
      </c>
      <c r="AB82" s="122">
        <v>0.77</v>
      </c>
      <c r="AC82" s="122">
        <v>0.01</v>
      </c>
      <c r="AD82" s="122">
        <v>4.0000000000000001E-3</v>
      </c>
      <c r="AE82" s="122">
        <v>2.5000000000000001E-3</v>
      </c>
      <c r="AF82" s="122">
        <v>7.4999999999999997E-3</v>
      </c>
      <c r="AG82" s="122">
        <v>3.0000000000000001E-3</v>
      </c>
      <c r="AH82" s="122">
        <v>1.9E-3</v>
      </c>
      <c r="AI82" s="122">
        <v>0.01</v>
      </c>
      <c r="AJ82" s="122">
        <v>4.0000000000000001E-3</v>
      </c>
      <c r="AK82" s="122">
        <v>2E-3</v>
      </c>
      <c r="AL82" s="122">
        <v>3.39</v>
      </c>
      <c r="AM82" s="122">
        <v>3.39</v>
      </c>
      <c r="AN82" s="122">
        <v>3.39</v>
      </c>
      <c r="AO82" s="12">
        <v>6</v>
      </c>
      <c r="AP82" s="121">
        <v>5.15</v>
      </c>
      <c r="AQ82" s="121">
        <v>15.95</v>
      </c>
      <c r="AR82" s="121">
        <v>8</v>
      </c>
      <c r="AS82" s="121">
        <v>0.5</v>
      </c>
      <c r="AT82" s="121">
        <v>4.8</v>
      </c>
      <c r="AU82" s="121">
        <v>0.4</v>
      </c>
      <c r="AV82" s="121">
        <v>0.2</v>
      </c>
      <c r="AW82" s="121">
        <v>100</v>
      </c>
      <c r="AX82" s="121">
        <v>5.5</v>
      </c>
      <c r="AY82" s="121">
        <v>10.9</v>
      </c>
      <c r="AZ82" s="121">
        <v>0.06</v>
      </c>
      <c r="BA82" s="121">
        <v>1.7</v>
      </c>
      <c r="BB82" s="121">
        <v>0.01</v>
      </c>
      <c r="BC82" s="121">
        <v>0.1</v>
      </c>
      <c r="BD82" s="121">
        <v>0</v>
      </c>
      <c r="BE82" s="121">
        <v>0</v>
      </c>
      <c r="BF82" s="121">
        <v>0</v>
      </c>
      <c r="BG82" s="12" t="s">
        <v>2148</v>
      </c>
    </row>
    <row r="83" spans="1:59" s="12" customFormat="1" x14ac:dyDescent="0.25">
      <c r="A83" s="12">
        <v>78</v>
      </c>
      <c r="B83" s="12" t="s">
        <v>2149</v>
      </c>
      <c r="C83" s="121">
        <v>30</v>
      </c>
      <c r="D83" s="121">
        <v>0.02</v>
      </c>
      <c r="E83" s="121">
        <v>15</v>
      </c>
      <c r="F83" s="121">
        <v>0</v>
      </c>
      <c r="G83" s="121">
        <v>5</v>
      </c>
      <c r="H83" s="121">
        <v>0.8</v>
      </c>
      <c r="I83" s="121">
        <v>15.01</v>
      </c>
      <c r="J83" s="121">
        <v>50.95</v>
      </c>
      <c r="K83" s="121">
        <v>1</v>
      </c>
      <c r="L83" s="121">
        <v>1</v>
      </c>
      <c r="M83" s="146">
        <v>2</v>
      </c>
      <c r="N83" s="121">
        <v>7.0000000000000001E-3</v>
      </c>
      <c r="O83" s="121">
        <v>0.85</v>
      </c>
      <c r="P83" s="121">
        <v>90</v>
      </c>
      <c r="Q83" s="121">
        <v>1.2</v>
      </c>
      <c r="R83" s="121">
        <v>2</v>
      </c>
      <c r="S83" s="122">
        <v>660.41</v>
      </c>
      <c r="T83" s="122">
        <v>1.4999999999999999E-2</v>
      </c>
      <c r="U83" s="122">
        <v>2E-3</v>
      </c>
      <c r="V83" s="122">
        <v>1.6E-2</v>
      </c>
      <c r="W83" s="122">
        <v>0.01</v>
      </c>
      <c r="X83" s="122">
        <v>0.6</v>
      </c>
      <c r="Y83" s="122">
        <v>2.0070000000000001</v>
      </c>
      <c r="Z83" s="122">
        <v>120</v>
      </c>
      <c r="AA83" s="122">
        <v>5</v>
      </c>
      <c r="AB83" s="122">
        <v>0.1</v>
      </c>
      <c r="AC83" s="122">
        <v>0.04</v>
      </c>
      <c r="AD83" s="122">
        <v>2.1000000000000001E-2</v>
      </c>
      <c r="AE83" s="122">
        <v>1.2E-2</v>
      </c>
      <c r="AF83" s="122">
        <v>9.9000000000000008E-3</v>
      </c>
      <c r="AG83" s="122">
        <v>3.8999999999999998E-3</v>
      </c>
      <c r="AH83" s="122">
        <v>2.2000000000000001E-3</v>
      </c>
      <c r="AI83" s="122">
        <v>2.3E-2</v>
      </c>
      <c r="AJ83" s="122">
        <v>1.9E-2</v>
      </c>
      <c r="AK83" s="122">
        <v>1.6E-2</v>
      </c>
      <c r="AL83" s="122">
        <v>3.39</v>
      </c>
      <c r="AM83" s="122">
        <v>3.39</v>
      </c>
      <c r="AN83" s="122">
        <v>3.39</v>
      </c>
      <c r="AO83" s="12">
        <v>6</v>
      </c>
      <c r="AP83" s="121">
        <v>5.01</v>
      </c>
      <c r="AQ83" s="121">
        <v>15.1</v>
      </c>
      <c r="AR83" s="121">
        <v>8</v>
      </c>
      <c r="AS83" s="121">
        <v>0.5</v>
      </c>
      <c r="AT83" s="121">
        <v>4.75</v>
      </c>
      <c r="AU83" s="121">
        <v>0.4</v>
      </c>
      <c r="AV83" s="121">
        <v>0.2</v>
      </c>
      <c r="AW83" s="121">
        <v>100</v>
      </c>
      <c r="AX83" s="121">
        <v>22.5</v>
      </c>
      <c r="AY83" s="121">
        <v>40.71</v>
      </c>
      <c r="AZ83" s="121">
        <v>0.05</v>
      </c>
      <c r="BA83" s="121">
        <v>3.9</v>
      </c>
      <c r="BB83" s="121">
        <v>0.01</v>
      </c>
      <c r="BC83" s="121">
        <v>0.1</v>
      </c>
      <c r="BD83" s="121">
        <v>0</v>
      </c>
      <c r="BE83" s="121">
        <v>0</v>
      </c>
      <c r="BF83" s="121">
        <v>0</v>
      </c>
      <c r="BG83" s="12" t="s">
        <v>2150</v>
      </c>
    </row>
    <row r="84" spans="1:59" s="12" customFormat="1" x14ac:dyDescent="0.25">
      <c r="A84" s="12">
        <v>79</v>
      </c>
      <c r="B84" s="12" t="s">
        <v>2151</v>
      </c>
      <c r="C84" s="121">
        <v>35</v>
      </c>
      <c r="D84" s="121">
        <v>0.25</v>
      </c>
      <c r="E84" s="121">
        <v>30</v>
      </c>
      <c r="F84" s="121">
        <v>10</v>
      </c>
      <c r="G84" s="121">
        <v>2.5</v>
      </c>
      <c r="H84" s="121">
        <v>0.85</v>
      </c>
      <c r="I84" s="121">
        <v>15.01</v>
      </c>
      <c r="J84" s="121">
        <v>50.95</v>
      </c>
      <c r="K84" s="121">
        <v>1</v>
      </c>
      <c r="L84" s="121">
        <v>1</v>
      </c>
      <c r="M84" s="146">
        <v>4</v>
      </c>
      <c r="N84" s="121">
        <v>1.2E-2</v>
      </c>
      <c r="O84" s="121">
        <v>0.85</v>
      </c>
      <c r="P84" s="121">
        <v>5</v>
      </c>
      <c r="Q84" s="121">
        <v>2.5</v>
      </c>
      <c r="R84" s="121">
        <v>2</v>
      </c>
      <c r="S84" s="122">
        <v>660.4</v>
      </c>
      <c r="T84" s="122">
        <v>1.89E-2</v>
      </c>
      <c r="U84" s="122">
        <v>4.8999999999999998E-3</v>
      </c>
      <c r="V84" s="122">
        <v>3.7000000000000002E-3</v>
      </c>
      <c r="W84" s="122">
        <v>0.13</v>
      </c>
      <c r="X84" s="122">
        <v>0.6</v>
      </c>
      <c r="Y84" s="122">
        <v>0.44800000000000001</v>
      </c>
      <c r="Z84" s="122">
        <v>178.238</v>
      </c>
      <c r="AA84" s="122">
        <v>5</v>
      </c>
      <c r="AB84" s="122">
        <v>0.1</v>
      </c>
      <c r="AC84" s="122">
        <v>4.3999999999999997E-2</v>
      </c>
      <c r="AD84" s="122">
        <v>0.02</v>
      </c>
      <c r="AE84" s="122">
        <v>0.01</v>
      </c>
      <c r="AF84" s="122">
        <v>6.0000000000000001E-3</v>
      </c>
      <c r="AG84" s="122">
        <v>2.2000000000000001E-3</v>
      </c>
      <c r="AH84" s="122">
        <v>1.1999999999999999E-3</v>
      </c>
      <c r="AI84" s="122">
        <v>2.8000000000000001E-2</v>
      </c>
      <c r="AJ84" s="122">
        <v>2.3E-2</v>
      </c>
      <c r="AK84" s="122">
        <v>0.02</v>
      </c>
      <c r="AL84" s="122">
        <v>0.65700000000000003</v>
      </c>
      <c r="AM84" s="122">
        <v>0.65700000000000003</v>
      </c>
      <c r="AN84" s="122">
        <v>0.32</v>
      </c>
      <c r="AO84" s="12">
        <v>4</v>
      </c>
      <c r="AP84" s="121">
        <v>5.15</v>
      </c>
      <c r="AQ84" s="121">
        <v>15.95</v>
      </c>
      <c r="AR84" s="121">
        <v>8</v>
      </c>
      <c r="AS84" s="121">
        <v>0.5</v>
      </c>
      <c r="AT84" s="121">
        <v>4.75</v>
      </c>
      <c r="AU84" s="121">
        <v>0.4</v>
      </c>
      <c r="AV84" s="121">
        <v>0.2</v>
      </c>
      <c r="AW84" s="121">
        <v>100</v>
      </c>
      <c r="AX84" s="121">
        <v>5.43</v>
      </c>
      <c r="AY84" s="121">
        <v>15.79</v>
      </c>
      <c r="AZ84" s="121">
        <v>0.12</v>
      </c>
      <c r="BA84" s="121">
        <v>1.7</v>
      </c>
      <c r="BB84" s="121">
        <v>0.01</v>
      </c>
      <c r="BC84" s="121">
        <v>0.1</v>
      </c>
      <c r="BD84" s="121">
        <v>0</v>
      </c>
      <c r="BE84" s="121">
        <v>0</v>
      </c>
      <c r="BF84" s="121">
        <v>0</v>
      </c>
      <c r="BG84" s="12" t="s">
        <v>2152</v>
      </c>
    </row>
    <row r="85" spans="1:59" s="12" customFormat="1" x14ac:dyDescent="0.25">
      <c r="A85" s="12">
        <v>80</v>
      </c>
      <c r="B85" s="12" t="s">
        <v>2153</v>
      </c>
      <c r="C85" s="121">
        <v>16</v>
      </c>
      <c r="D85" s="121">
        <v>0.05</v>
      </c>
      <c r="E85" s="121">
        <v>20</v>
      </c>
      <c r="F85" s="121">
        <v>2</v>
      </c>
      <c r="G85" s="121">
        <v>6</v>
      </c>
      <c r="H85" s="121">
        <v>0.99</v>
      </c>
      <c r="I85" s="121">
        <v>10.199999999999999</v>
      </c>
      <c r="J85" s="121">
        <v>40.950000000000003</v>
      </c>
      <c r="K85" s="121">
        <v>0.1</v>
      </c>
      <c r="L85" s="121">
        <v>0.1</v>
      </c>
      <c r="M85" s="146">
        <v>1</v>
      </c>
      <c r="N85" s="121">
        <v>7.0000000000000001E-3</v>
      </c>
      <c r="O85" s="121">
        <v>0.85</v>
      </c>
      <c r="P85" s="121">
        <v>80</v>
      </c>
      <c r="Q85" s="121">
        <v>20</v>
      </c>
      <c r="R85" s="121">
        <v>2.5</v>
      </c>
      <c r="S85" s="122">
        <v>660.22</v>
      </c>
      <c r="T85" s="122">
        <v>1.5E-3</v>
      </c>
      <c r="U85" s="122">
        <v>2.9999999999999997E-4</v>
      </c>
      <c r="V85" s="122">
        <v>2E-3</v>
      </c>
      <c r="W85" s="122">
        <v>0.05</v>
      </c>
      <c r="X85" s="122">
        <v>0.6</v>
      </c>
      <c r="Y85" s="122">
        <v>6.7210000000000001</v>
      </c>
      <c r="Z85" s="122">
        <v>1000</v>
      </c>
      <c r="AA85" s="122">
        <v>5</v>
      </c>
      <c r="AB85" s="122">
        <v>0.01</v>
      </c>
      <c r="AC85" s="122">
        <v>6.0000000000000001E-3</v>
      </c>
      <c r="AD85" s="122">
        <v>2E-3</v>
      </c>
      <c r="AE85" s="122">
        <v>1.5E-3</v>
      </c>
      <c r="AF85" s="122">
        <v>6.9999999999999999E-4</v>
      </c>
      <c r="AG85" s="122">
        <v>4.0000000000000002E-4</v>
      </c>
      <c r="AH85" s="122">
        <v>2.9999999999999997E-4</v>
      </c>
      <c r="AI85" s="122">
        <v>6.0000000000000001E-3</v>
      </c>
      <c r="AJ85" s="122">
        <v>3.0000000000000001E-3</v>
      </c>
      <c r="AK85" s="122">
        <v>2E-3</v>
      </c>
      <c r="AL85" s="122">
        <v>3.39</v>
      </c>
      <c r="AM85" s="122">
        <v>3.39</v>
      </c>
      <c r="AN85" s="122">
        <v>3.39</v>
      </c>
      <c r="AO85" s="12">
        <v>7</v>
      </c>
      <c r="AP85" s="121">
        <v>5.15</v>
      </c>
      <c r="AQ85" s="121">
        <v>15.95</v>
      </c>
      <c r="AR85" s="121">
        <v>3</v>
      </c>
      <c r="AS85" s="121">
        <v>0.5</v>
      </c>
      <c r="AT85" s="121">
        <v>4.75</v>
      </c>
      <c r="AU85" s="121">
        <v>0.4</v>
      </c>
      <c r="AV85" s="121">
        <v>0.2</v>
      </c>
      <c r="AW85" s="121">
        <v>100</v>
      </c>
      <c r="AX85" s="121">
        <v>1000.95</v>
      </c>
      <c r="AY85" s="121">
        <v>100.1</v>
      </c>
      <c r="AZ85" s="121">
        <v>0.05</v>
      </c>
      <c r="BA85" s="121">
        <v>1</v>
      </c>
      <c r="BB85" s="121">
        <v>0.01</v>
      </c>
      <c r="BC85" s="121">
        <v>0.1</v>
      </c>
      <c r="BD85" s="121">
        <v>0</v>
      </c>
      <c r="BE85" s="121">
        <v>0</v>
      </c>
      <c r="BF85" s="121">
        <v>0</v>
      </c>
      <c r="BG85" s="12" t="s">
        <v>2154</v>
      </c>
    </row>
    <row r="86" spans="1:59" s="12" customFormat="1" x14ac:dyDescent="0.25">
      <c r="A86" s="12">
        <v>81</v>
      </c>
      <c r="B86" s="12" t="s">
        <v>2155</v>
      </c>
      <c r="C86" s="121">
        <v>10</v>
      </c>
      <c r="D86" s="121">
        <v>0.05</v>
      </c>
      <c r="E86" s="121">
        <v>30</v>
      </c>
      <c r="F86" s="121">
        <v>10</v>
      </c>
      <c r="G86" s="121">
        <v>1.35</v>
      </c>
      <c r="H86" s="121">
        <v>0.99</v>
      </c>
      <c r="I86" s="121">
        <v>5.05</v>
      </c>
      <c r="J86" s="121">
        <v>50.8</v>
      </c>
      <c r="K86" s="121">
        <v>1</v>
      </c>
      <c r="L86" s="121">
        <v>1</v>
      </c>
      <c r="M86" s="146">
        <v>5</v>
      </c>
      <c r="N86" s="121">
        <v>7.0000000000000001E-3</v>
      </c>
      <c r="O86" s="121">
        <v>0.85</v>
      </c>
      <c r="P86" s="121">
        <v>80</v>
      </c>
      <c r="Q86" s="121">
        <v>6</v>
      </c>
      <c r="R86" s="121">
        <v>3.5</v>
      </c>
      <c r="S86" s="122">
        <v>660.14</v>
      </c>
      <c r="T86" s="122">
        <v>1.5E-3</v>
      </c>
      <c r="U86" s="122">
        <v>2.9999999999999997E-4</v>
      </c>
      <c r="V86" s="122">
        <v>2E-3</v>
      </c>
      <c r="W86" s="122">
        <v>0.05</v>
      </c>
      <c r="X86" s="122">
        <v>0.6</v>
      </c>
      <c r="Y86" s="122">
        <v>6.7210000000000001</v>
      </c>
      <c r="Z86" s="122">
        <v>1000</v>
      </c>
      <c r="AA86" s="122">
        <v>5</v>
      </c>
      <c r="AB86" s="122">
        <v>0.01</v>
      </c>
      <c r="AC86" s="122">
        <v>0.02</v>
      </c>
      <c r="AD86" s="122">
        <v>0.01</v>
      </c>
      <c r="AE86" s="122">
        <v>8.0000000000000002E-3</v>
      </c>
      <c r="AF86" s="122">
        <v>6.9999999999999999E-4</v>
      </c>
      <c r="AG86" s="122">
        <v>4.0000000000000002E-4</v>
      </c>
      <c r="AH86" s="122">
        <v>2.9999999999999997E-4</v>
      </c>
      <c r="AI86" s="122">
        <v>6.0000000000000001E-3</v>
      </c>
      <c r="AJ86" s="122">
        <v>3.0000000000000001E-3</v>
      </c>
      <c r="AK86" s="122">
        <v>2E-3</v>
      </c>
      <c r="AL86" s="122">
        <v>3.39</v>
      </c>
      <c r="AM86" s="122">
        <v>3.39</v>
      </c>
      <c r="AN86" s="122">
        <v>3.39</v>
      </c>
      <c r="AO86" s="12">
        <v>10</v>
      </c>
      <c r="AP86" s="121">
        <v>5.15</v>
      </c>
      <c r="AQ86" s="121">
        <v>15.95</v>
      </c>
      <c r="AR86" s="121">
        <v>8</v>
      </c>
      <c r="AS86" s="121">
        <v>1</v>
      </c>
      <c r="AT86" s="121">
        <v>4.75</v>
      </c>
      <c r="AU86" s="121">
        <v>0.4</v>
      </c>
      <c r="AV86" s="121">
        <v>0.2</v>
      </c>
      <c r="AW86" s="121">
        <v>100</v>
      </c>
      <c r="AX86" s="121">
        <v>120.88</v>
      </c>
      <c r="AY86" s="121">
        <v>20.13</v>
      </c>
      <c r="AZ86" s="121">
        <v>0.05</v>
      </c>
      <c r="BA86" s="121">
        <v>1</v>
      </c>
      <c r="BB86" s="121">
        <v>0.01</v>
      </c>
      <c r="BC86" s="121">
        <v>0.1</v>
      </c>
      <c r="BD86" s="121">
        <v>0</v>
      </c>
      <c r="BE86" s="121">
        <v>0.05</v>
      </c>
      <c r="BF86" s="121">
        <v>0</v>
      </c>
      <c r="BG86" s="12" t="s">
        <v>2156</v>
      </c>
    </row>
    <row r="87" spans="1:59" s="12" customFormat="1" x14ac:dyDescent="0.25">
      <c r="A87" s="12">
        <v>82</v>
      </c>
      <c r="B87" s="12" t="s">
        <v>2157</v>
      </c>
      <c r="C87" s="121">
        <v>15</v>
      </c>
      <c r="D87" s="121">
        <v>0.1</v>
      </c>
      <c r="E87" s="121">
        <v>22</v>
      </c>
      <c r="F87" s="121">
        <v>6</v>
      </c>
      <c r="G87" s="121">
        <v>4</v>
      </c>
      <c r="H87" s="121">
        <v>0.99</v>
      </c>
      <c r="I87" s="121">
        <v>10.15</v>
      </c>
      <c r="J87" s="121">
        <v>50.75</v>
      </c>
      <c r="K87" s="121">
        <v>1</v>
      </c>
      <c r="L87" s="121">
        <v>1</v>
      </c>
      <c r="M87" s="146">
        <v>5</v>
      </c>
      <c r="N87" s="121">
        <v>7.0000000000000001E-3</v>
      </c>
      <c r="O87" s="121">
        <v>0.85</v>
      </c>
      <c r="P87" s="121">
        <v>80</v>
      </c>
      <c r="Q87" s="121">
        <v>3.5</v>
      </c>
      <c r="R87" s="121">
        <v>1</v>
      </c>
      <c r="S87" s="122">
        <v>660.2</v>
      </c>
      <c r="T87" s="122">
        <v>1.9E-3</v>
      </c>
      <c r="U87" s="122">
        <v>4.0000000000000002E-4</v>
      </c>
      <c r="V87" s="122">
        <v>7.1999999999999998E-3</v>
      </c>
      <c r="W87" s="122">
        <v>0.05</v>
      </c>
      <c r="X87" s="122">
        <v>0.6</v>
      </c>
      <c r="Y87" s="122">
        <v>6.7210000000000001</v>
      </c>
      <c r="Z87" s="122">
        <v>1000</v>
      </c>
      <c r="AA87" s="122">
        <v>5</v>
      </c>
      <c r="AB87" s="122">
        <v>0.84</v>
      </c>
      <c r="AC87" s="122">
        <v>6.0000000000000001E-3</v>
      </c>
      <c r="AD87" s="122">
        <v>2E-3</v>
      </c>
      <c r="AE87" s="122">
        <v>1.5E-3</v>
      </c>
      <c r="AF87" s="122">
        <v>6.9999999999999999E-4</v>
      </c>
      <c r="AG87" s="122">
        <v>4.0000000000000002E-4</v>
      </c>
      <c r="AH87" s="122">
        <v>2.9999999999999997E-4</v>
      </c>
      <c r="AI87" s="122">
        <v>8.0000000000000002E-3</v>
      </c>
      <c r="AJ87" s="122">
        <v>8.0000000000000002E-3</v>
      </c>
      <c r="AK87" s="122">
        <v>8.0000000000000002E-3</v>
      </c>
      <c r="AL87" s="122">
        <v>3.39</v>
      </c>
      <c r="AM87" s="122">
        <v>3.39</v>
      </c>
      <c r="AN87" s="122">
        <v>3.39</v>
      </c>
      <c r="AO87" s="12">
        <v>8</v>
      </c>
      <c r="AP87" s="121">
        <v>5.15</v>
      </c>
      <c r="AQ87" s="121">
        <v>15.95</v>
      </c>
      <c r="AR87" s="121">
        <v>3</v>
      </c>
      <c r="AS87" s="121">
        <v>0.5</v>
      </c>
      <c r="AT87" s="121">
        <v>4.75</v>
      </c>
      <c r="AU87" s="121">
        <v>0.4</v>
      </c>
      <c r="AV87" s="121">
        <v>0.2</v>
      </c>
      <c r="AW87" s="121">
        <v>100</v>
      </c>
      <c r="AX87" s="121">
        <v>120.88</v>
      </c>
      <c r="AY87" s="121">
        <v>20.13</v>
      </c>
      <c r="AZ87" s="121">
        <v>0.05</v>
      </c>
      <c r="BA87" s="121">
        <v>1</v>
      </c>
      <c r="BB87" s="121">
        <v>0.01</v>
      </c>
      <c r="BC87" s="121">
        <v>0.1</v>
      </c>
      <c r="BD87" s="121">
        <v>0</v>
      </c>
      <c r="BE87" s="121">
        <v>0.05</v>
      </c>
      <c r="BF87" s="121">
        <v>0</v>
      </c>
      <c r="BG87" s="12" t="s">
        <v>2158</v>
      </c>
    </row>
    <row r="88" spans="1:59" s="12" customFormat="1" x14ac:dyDescent="0.25">
      <c r="A88" s="12">
        <v>83</v>
      </c>
      <c r="B88" s="12" t="s">
        <v>2159</v>
      </c>
      <c r="C88" s="121">
        <v>19</v>
      </c>
      <c r="D88" s="121">
        <v>0.8</v>
      </c>
      <c r="E88" s="121">
        <v>24</v>
      </c>
      <c r="F88" s="121">
        <v>4</v>
      </c>
      <c r="G88" s="121">
        <v>3</v>
      </c>
      <c r="H88" s="121">
        <v>1</v>
      </c>
      <c r="I88" s="121">
        <v>25.23</v>
      </c>
      <c r="J88" s="121">
        <v>40.86</v>
      </c>
      <c r="K88" s="121">
        <v>0.1</v>
      </c>
      <c r="L88" s="121">
        <v>0.1</v>
      </c>
      <c r="M88" s="146">
        <v>3</v>
      </c>
      <c r="N88" s="121">
        <v>0.01</v>
      </c>
      <c r="O88" s="121">
        <v>0.85</v>
      </c>
      <c r="P88" s="121">
        <v>35</v>
      </c>
      <c r="Q88" s="121">
        <v>0.45700000000000002</v>
      </c>
      <c r="R88" s="121">
        <v>1.9990000000000001</v>
      </c>
      <c r="S88" s="122">
        <v>660.26</v>
      </c>
      <c r="T88" s="122">
        <v>2.5899999999999999E-2</v>
      </c>
      <c r="U88" s="122">
        <v>3.0999999999999999E-3</v>
      </c>
      <c r="V88" s="122">
        <v>3.2899999999999999E-2</v>
      </c>
      <c r="W88" s="122">
        <v>0.8</v>
      </c>
      <c r="X88" s="122">
        <v>0.6</v>
      </c>
      <c r="Y88" s="122">
        <v>77.805000000000007</v>
      </c>
      <c r="Z88" s="122">
        <v>420</v>
      </c>
      <c r="AA88" s="122">
        <v>5</v>
      </c>
      <c r="AB88" s="122">
        <v>0.93</v>
      </c>
      <c r="AC88" s="122">
        <v>7.0000000000000007E-2</v>
      </c>
      <c r="AD88" s="122">
        <v>0.03</v>
      </c>
      <c r="AE88" s="122">
        <v>0.02</v>
      </c>
      <c r="AF88" s="122">
        <v>6.0000000000000001E-3</v>
      </c>
      <c r="AG88" s="122">
        <v>3.5000000000000001E-3</v>
      </c>
      <c r="AH88" s="122">
        <v>2E-3</v>
      </c>
      <c r="AI88" s="122">
        <v>0.04</v>
      </c>
      <c r="AJ88" s="122">
        <v>0.04</v>
      </c>
      <c r="AK88" s="122">
        <v>0.04</v>
      </c>
      <c r="AL88" s="122">
        <v>1.266</v>
      </c>
      <c r="AM88" s="122">
        <v>0.63300000000000001</v>
      </c>
      <c r="AN88" s="122">
        <v>0.72899999999999998</v>
      </c>
      <c r="AO88" s="12">
        <v>5</v>
      </c>
      <c r="AP88" s="121">
        <v>5.01</v>
      </c>
      <c r="AQ88" s="121">
        <v>15.95</v>
      </c>
      <c r="AR88" s="121">
        <v>5</v>
      </c>
      <c r="AS88" s="121">
        <v>1</v>
      </c>
      <c r="AT88" s="121">
        <v>4.75</v>
      </c>
      <c r="AU88" s="121">
        <v>0.4</v>
      </c>
      <c r="AV88" s="121">
        <v>0.2</v>
      </c>
      <c r="AW88" s="121">
        <v>100</v>
      </c>
      <c r="AX88" s="121">
        <v>10.199999999999999</v>
      </c>
      <c r="AY88" s="121">
        <v>50.9</v>
      </c>
      <c r="AZ88" s="121">
        <v>0.12</v>
      </c>
      <c r="BA88" s="121">
        <v>1.7</v>
      </c>
      <c r="BB88" s="121">
        <v>0.01</v>
      </c>
      <c r="BC88" s="121">
        <v>0.1</v>
      </c>
      <c r="BD88" s="121">
        <v>0</v>
      </c>
      <c r="BE88" s="121">
        <v>0</v>
      </c>
      <c r="BF88" s="121">
        <v>0</v>
      </c>
      <c r="BG88" s="12" t="s">
        <v>2102</v>
      </c>
    </row>
    <row r="89" spans="1:59" s="12" customFormat="1" x14ac:dyDescent="0.25">
      <c r="A89" s="12">
        <v>84</v>
      </c>
      <c r="B89" s="12" t="s">
        <v>2160</v>
      </c>
      <c r="C89" s="121">
        <v>30</v>
      </c>
      <c r="D89" s="121">
        <v>0.5</v>
      </c>
      <c r="E89" s="121">
        <v>32</v>
      </c>
      <c r="F89" s="121">
        <v>16</v>
      </c>
      <c r="G89" s="121">
        <v>3</v>
      </c>
      <c r="H89" s="121">
        <v>0.6</v>
      </c>
      <c r="I89" s="121">
        <v>15.05</v>
      </c>
      <c r="J89" s="121">
        <v>50.95</v>
      </c>
      <c r="K89" s="121">
        <v>1</v>
      </c>
      <c r="L89" s="121">
        <v>1</v>
      </c>
      <c r="M89" s="146">
        <v>2</v>
      </c>
      <c r="N89" s="121">
        <v>7.0000000000000001E-3</v>
      </c>
      <c r="O89" s="121">
        <v>0.85</v>
      </c>
      <c r="P89" s="121">
        <v>90</v>
      </c>
      <c r="Q89" s="121">
        <v>0.9</v>
      </c>
      <c r="R89" s="121">
        <v>1.3</v>
      </c>
      <c r="S89" s="122">
        <v>660.41</v>
      </c>
      <c r="T89" s="122">
        <v>1.38E-2</v>
      </c>
      <c r="U89" s="122">
        <v>1.6999999999999999E-3</v>
      </c>
      <c r="V89" s="122">
        <v>3.0200000000000001E-2</v>
      </c>
      <c r="W89" s="122">
        <v>0.25</v>
      </c>
      <c r="X89" s="122">
        <v>0.6</v>
      </c>
      <c r="Y89" s="122">
        <v>89.611000000000004</v>
      </c>
      <c r="Z89" s="122">
        <v>535.81500000000005</v>
      </c>
      <c r="AA89" s="122">
        <v>5</v>
      </c>
      <c r="AB89" s="122">
        <v>0.9</v>
      </c>
      <c r="AC89" s="122">
        <v>0.03</v>
      </c>
      <c r="AD89" s="122">
        <v>1.4999999999999999E-2</v>
      </c>
      <c r="AE89" s="122">
        <v>0.01</v>
      </c>
      <c r="AF89" s="122">
        <v>5.3E-3</v>
      </c>
      <c r="AG89" s="122">
        <v>2E-3</v>
      </c>
      <c r="AH89" s="122">
        <v>1.1999999999999999E-3</v>
      </c>
      <c r="AI89" s="122">
        <v>0.02</v>
      </c>
      <c r="AJ89" s="122">
        <v>0.02</v>
      </c>
      <c r="AK89" s="122">
        <v>0.02</v>
      </c>
      <c r="AL89" s="122">
        <v>1.266</v>
      </c>
      <c r="AM89" s="122">
        <v>0.63300000000000001</v>
      </c>
      <c r="AN89" s="122">
        <v>0.72899999999999998</v>
      </c>
      <c r="AO89" s="12">
        <v>4</v>
      </c>
      <c r="AP89" s="121">
        <v>5.15</v>
      </c>
      <c r="AQ89" s="121">
        <v>15.95</v>
      </c>
      <c r="AR89" s="121">
        <v>8</v>
      </c>
      <c r="AS89" s="121">
        <v>0.5</v>
      </c>
      <c r="AT89" s="121">
        <v>4.75</v>
      </c>
      <c r="AU89" s="121">
        <v>0.4</v>
      </c>
      <c r="AV89" s="121">
        <v>0.2</v>
      </c>
      <c r="AW89" s="121">
        <v>100</v>
      </c>
      <c r="AX89" s="121">
        <v>4.4000000000000004</v>
      </c>
      <c r="AY89" s="121">
        <v>7.9</v>
      </c>
      <c r="AZ89" s="121">
        <v>0.19</v>
      </c>
      <c r="BA89" s="121">
        <v>1</v>
      </c>
      <c r="BB89" s="121">
        <v>0.01</v>
      </c>
      <c r="BC89" s="121">
        <v>0.1</v>
      </c>
      <c r="BD89" s="121">
        <v>0</v>
      </c>
      <c r="BE89" s="121">
        <v>0</v>
      </c>
      <c r="BF89" s="121">
        <v>0</v>
      </c>
      <c r="BG89" s="12" t="s">
        <v>2130</v>
      </c>
    </row>
    <row r="90" spans="1:59" s="12" customFormat="1" x14ac:dyDescent="0.25">
      <c r="A90" s="12">
        <v>86</v>
      </c>
      <c r="B90" s="12" t="s">
        <v>2161</v>
      </c>
      <c r="C90" s="121">
        <v>30</v>
      </c>
      <c r="D90" s="121">
        <v>1.25</v>
      </c>
      <c r="E90" s="121">
        <v>29</v>
      </c>
      <c r="F90" s="121">
        <v>7</v>
      </c>
      <c r="G90" s="121">
        <v>1.5</v>
      </c>
      <c r="H90" s="121">
        <v>0.6</v>
      </c>
      <c r="I90" s="121">
        <v>15.01</v>
      </c>
      <c r="J90" s="121">
        <v>50.95</v>
      </c>
      <c r="K90" s="121">
        <v>2</v>
      </c>
      <c r="L90" s="121">
        <v>10</v>
      </c>
      <c r="M90" s="146">
        <v>3</v>
      </c>
      <c r="N90" s="121">
        <v>7.0000000000000001E-3</v>
      </c>
      <c r="O90" s="121">
        <v>0.85</v>
      </c>
      <c r="P90" s="121">
        <v>35</v>
      </c>
      <c r="Q90" s="121">
        <v>1.2</v>
      </c>
      <c r="R90" s="121">
        <v>1.9990000000000001</v>
      </c>
      <c r="S90" s="122">
        <v>660.41</v>
      </c>
      <c r="T90" s="122">
        <v>2.06E-2</v>
      </c>
      <c r="U90" s="122">
        <v>3.2000000000000002E-3</v>
      </c>
      <c r="V90" s="122">
        <v>1.6899999999999998E-2</v>
      </c>
      <c r="W90" s="122">
        <v>0.75</v>
      </c>
      <c r="X90" s="122">
        <v>0.6</v>
      </c>
      <c r="Y90" s="122">
        <v>205.25399999999999</v>
      </c>
      <c r="Z90" s="122">
        <v>500</v>
      </c>
      <c r="AA90" s="122">
        <v>405.72</v>
      </c>
      <c r="AB90" s="122">
        <v>0.91</v>
      </c>
      <c r="AC90" s="122">
        <v>0.04</v>
      </c>
      <c r="AD90" s="122">
        <v>2.1999999999999999E-2</v>
      </c>
      <c r="AE90" s="122">
        <v>0.02</v>
      </c>
      <c r="AF90" s="122">
        <v>4.0000000000000001E-3</v>
      </c>
      <c r="AG90" s="122">
        <v>2E-3</v>
      </c>
      <c r="AH90" s="122">
        <v>1.9E-3</v>
      </c>
      <c r="AI90" s="122">
        <v>0.03</v>
      </c>
      <c r="AJ90" s="122">
        <v>0.03</v>
      </c>
      <c r="AK90" s="122">
        <v>0.03</v>
      </c>
      <c r="AL90" s="122">
        <v>1.266</v>
      </c>
      <c r="AM90" s="122">
        <v>0.63300000000000001</v>
      </c>
      <c r="AN90" s="122">
        <v>0.72899999999999998</v>
      </c>
      <c r="AO90" s="12">
        <v>5</v>
      </c>
      <c r="AP90" s="121">
        <v>5.01</v>
      </c>
      <c r="AQ90" s="121">
        <v>15.95</v>
      </c>
      <c r="AR90" s="121">
        <v>10</v>
      </c>
      <c r="AS90" s="121">
        <v>1</v>
      </c>
      <c r="AT90" s="121">
        <v>4.75</v>
      </c>
      <c r="AU90" s="121">
        <v>0.4</v>
      </c>
      <c r="AV90" s="121">
        <v>0.8</v>
      </c>
      <c r="AW90" s="121">
        <v>100</v>
      </c>
      <c r="AX90" s="121">
        <v>10.199999999999999</v>
      </c>
      <c r="AY90" s="121">
        <v>50.9</v>
      </c>
      <c r="AZ90" s="121">
        <v>0.12</v>
      </c>
      <c r="BA90" s="121">
        <v>1.7</v>
      </c>
      <c r="BB90" s="121">
        <v>0.01</v>
      </c>
      <c r="BC90" s="121">
        <v>0.1</v>
      </c>
      <c r="BD90" s="121">
        <v>0</v>
      </c>
      <c r="BE90" s="121">
        <v>0</v>
      </c>
      <c r="BF90" s="121">
        <v>0</v>
      </c>
      <c r="BG90" s="12" t="s">
        <v>2116</v>
      </c>
    </row>
    <row r="91" spans="1:59" s="12" customFormat="1" x14ac:dyDescent="0.25">
      <c r="A91" s="12">
        <v>87</v>
      </c>
      <c r="B91" s="12" t="s">
        <v>2162</v>
      </c>
      <c r="C91" s="121">
        <v>30</v>
      </c>
      <c r="D91" s="121">
        <v>0.6</v>
      </c>
      <c r="E91" s="121">
        <v>27</v>
      </c>
      <c r="F91" s="121">
        <v>18</v>
      </c>
      <c r="G91" s="121">
        <v>5</v>
      </c>
      <c r="H91" s="121">
        <v>0.6</v>
      </c>
      <c r="I91" s="121">
        <v>15.05</v>
      </c>
      <c r="J91" s="121">
        <v>50.95</v>
      </c>
      <c r="K91" s="121">
        <v>0.1</v>
      </c>
      <c r="L91" s="121">
        <v>0.1</v>
      </c>
      <c r="M91" s="146">
        <v>2</v>
      </c>
      <c r="N91" s="121">
        <v>7.0000000000000001E-3</v>
      </c>
      <c r="O91" s="121">
        <v>0.85</v>
      </c>
      <c r="P91" s="121">
        <v>90</v>
      </c>
      <c r="Q91" s="121">
        <v>0.8</v>
      </c>
      <c r="R91" s="121">
        <v>1.1000000000000001</v>
      </c>
      <c r="S91" s="122">
        <v>660.41</v>
      </c>
      <c r="T91" s="122">
        <v>1.8800000000000001E-2</v>
      </c>
      <c r="U91" s="122">
        <v>3.0000000000000001E-3</v>
      </c>
      <c r="V91" s="122">
        <v>2.7E-2</v>
      </c>
      <c r="W91" s="122">
        <v>0.3</v>
      </c>
      <c r="X91" s="122">
        <v>0.6</v>
      </c>
      <c r="Y91" s="122">
        <v>1481.95</v>
      </c>
      <c r="Z91" s="122">
        <v>1700</v>
      </c>
      <c r="AA91" s="122">
        <v>5</v>
      </c>
      <c r="AB91" s="122">
        <v>0.93</v>
      </c>
      <c r="AC91" s="122">
        <v>0.03</v>
      </c>
      <c r="AD91" s="122">
        <v>0.02</v>
      </c>
      <c r="AE91" s="122">
        <v>1.4999999999999999E-2</v>
      </c>
      <c r="AF91" s="122">
        <v>5.3E-3</v>
      </c>
      <c r="AG91" s="122">
        <v>2E-3</v>
      </c>
      <c r="AH91" s="122">
        <v>1.1999999999999999E-3</v>
      </c>
      <c r="AI91" s="122">
        <v>0.02</v>
      </c>
      <c r="AJ91" s="122">
        <v>0.02</v>
      </c>
      <c r="AK91" s="122">
        <v>0.02</v>
      </c>
      <c r="AL91" s="122">
        <v>1.266</v>
      </c>
      <c r="AM91" s="122">
        <v>0.63300000000000001</v>
      </c>
      <c r="AN91" s="122">
        <v>0.72899999999999998</v>
      </c>
      <c r="AO91" s="12">
        <v>4</v>
      </c>
      <c r="AP91" s="121">
        <v>5.15</v>
      </c>
      <c r="AQ91" s="121">
        <v>15.95</v>
      </c>
      <c r="AR91" s="121">
        <v>8</v>
      </c>
      <c r="AS91" s="121">
        <v>0.5</v>
      </c>
      <c r="AT91" s="121">
        <v>4.75</v>
      </c>
      <c r="AU91" s="121">
        <v>0.4</v>
      </c>
      <c r="AV91" s="121">
        <v>0.2</v>
      </c>
      <c r="AW91" s="121">
        <v>100</v>
      </c>
      <c r="AX91" s="121">
        <v>5.2</v>
      </c>
      <c r="AY91" s="121">
        <v>25.9</v>
      </c>
      <c r="AZ91" s="121">
        <v>0.19</v>
      </c>
      <c r="BA91" s="121">
        <v>1</v>
      </c>
      <c r="BB91" s="121">
        <v>0.01</v>
      </c>
      <c r="BC91" s="121">
        <v>0.1</v>
      </c>
      <c r="BD91" s="121">
        <v>0</v>
      </c>
      <c r="BE91" s="121">
        <v>0</v>
      </c>
      <c r="BF91" s="121">
        <v>0</v>
      </c>
      <c r="BG91" s="12" t="s">
        <v>2136</v>
      </c>
    </row>
    <row r="92" spans="1:59" s="12" customFormat="1" x14ac:dyDescent="0.25">
      <c r="A92" s="12">
        <v>88</v>
      </c>
      <c r="B92" s="12" t="s">
        <v>2163</v>
      </c>
      <c r="C92" s="121">
        <v>30</v>
      </c>
      <c r="D92" s="121">
        <v>1.25</v>
      </c>
      <c r="E92" s="121">
        <v>29</v>
      </c>
      <c r="F92" s="121">
        <v>7</v>
      </c>
      <c r="G92" s="121">
        <v>1.5</v>
      </c>
      <c r="H92" s="121">
        <v>0.6</v>
      </c>
      <c r="I92" s="121">
        <v>15.01</v>
      </c>
      <c r="J92" s="121">
        <v>50.95</v>
      </c>
      <c r="K92" s="121">
        <v>2</v>
      </c>
      <c r="L92" s="121">
        <v>10</v>
      </c>
      <c r="M92" s="146">
        <v>3</v>
      </c>
      <c r="N92" s="121">
        <v>7.0000000000000001E-3</v>
      </c>
      <c r="O92" s="121">
        <v>0.85</v>
      </c>
      <c r="P92" s="121">
        <v>35</v>
      </c>
      <c r="Q92" s="121">
        <v>1.2</v>
      </c>
      <c r="R92" s="121">
        <v>1.5</v>
      </c>
      <c r="S92" s="122">
        <v>660.41</v>
      </c>
      <c r="T92" s="122">
        <v>2.06E-2</v>
      </c>
      <c r="U92" s="122">
        <v>3.2000000000000002E-3</v>
      </c>
      <c r="V92" s="122">
        <v>1.6899999999999998E-2</v>
      </c>
      <c r="W92" s="122">
        <v>0.75</v>
      </c>
      <c r="X92" s="122">
        <v>0.6</v>
      </c>
      <c r="Y92" s="122">
        <v>205.25399999999999</v>
      </c>
      <c r="Z92" s="122">
        <v>500</v>
      </c>
      <c r="AA92" s="122">
        <v>405.72</v>
      </c>
      <c r="AB92" s="122">
        <v>0.91</v>
      </c>
      <c r="AC92" s="122">
        <v>0.04</v>
      </c>
      <c r="AD92" s="122">
        <v>2.1999999999999999E-2</v>
      </c>
      <c r="AE92" s="122">
        <v>0.02</v>
      </c>
      <c r="AF92" s="122">
        <v>4.0000000000000001E-3</v>
      </c>
      <c r="AG92" s="122">
        <v>2E-3</v>
      </c>
      <c r="AH92" s="122">
        <v>1.9E-3</v>
      </c>
      <c r="AI92" s="122">
        <v>0.03</v>
      </c>
      <c r="AJ92" s="122">
        <v>0.03</v>
      </c>
      <c r="AK92" s="122">
        <v>0.03</v>
      </c>
      <c r="AL92" s="122">
        <v>1.266</v>
      </c>
      <c r="AM92" s="122">
        <v>0.63300000000000001</v>
      </c>
      <c r="AN92" s="122">
        <v>0.72899999999999998</v>
      </c>
      <c r="AO92" s="12">
        <v>5</v>
      </c>
      <c r="AP92" s="121">
        <v>5.01</v>
      </c>
      <c r="AQ92" s="121">
        <v>15.95</v>
      </c>
      <c r="AR92" s="121">
        <v>10</v>
      </c>
      <c r="AS92" s="121">
        <v>1</v>
      </c>
      <c r="AT92" s="121">
        <v>4.75</v>
      </c>
      <c r="AU92" s="121">
        <v>0.4</v>
      </c>
      <c r="AV92" s="121">
        <v>0.6</v>
      </c>
      <c r="AW92" s="121">
        <v>100</v>
      </c>
      <c r="AX92" s="121">
        <v>10.199999999999999</v>
      </c>
      <c r="AY92" s="121">
        <v>50.9</v>
      </c>
      <c r="AZ92" s="121">
        <v>0.12</v>
      </c>
      <c r="BA92" s="121">
        <v>1.7</v>
      </c>
      <c r="BB92" s="121">
        <v>0.01</v>
      </c>
      <c r="BC92" s="121">
        <v>0.1</v>
      </c>
      <c r="BD92" s="121">
        <v>0</v>
      </c>
      <c r="BE92" s="121">
        <v>0</v>
      </c>
      <c r="BF92" s="121">
        <v>0</v>
      </c>
      <c r="BG92" s="12" t="s">
        <v>2116</v>
      </c>
    </row>
    <row r="93" spans="1:59" s="12" customFormat="1" x14ac:dyDescent="0.25">
      <c r="A93" s="12">
        <v>90</v>
      </c>
      <c r="B93" s="12" t="s">
        <v>2164</v>
      </c>
      <c r="C93" s="121">
        <v>40</v>
      </c>
      <c r="D93" s="121">
        <v>0.05</v>
      </c>
      <c r="E93" s="121">
        <v>30</v>
      </c>
      <c r="F93" s="121">
        <v>10</v>
      </c>
      <c r="G93" s="121">
        <v>5</v>
      </c>
      <c r="H93" s="121">
        <v>0.99</v>
      </c>
      <c r="I93" s="121">
        <v>5.05</v>
      </c>
      <c r="J93" s="121">
        <v>40.950000000000003</v>
      </c>
      <c r="K93" s="121">
        <v>1</v>
      </c>
      <c r="L93" s="121">
        <v>1</v>
      </c>
      <c r="M93" s="146">
        <v>5</v>
      </c>
      <c r="N93" s="121">
        <v>7.0000000000000001E-3</v>
      </c>
      <c r="O93" s="121">
        <v>0.85</v>
      </c>
      <c r="P93" s="121">
        <v>80</v>
      </c>
      <c r="Q93" s="121">
        <v>7.5</v>
      </c>
      <c r="R93" s="121">
        <v>3.5</v>
      </c>
      <c r="S93" s="122">
        <v>660.41</v>
      </c>
      <c r="T93" s="122">
        <v>1.5E-3</v>
      </c>
      <c r="U93" s="122">
        <v>2.9999999999999997E-4</v>
      </c>
      <c r="V93" s="122">
        <v>2E-3</v>
      </c>
      <c r="W93" s="122">
        <v>0.05</v>
      </c>
      <c r="X93" s="122">
        <v>0.6</v>
      </c>
      <c r="Y93" s="122">
        <v>6.7210000000000001</v>
      </c>
      <c r="Z93" s="122">
        <v>1000</v>
      </c>
      <c r="AA93" s="122">
        <v>5</v>
      </c>
      <c r="AB93" s="122">
        <v>0.01</v>
      </c>
      <c r="AC93" s="122">
        <v>6.0000000000000001E-3</v>
      </c>
      <c r="AD93" s="122">
        <v>2E-3</v>
      </c>
      <c r="AE93" s="122">
        <v>1.5E-3</v>
      </c>
      <c r="AF93" s="122">
        <v>6.9999999999999999E-4</v>
      </c>
      <c r="AG93" s="122">
        <v>4.0000000000000002E-4</v>
      </c>
      <c r="AH93" s="122">
        <v>2.9999999999999997E-4</v>
      </c>
      <c r="AI93" s="122">
        <v>6.0000000000000001E-3</v>
      </c>
      <c r="AJ93" s="122">
        <v>3.0000000000000001E-3</v>
      </c>
      <c r="AK93" s="122">
        <v>2E-3</v>
      </c>
      <c r="AL93" s="122">
        <v>3.39</v>
      </c>
      <c r="AM93" s="122">
        <v>3.39</v>
      </c>
      <c r="AN93" s="122">
        <v>3.39</v>
      </c>
      <c r="AO93" s="12">
        <v>8</v>
      </c>
      <c r="AP93" s="121">
        <v>5.15</v>
      </c>
      <c r="AQ93" s="121">
        <v>15.95</v>
      </c>
      <c r="AR93" s="121">
        <v>8</v>
      </c>
      <c r="AS93" s="121">
        <v>1</v>
      </c>
      <c r="AT93" s="121">
        <v>4.75</v>
      </c>
      <c r="AU93" s="121">
        <v>0.4</v>
      </c>
      <c r="AV93" s="121">
        <v>0.2</v>
      </c>
      <c r="AW93" s="121">
        <v>100</v>
      </c>
      <c r="AX93" s="121">
        <v>68.989999999999995</v>
      </c>
      <c r="AY93" s="121">
        <v>20.350000000000001</v>
      </c>
      <c r="AZ93" s="121">
        <v>0.05</v>
      </c>
      <c r="BA93" s="121">
        <v>1</v>
      </c>
      <c r="BB93" s="121">
        <v>0.01</v>
      </c>
      <c r="BC93" s="121">
        <v>0.1</v>
      </c>
      <c r="BD93" s="121">
        <v>0</v>
      </c>
      <c r="BE93" s="121">
        <v>0.05</v>
      </c>
      <c r="BF93" s="121">
        <v>0</v>
      </c>
      <c r="BG93" s="12" t="s">
        <v>2165</v>
      </c>
    </row>
    <row r="94" spans="1:59" s="12" customFormat="1" x14ac:dyDescent="0.25">
      <c r="A94" s="12">
        <v>91</v>
      </c>
      <c r="B94" s="12" t="s">
        <v>2166</v>
      </c>
      <c r="C94" s="121">
        <v>40</v>
      </c>
      <c r="D94" s="121">
        <v>0.05</v>
      </c>
      <c r="E94" s="121">
        <v>30</v>
      </c>
      <c r="F94" s="121">
        <v>10</v>
      </c>
      <c r="G94" s="121">
        <v>7</v>
      </c>
      <c r="H94" s="121">
        <v>0.99</v>
      </c>
      <c r="I94" s="121">
        <v>2.5</v>
      </c>
      <c r="J94" s="121">
        <v>10.95</v>
      </c>
      <c r="K94" s="121">
        <v>1</v>
      </c>
      <c r="L94" s="121">
        <v>1</v>
      </c>
      <c r="M94" s="146">
        <v>5</v>
      </c>
      <c r="N94" s="121">
        <v>7.0000000000000001E-3</v>
      </c>
      <c r="O94" s="121">
        <v>0.85</v>
      </c>
      <c r="P94" s="121">
        <v>80</v>
      </c>
      <c r="Q94" s="121">
        <v>6</v>
      </c>
      <c r="R94" s="121">
        <v>3.5</v>
      </c>
      <c r="S94" s="122">
        <v>660.34</v>
      </c>
      <c r="T94" s="122">
        <v>1.5E-3</v>
      </c>
      <c r="U94" s="122">
        <v>2.9999999999999997E-4</v>
      </c>
      <c r="V94" s="122">
        <v>2E-3</v>
      </c>
      <c r="W94" s="122">
        <v>0.05</v>
      </c>
      <c r="X94" s="122">
        <v>0.6</v>
      </c>
      <c r="Y94" s="122">
        <v>6.7210000000000001</v>
      </c>
      <c r="Z94" s="122">
        <v>1000</v>
      </c>
      <c r="AA94" s="122">
        <v>5</v>
      </c>
      <c r="AB94" s="122">
        <v>0.01</v>
      </c>
      <c r="AC94" s="122">
        <v>0.02</v>
      </c>
      <c r="AD94" s="122">
        <v>0.01</v>
      </c>
      <c r="AE94" s="122">
        <v>8.0000000000000002E-3</v>
      </c>
      <c r="AF94" s="122">
        <v>6.9999999999999999E-4</v>
      </c>
      <c r="AG94" s="122">
        <v>4.0000000000000002E-4</v>
      </c>
      <c r="AH94" s="122">
        <v>2.9999999999999997E-4</v>
      </c>
      <c r="AI94" s="122">
        <v>6.0000000000000001E-3</v>
      </c>
      <c r="AJ94" s="122">
        <v>3.0000000000000001E-3</v>
      </c>
      <c r="AK94" s="122">
        <v>2E-3</v>
      </c>
      <c r="AL94" s="122">
        <v>3.39</v>
      </c>
      <c r="AM94" s="122">
        <v>3.39</v>
      </c>
      <c r="AN94" s="122">
        <v>3.39</v>
      </c>
      <c r="AO94" s="12">
        <v>8</v>
      </c>
      <c r="AP94" s="121">
        <v>5.15</v>
      </c>
      <c r="AQ94" s="121">
        <v>15.95</v>
      </c>
      <c r="AR94" s="121">
        <v>8</v>
      </c>
      <c r="AS94" s="121">
        <v>1</v>
      </c>
      <c r="AT94" s="121">
        <v>4.75</v>
      </c>
      <c r="AU94" s="121">
        <v>0.4</v>
      </c>
      <c r="AV94" s="121">
        <v>0.2</v>
      </c>
      <c r="AW94" s="121">
        <v>100</v>
      </c>
      <c r="AX94" s="121">
        <v>120.88</v>
      </c>
      <c r="AY94" s="121">
        <v>20.13</v>
      </c>
      <c r="AZ94" s="121">
        <v>0.05</v>
      </c>
      <c r="BA94" s="121">
        <v>1</v>
      </c>
      <c r="BB94" s="121">
        <v>0.01</v>
      </c>
      <c r="BC94" s="121">
        <v>0.1</v>
      </c>
      <c r="BD94" s="121">
        <v>0</v>
      </c>
      <c r="BE94" s="121">
        <v>0.05</v>
      </c>
      <c r="BF94" s="121">
        <v>0</v>
      </c>
      <c r="BG94" s="12" t="s">
        <v>2167</v>
      </c>
    </row>
    <row r="95" spans="1:59" s="12" customFormat="1" x14ac:dyDescent="0.25">
      <c r="A95" s="12">
        <v>92</v>
      </c>
      <c r="B95" s="12" t="s">
        <v>2168</v>
      </c>
      <c r="C95" s="121">
        <v>45</v>
      </c>
      <c r="D95" s="121">
        <v>0.02</v>
      </c>
      <c r="E95" s="121">
        <v>25</v>
      </c>
      <c r="F95" s="121">
        <v>12</v>
      </c>
      <c r="G95" s="121">
        <v>12</v>
      </c>
      <c r="H95" s="121">
        <v>0.4</v>
      </c>
      <c r="I95" s="121">
        <v>8.09</v>
      </c>
      <c r="J95" s="121">
        <v>30.7</v>
      </c>
      <c r="K95" s="121">
        <v>0.2</v>
      </c>
      <c r="L95" s="121">
        <v>10</v>
      </c>
      <c r="M95" s="146">
        <v>2</v>
      </c>
      <c r="N95" s="121">
        <v>7.4000000000000003E-3</v>
      </c>
      <c r="O95" s="121">
        <v>0.85</v>
      </c>
      <c r="P95" s="121">
        <v>80</v>
      </c>
      <c r="Q95" s="121">
        <v>2.5</v>
      </c>
      <c r="R95" s="121">
        <v>2.2000000000000002</v>
      </c>
      <c r="S95" s="122">
        <v>660.52</v>
      </c>
      <c r="T95" s="122">
        <v>1.6E-2</v>
      </c>
      <c r="U95" s="122">
        <v>1.1999999999999999E-3</v>
      </c>
      <c r="V95" s="122">
        <v>6.0000000000000001E-3</v>
      </c>
      <c r="W95" s="122">
        <v>0.01</v>
      </c>
      <c r="X95" s="122">
        <v>0.6</v>
      </c>
      <c r="Y95" s="122">
        <v>2.2050000000000001</v>
      </c>
      <c r="Z95" s="122">
        <v>0</v>
      </c>
      <c r="AA95" s="122">
        <v>0</v>
      </c>
      <c r="AB95" s="122">
        <v>0.1</v>
      </c>
      <c r="AC95" s="122">
        <v>0.03</v>
      </c>
      <c r="AD95" s="122">
        <v>1.4999999999999999E-2</v>
      </c>
      <c r="AE95" s="122">
        <v>8.0000000000000002E-3</v>
      </c>
      <c r="AF95" s="122">
        <v>1.6000000000000001E-3</v>
      </c>
      <c r="AG95" s="122">
        <v>1E-3</v>
      </c>
      <c r="AH95" s="122">
        <v>6.9999999999999999E-4</v>
      </c>
      <c r="AI95" s="122">
        <v>8.2000000000000007E-3</v>
      </c>
      <c r="AJ95" s="122">
        <v>4.7000000000000002E-3</v>
      </c>
      <c r="AK95" s="122">
        <v>3.5000000000000001E-3</v>
      </c>
      <c r="AL95" s="122">
        <v>3.39</v>
      </c>
      <c r="AM95" s="122">
        <v>3.39</v>
      </c>
      <c r="AN95" s="122">
        <v>3.39</v>
      </c>
      <c r="AO95" s="12">
        <v>6</v>
      </c>
      <c r="AP95" s="121">
        <v>5.15</v>
      </c>
      <c r="AQ95" s="121">
        <v>15.95</v>
      </c>
      <c r="AR95" s="121">
        <v>10</v>
      </c>
      <c r="AS95" s="121">
        <v>1</v>
      </c>
      <c r="AT95" s="121">
        <v>4.75</v>
      </c>
      <c r="AU95" s="121">
        <v>0.4</v>
      </c>
      <c r="AV95" s="121">
        <v>0.2</v>
      </c>
      <c r="AW95" s="121">
        <v>100</v>
      </c>
      <c r="AX95" s="121">
        <v>22.5</v>
      </c>
      <c r="AY95" s="121">
        <v>40.71</v>
      </c>
      <c r="AZ95" s="121">
        <v>0</v>
      </c>
      <c r="BA95" s="121">
        <v>0</v>
      </c>
      <c r="BB95" s="121">
        <v>0.01</v>
      </c>
      <c r="BC95" s="121">
        <v>0.1</v>
      </c>
      <c r="BD95" s="121">
        <v>0</v>
      </c>
      <c r="BE95" s="121">
        <v>0</v>
      </c>
      <c r="BF95" s="121">
        <v>0</v>
      </c>
      <c r="BG95" s="12" t="s">
        <v>2169</v>
      </c>
    </row>
    <row r="96" spans="1:59" s="12" customFormat="1" x14ac:dyDescent="0.25">
      <c r="A96" s="12">
        <v>93</v>
      </c>
      <c r="B96" s="12" t="s">
        <v>2170</v>
      </c>
      <c r="C96" s="121">
        <v>25</v>
      </c>
      <c r="D96" s="121">
        <v>0.3</v>
      </c>
      <c r="E96" s="121">
        <v>27</v>
      </c>
      <c r="F96" s="121">
        <v>10</v>
      </c>
      <c r="G96" s="121">
        <v>1.5</v>
      </c>
      <c r="H96" s="121">
        <v>0.9</v>
      </c>
      <c r="I96" s="121">
        <v>10.050000000000001</v>
      </c>
      <c r="J96" s="121">
        <v>80.95</v>
      </c>
      <c r="K96" s="121">
        <v>1</v>
      </c>
      <c r="L96" s="121">
        <v>1</v>
      </c>
      <c r="M96" s="146">
        <v>3</v>
      </c>
      <c r="N96" s="121">
        <v>0.01</v>
      </c>
      <c r="O96" s="121">
        <v>0.85</v>
      </c>
      <c r="P96" s="121">
        <v>35</v>
      </c>
      <c r="Q96" s="121">
        <v>0.6</v>
      </c>
      <c r="R96" s="121">
        <v>1.1000000000000001</v>
      </c>
      <c r="S96" s="122">
        <v>660.34</v>
      </c>
      <c r="T96" s="122">
        <v>3.7499999999999999E-2</v>
      </c>
      <c r="U96" s="122">
        <v>4.7000000000000002E-3</v>
      </c>
      <c r="V96" s="122">
        <v>1.49E-2</v>
      </c>
      <c r="W96" s="122">
        <v>0.15</v>
      </c>
      <c r="X96" s="122">
        <v>0.6</v>
      </c>
      <c r="Y96" s="122">
        <v>2.2050000000000001</v>
      </c>
      <c r="Z96" s="122">
        <v>494</v>
      </c>
      <c r="AA96" s="122">
        <v>0</v>
      </c>
      <c r="AB96" s="122">
        <v>0.11</v>
      </c>
      <c r="AC96" s="122">
        <v>4.4999999999999998E-2</v>
      </c>
      <c r="AD96" s="122">
        <v>0.03</v>
      </c>
      <c r="AE96" s="122">
        <v>2.5000000000000001E-2</v>
      </c>
      <c r="AF96" s="122">
        <v>4.4999999999999997E-3</v>
      </c>
      <c r="AG96" s="122">
        <v>3.0000000000000001E-3</v>
      </c>
      <c r="AH96" s="122">
        <v>2.5000000000000001E-3</v>
      </c>
      <c r="AI96" s="122">
        <v>9.1000000000000004E-3</v>
      </c>
      <c r="AJ96" s="122">
        <v>7.6E-3</v>
      </c>
      <c r="AK96" s="122">
        <v>6.9999999999999999E-4</v>
      </c>
      <c r="AL96" s="122">
        <v>1.266</v>
      </c>
      <c r="AM96" s="122">
        <v>0.63300000000000001</v>
      </c>
      <c r="AN96" s="122">
        <v>0.72899999999999998</v>
      </c>
      <c r="AO96" s="12">
        <v>1</v>
      </c>
      <c r="AP96" s="121">
        <v>5.15</v>
      </c>
      <c r="AQ96" s="121">
        <v>15.95</v>
      </c>
      <c r="AR96" s="121">
        <v>5</v>
      </c>
      <c r="AS96" s="121">
        <v>0.5</v>
      </c>
      <c r="AT96" s="121">
        <v>4.75</v>
      </c>
      <c r="AU96" s="121">
        <v>0.4</v>
      </c>
      <c r="AV96" s="121">
        <v>0.2</v>
      </c>
      <c r="AW96" s="121">
        <v>100</v>
      </c>
      <c r="AX96" s="121">
        <v>30.43</v>
      </c>
      <c r="AY96" s="121">
        <v>50.71</v>
      </c>
      <c r="AZ96" s="121">
        <v>0</v>
      </c>
      <c r="BA96" s="121">
        <v>0</v>
      </c>
      <c r="BB96" s="121">
        <v>0.01</v>
      </c>
      <c r="BC96" s="121">
        <v>0.1</v>
      </c>
      <c r="BD96" s="121">
        <v>0</v>
      </c>
      <c r="BE96" s="121">
        <v>0</v>
      </c>
      <c r="BF96" s="121">
        <v>0</v>
      </c>
      <c r="BG96" s="12" t="s">
        <v>2171</v>
      </c>
    </row>
    <row r="97" spans="1:59" s="12" customFormat="1" x14ac:dyDescent="0.25">
      <c r="A97" s="12">
        <v>94</v>
      </c>
      <c r="B97" s="12" t="s">
        <v>2172</v>
      </c>
      <c r="C97" s="121">
        <v>25</v>
      </c>
      <c r="D97" s="121">
        <v>0.5</v>
      </c>
      <c r="E97" s="121">
        <v>21</v>
      </c>
      <c r="F97" s="121">
        <v>7</v>
      </c>
      <c r="G97" s="121">
        <v>4</v>
      </c>
      <c r="H97" s="121">
        <v>0.7</v>
      </c>
      <c r="I97" s="121">
        <v>15.01</v>
      </c>
      <c r="J97" s="121">
        <v>50.95</v>
      </c>
      <c r="K97" s="121">
        <v>1</v>
      </c>
      <c r="L97" s="121">
        <v>1</v>
      </c>
      <c r="M97" s="146">
        <v>2</v>
      </c>
      <c r="N97" s="121">
        <v>0.01</v>
      </c>
      <c r="O97" s="121">
        <v>0.85</v>
      </c>
      <c r="P97" s="121">
        <v>25</v>
      </c>
      <c r="Q97" s="121">
        <v>0.7</v>
      </c>
      <c r="R97" s="121">
        <v>2</v>
      </c>
      <c r="S97" s="122">
        <v>660.34</v>
      </c>
      <c r="T97" s="122">
        <v>4.7199999999999999E-2</v>
      </c>
      <c r="U97" s="122">
        <v>5.0000000000000001E-3</v>
      </c>
      <c r="V97" s="122">
        <v>1.32E-2</v>
      </c>
      <c r="W97" s="122">
        <v>0.25</v>
      </c>
      <c r="X97" s="122">
        <v>0.6</v>
      </c>
      <c r="Y97" s="122">
        <v>2.2050000000000001</v>
      </c>
      <c r="Z97" s="122">
        <v>0</v>
      </c>
      <c r="AA97" s="122">
        <v>0</v>
      </c>
      <c r="AB97" s="122">
        <v>0.81</v>
      </c>
      <c r="AC97" s="122">
        <v>4.5999999999999999E-2</v>
      </c>
      <c r="AD97" s="122">
        <v>0.03</v>
      </c>
      <c r="AE97" s="122">
        <v>2.3E-2</v>
      </c>
      <c r="AF97" s="122">
        <v>4.7999999999999996E-3</v>
      </c>
      <c r="AG97" s="122">
        <v>3.0000000000000001E-3</v>
      </c>
      <c r="AH97" s="122">
        <v>2.5000000000000001E-3</v>
      </c>
      <c r="AI97" s="122">
        <v>8.0999999999999996E-3</v>
      </c>
      <c r="AJ97" s="122">
        <v>6.7000000000000002E-3</v>
      </c>
      <c r="AK97" s="122">
        <v>6.1000000000000004E-3</v>
      </c>
      <c r="AL97" s="122">
        <v>1.266</v>
      </c>
      <c r="AM97" s="122">
        <v>0.63300000000000001</v>
      </c>
      <c r="AN97" s="122">
        <v>0.72899999999999998</v>
      </c>
      <c r="AO97" s="12">
        <v>1</v>
      </c>
      <c r="AP97" s="121">
        <v>5.15</v>
      </c>
      <c r="AQ97" s="121">
        <v>15.95</v>
      </c>
      <c r="AR97" s="121">
        <v>5</v>
      </c>
      <c r="AS97" s="121">
        <v>0.5</v>
      </c>
      <c r="AT97" s="121">
        <v>4.75</v>
      </c>
      <c r="AU97" s="121">
        <v>0.4</v>
      </c>
      <c r="AV97" s="121">
        <v>0.2</v>
      </c>
      <c r="AW97" s="121">
        <v>100</v>
      </c>
      <c r="AX97" s="121">
        <v>30.43</v>
      </c>
      <c r="AY97" s="121">
        <v>50.71</v>
      </c>
      <c r="AZ97" s="121">
        <v>0</v>
      </c>
      <c r="BA97" s="121">
        <v>0</v>
      </c>
      <c r="BB97" s="121">
        <v>0.01</v>
      </c>
      <c r="BC97" s="121">
        <v>0.1</v>
      </c>
      <c r="BD97" s="121">
        <v>0</v>
      </c>
      <c r="BE97" s="121">
        <v>0</v>
      </c>
      <c r="BF97" s="121">
        <v>0</v>
      </c>
      <c r="BG97" s="12" t="s">
        <v>2173</v>
      </c>
    </row>
    <row r="98" spans="1:59" s="12" customFormat="1" x14ac:dyDescent="0.25">
      <c r="A98" s="12">
        <v>95</v>
      </c>
      <c r="B98" s="12" t="s">
        <v>2174</v>
      </c>
      <c r="C98" s="121">
        <v>12</v>
      </c>
      <c r="D98" s="121">
        <v>0.15</v>
      </c>
      <c r="E98" s="121">
        <v>25</v>
      </c>
      <c r="F98" s="121">
        <v>8</v>
      </c>
      <c r="G98" s="121">
        <v>1.7</v>
      </c>
      <c r="H98" s="121">
        <v>0.35</v>
      </c>
      <c r="I98" s="121">
        <v>5.05</v>
      </c>
      <c r="J98" s="121">
        <v>30.7</v>
      </c>
      <c r="K98" s="121">
        <v>0.1</v>
      </c>
      <c r="L98" s="121">
        <v>10</v>
      </c>
      <c r="M98" s="146">
        <v>4</v>
      </c>
      <c r="N98" s="121">
        <v>7.0000000000000001E-3</v>
      </c>
      <c r="O98" s="121">
        <v>0.85</v>
      </c>
      <c r="P98" s="121">
        <v>5</v>
      </c>
      <c r="Q98" s="121">
        <v>0.8</v>
      </c>
      <c r="R98" s="121">
        <v>2</v>
      </c>
      <c r="S98" s="122">
        <v>660.14</v>
      </c>
      <c r="T98" s="122">
        <v>1.7000000000000001E-2</v>
      </c>
      <c r="U98" s="122">
        <v>1E-3</v>
      </c>
      <c r="V98" s="122">
        <v>6.0000000000000001E-3</v>
      </c>
      <c r="W98" s="122">
        <v>0.08</v>
      </c>
      <c r="X98" s="122">
        <v>0.6</v>
      </c>
      <c r="Y98" s="122">
        <v>2.2050000000000001</v>
      </c>
      <c r="Z98" s="122">
        <v>0</v>
      </c>
      <c r="AA98" s="122">
        <v>0</v>
      </c>
      <c r="AB98" s="122">
        <v>0.11</v>
      </c>
      <c r="AC98" s="122">
        <v>0.03</v>
      </c>
      <c r="AD98" s="122">
        <v>1.6E-2</v>
      </c>
      <c r="AE98" s="122">
        <v>8.0000000000000002E-3</v>
      </c>
      <c r="AF98" s="122">
        <v>1.8E-3</v>
      </c>
      <c r="AG98" s="122">
        <v>1E-3</v>
      </c>
      <c r="AH98" s="122">
        <v>8.0000000000000004E-4</v>
      </c>
      <c r="AI98" s="122">
        <v>8.2000000000000007E-3</v>
      </c>
      <c r="AJ98" s="122">
        <v>4.7000000000000002E-3</v>
      </c>
      <c r="AK98" s="122">
        <v>3.5000000000000001E-3</v>
      </c>
      <c r="AL98" s="122">
        <v>3.39</v>
      </c>
      <c r="AM98" s="122">
        <v>3.39</v>
      </c>
      <c r="AN98" s="122">
        <v>3.39</v>
      </c>
      <c r="AO98" s="12">
        <v>6</v>
      </c>
      <c r="AP98" s="121">
        <v>5.01</v>
      </c>
      <c r="AQ98" s="121">
        <v>15.95</v>
      </c>
      <c r="AR98" s="121">
        <v>8</v>
      </c>
      <c r="AS98" s="121">
        <v>0.5</v>
      </c>
      <c r="AT98" s="121">
        <v>4.75</v>
      </c>
      <c r="AU98" s="121">
        <v>0.4</v>
      </c>
      <c r="AV98" s="121">
        <v>0.2</v>
      </c>
      <c r="AW98" s="121">
        <v>100</v>
      </c>
      <c r="AX98" s="121">
        <v>22.5</v>
      </c>
      <c r="AY98" s="121">
        <v>40.71</v>
      </c>
      <c r="AZ98" s="121">
        <v>0</v>
      </c>
      <c r="BA98" s="121">
        <v>0</v>
      </c>
      <c r="BB98" s="121">
        <v>0.01</v>
      </c>
      <c r="BC98" s="121">
        <v>0.1</v>
      </c>
      <c r="BD98" s="121">
        <v>0</v>
      </c>
      <c r="BE98" s="121">
        <v>0</v>
      </c>
      <c r="BF98" s="121">
        <v>0</v>
      </c>
      <c r="BG98" s="12" t="s">
        <v>2175</v>
      </c>
    </row>
    <row r="99" spans="1:59" s="12" customFormat="1" x14ac:dyDescent="0.25">
      <c r="A99" s="12">
        <v>96</v>
      </c>
      <c r="B99" s="12" t="s">
        <v>2176</v>
      </c>
      <c r="C99" s="121">
        <v>16</v>
      </c>
      <c r="D99" s="121">
        <v>0.15</v>
      </c>
      <c r="E99" s="121">
        <v>20</v>
      </c>
      <c r="F99" s="121">
        <v>8</v>
      </c>
      <c r="G99" s="121">
        <v>7.6</v>
      </c>
      <c r="H99" s="121">
        <v>1</v>
      </c>
      <c r="I99" s="121">
        <v>5.0999999999999996</v>
      </c>
      <c r="J99" s="121">
        <v>25.7</v>
      </c>
      <c r="K99" s="121">
        <v>0.2</v>
      </c>
      <c r="L99" s="121">
        <v>10</v>
      </c>
      <c r="M99" s="146">
        <v>4</v>
      </c>
      <c r="N99" s="121">
        <v>7.0000000000000001E-3</v>
      </c>
      <c r="O99" s="121">
        <v>0.85</v>
      </c>
      <c r="P99" s="121">
        <v>5</v>
      </c>
      <c r="Q99" s="121">
        <v>1</v>
      </c>
      <c r="R99" s="121">
        <v>2</v>
      </c>
      <c r="S99" s="122">
        <v>660.18</v>
      </c>
      <c r="T99" s="122">
        <v>1.7999999999999999E-2</v>
      </c>
      <c r="U99" s="122">
        <v>1E-3</v>
      </c>
      <c r="V99" s="122">
        <v>6.0000000000000001E-3</v>
      </c>
      <c r="W99" s="122">
        <v>0.08</v>
      </c>
      <c r="X99" s="122">
        <v>0.6</v>
      </c>
      <c r="Y99" s="122">
        <v>2.2050000000000001</v>
      </c>
      <c r="Z99" s="122">
        <v>0</v>
      </c>
      <c r="AA99" s="122">
        <v>0</v>
      </c>
      <c r="AB99" s="122">
        <v>0.13</v>
      </c>
      <c r="AC99" s="122">
        <v>0.03</v>
      </c>
      <c r="AD99" s="122">
        <v>1.7000000000000001E-2</v>
      </c>
      <c r="AE99" s="122">
        <v>0.01</v>
      </c>
      <c r="AF99" s="122">
        <v>2.0999999999999999E-3</v>
      </c>
      <c r="AG99" s="122">
        <v>1E-3</v>
      </c>
      <c r="AH99" s="122">
        <v>8.0000000000000004E-4</v>
      </c>
      <c r="AI99" s="122">
        <v>8.2000000000000007E-3</v>
      </c>
      <c r="AJ99" s="122">
        <v>4.7000000000000002E-3</v>
      </c>
      <c r="AK99" s="122">
        <v>3.5000000000000001E-3</v>
      </c>
      <c r="AL99" s="122">
        <v>3.39</v>
      </c>
      <c r="AM99" s="122">
        <v>3.39</v>
      </c>
      <c r="AN99" s="122">
        <v>3.39</v>
      </c>
      <c r="AO99" s="12">
        <v>6</v>
      </c>
      <c r="AP99" s="121">
        <v>1.9</v>
      </c>
      <c r="AQ99" s="121">
        <v>3.99</v>
      </c>
      <c r="AR99" s="121">
        <v>8</v>
      </c>
      <c r="AS99" s="121">
        <v>0.5</v>
      </c>
      <c r="AT99" s="121">
        <v>4.75</v>
      </c>
      <c r="AU99" s="121">
        <v>0.4</v>
      </c>
      <c r="AV99" s="121">
        <v>0.2</v>
      </c>
      <c r="AW99" s="121">
        <v>100</v>
      </c>
      <c r="AX99" s="121">
        <v>22.5</v>
      </c>
      <c r="AY99" s="121">
        <v>40.71</v>
      </c>
      <c r="AZ99" s="121">
        <v>0</v>
      </c>
      <c r="BA99" s="121">
        <v>0</v>
      </c>
      <c r="BB99" s="121">
        <v>0.01</v>
      </c>
      <c r="BC99" s="121">
        <v>0.1</v>
      </c>
      <c r="BD99" s="121">
        <v>0</v>
      </c>
      <c r="BE99" s="121">
        <v>0</v>
      </c>
      <c r="BF99" s="121">
        <v>0</v>
      </c>
      <c r="BG99" s="12" t="s">
        <v>2177</v>
      </c>
    </row>
    <row r="100" spans="1:59" s="12" customFormat="1" x14ac:dyDescent="0.25">
      <c r="A100" s="12">
        <v>97</v>
      </c>
      <c r="B100" s="12" t="s">
        <v>2178</v>
      </c>
      <c r="C100" s="121">
        <v>22</v>
      </c>
      <c r="D100" s="121">
        <v>0.15</v>
      </c>
      <c r="E100" s="121">
        <v>25</v>
      </c>
      <c r="F100" s="121">
        <v>8</v>
      </c>
      <c r="G100" s="121">
        <v>4.8</v>
      </c>
      <c r="H100" s="121">
        <v>0.4</v>
      </c>
      <c r="I100" s="121">
        <v>5.18</v>
      </c>
      <c r="J100" s="121">
        <v>25.9</v>
      </c>
      <c r="K100" s="121">
        <v>0.2</v>
      </c>
      <c r="L100" s="121">
        <v>10</v>
      </c>
      <c r="M100" s="146">
        <v>4</v>
      </c>
      <c r="N100" s="121">
        <v>7.0000000000000001E-3</v>
      </c>
      <c r="O100" s="121">
        <v>0.85</v>
      </c>
      <c r="P100" s="121">
        <v>5</v>
      </c>
      <c r="Q100" s="121">
        <v>0.8</v>
      </c>
      <c r="R100" s="121">
        <v>2</v>
      </c>
      <c r="S100" s="122">
        <v>660.25</v>
      </c>
      <c r="T100" s="122">
        <v>1.4999999999999999E-2</v>
      </c>
      <c r="U100" s="122">
        <v>1E-3</v>
      </c>
      <c r="V100" s="122">
        <v>6.0000000000000001E-3</v>
      </c>
      <c r="W100" s="122">
        <v>0.08</v>
      </c>
      <c r="X100" s="122">
        <v>0.6</v>
      </c>
      <c r="Y100" s="122">
        <v>2.2050000000000001</v>
      </c>
      <c r="Z100" s="122">
        <v>0</v>
      </c>
      <c r="AA100" s="122">
        <v>0</v>
      </c>
      <c r="AB100" s="122">
        <v>0.12</v>
      </c>
      <c r="AC100" s="122">
        <v>0.03</v>
      </c>
      <c r="AD100" s="122">
        <v>1.4999999999999999E-2</v>
      </c>
      <c r="AE100" s="122">
        <v>8.5000000000000006E-3</v>
      </c>
      <c r="AF100" s="122">
        <v>1.8E-3</v>
      </c>
      <c r="AG100" s="122">
        <v>1E-3</v>
      </c>
      <c r="AH100" s="122">
        <v>8.0000000000000004E-4</v>
      </c>
      <c r="AI100" s="122">
        <v>8.2000000000000007E-3</v>
      </c>
      <c r="AJ100" s="122">
        <v>4.7000000000000002E-3</v>
      </c>
      <c r="AK100" s="122">
        <v>3.5000000000000001E-3</v>
      </c>
      <c r="AL100" s="122">
        <v>3.39</v>
      </c>
      <c r="AM100" s="122">
        <v>3.39</v>
      </c>
      <c r="AN100" s="122">
        <v>3.39</v>
      </c>
      <c r="AO100" s="12">
        <v>6</v>
      </c>
      <c r="AP100" s="121">
        <v>5.01</v>
      </c>
      <c r="AQ100" s="121">
        <v>15.95</v>
      </c>
      <c r="AR100" s="121">
        <v>8</v>
      </c>
      <c r="AS100" s="121">
        <v>0.5</v>
      </c>
      <c r="AT100" s="121">
        <v>4.75</v>
      </c>
      <c r="AU100" s="121">
        <v>0.4</v>
      </c>
      <c r="AV100" s="121">
        <v>0.2</v>
      </c>
      <c r="AW100" s="121">
        <v>100</v>
      </c>
      <c r="AX100" s="121">
        <v>22.5</v>
      </c>
      <c r="AY100" s="121">
        <v>40.71</v>
      </c>
      <c r="AZ100" s="121">
        <v>0</v>
      </c>
      <c r="BA100" s="121">
        <v>0</v>
      </c>
      <c r="BB100" s="121">
        <v>0.01</v>
      </c>
      <c r="BC100" s="121">
        <v>0.1</v>
      </c>
      <c r="BD100" s="121">
        <v>0</v>
      </c>
      <c r="BE100" s="121">
        <v>0</v>
      </c>
      <c r="BF100" s="121">
        <v>0</v>
      </c>
      <c r="BG100" s="12" t="s">
        <v>2179</v>
      </c>
    </row>
    <row r="101" spans="1:59" s="12" customFormat="1" x14ac:dyDescent="0.25">
      <c r="A101" s="12">
        <v>98</v>
      </c>
      <c r="B101" s="12" t="s">
        <v>2180</v>
      </c>
      <c r="C101" s="121">
        <v>35</v>
      </c>
      <c r="D101" s="121">
        <v>0.15</v>
      </c>
      <c r="E101" s="121">
        <v>30</v>
      </c>
      <c r="F101" s="121">
        <v>11</v>
      </c>
      <c r="G101" s="121">
        <v>5</v>
      </c>
      <c r="H101" s="121">
        <v>0.5</v>
      </c>
      <c r="I101" s="121">
        <v>15.05</v>
      </c>
      <c r="J101" s="121">
        <v>57.95</v>
      </c>
      <c r="K101" s="121">
        <v>1</v>
      </c>
      <c r="L101" s="121">
        <v>1</v>
      </c>
      <c r="M101" s="146">
        <v>3</v>
      </c>
      <c r="N101" s="121">
        <v>7.0000000000000001E-3</v>
      </c>
      <c r="O101" s="121">
        <v>0.85</v>
      </c>
      <c r="P101" s="121">
        <v>20</v>
      </c>
      <c r="Q101" s="121">
        <v>1</v>
      </c>
      <c r="R101" s="121">
        <v>2</v>
      </c>
      <c r="S101" s="122">
        <v>660.4</v>
      </c>
      <c r="T101" s="122">
        <v>1.4999999999999999E-2</v>
      </c>
      <c r="U101" s="122">
        <v>2.8E-3</v>
      </c>
      <c r="V101" s="122">
        <v>0.01</v>
      </c>
      <c r="W101" s="122">
        <v>0.08</v>
      </c>
      <c r="X101" s="122">
        <v>0.6</v>
      </c>
      <c r="Y101" s="122">
        <v>2.2050000000000001</v>
      </c>
      <c r="Z101" s="122">
        <v>0</v>
      </c>
      <c r="AA101" s="122">
        <v>0</v>
      </c>
      <c r="AB101" s="122">
        <v>0.14000000000000001</v>
      </c>
      <c r="AC101" s="122">
        <v>0.3</v>
      </c>
      <c r="AD101" s="122">
        <v>1.6400000000000001E-2</v>
      </c>
      <c r="AE101" s="122">
        <v>1.2800000000000001E-2</v>
      </c>
      <c r="AF101" s="122">
        <v>6.0000000000000001E-3</v>
      </c>
      <c r="AG101" s="122">
        <v>2.8E-3</v>
      </c>
      <c r="AH101" s="122">
        <v>1E-3</v>
      </c>
      <c r="AI101" s="122">
        <v>0</v>
      </c>
      <c r="AJ101" s="122">
        <v>0</v>
      </c>
      <c r="AK101" s="122">
        <v>0</v>
      </c>
      <c r="AL101" s="122">
        <v>3.39</v>
      </c>
      <c r="AM101" s="122">
        <v>3.39</v>
      </c>
      <c r="AN101" s="122">
        <v>1.61</v>
      </c>
      <c r="AO101" s="12">
        <v>4</v>
      </c>
      <c r="AP101" s="121">
        <v>5.15</v>
      </c>
      <c r="AQ101" s="121">
        <v>15.95</v>
      </c>
      <c r="AR101" s="121">
        <v>8</v>
      </c>
      <c r="AS101" s="121">
        <v>0.5</v>
      </c>
      <c r="AT101" s="121">
        <v>4.75</v>
      </c>
      <c r="AU101" s="121">
        <v>0.4</v>
      </c>
      <c r="AV101" s="121">
        <v>0.2</v>
      </c>
      <c r="AW101" s="121">
        <v>100</v>
      </c>
      <c r="AX101" s="121">
        <v>1.1000000000000001</v>
      </c>
      <c r="AY101" s="121">
        <v>10.95</v>
      </c>
      <c r="AZ101" s="121">
        <v>0</v>
      </c>
      <c r="BA101" s="121">
        <v>0</v>
      </c>
      <c r="BB101" s="121">
        <v>0.01</v>
      </c>
      <c r="BC101" s="121">
        <v>0.1</v>
      </c>
      <c r="BD101" s="121">
        <v>0</v>
      </c>
      <c r="BE101" s="121">
        <v>0</v>
      </c>
      <c r="BF101" s="121">
        <v>0</v>
      </c>
      <c r="BG101" s="12" t="s">
        <v>2181</v>
      </c>
    </row>
    <row r="102" spans="1:59" s="12" customFormat="1" x14ac:dyDescent="0.25">
      <c r="A102" s="12">
        <v>99</v>
      </c>
      <c r="B102" s="12" t="s">
        <v>2182</v>
      </c>
      <c r="C102" s="121">
        <v>37</v>
      </c>
      <c r="D102" s="121">
        <v>0.1</v>
      </c>
      <c r="E102" s="121">
        <v>25</v>
      </c>
      <c r="F102" s="121">
        <v>10</v>
      </c>
      <c r="G102" s="121">
        <v>5</v>
      </c>
      <c r="H102" s="121">
        <v>0.6</v>
      </c>
      <c r="I102" s="121">
        <v>15.05</v>
      </c>
      <c r="J102" s="121">
        <v>54.95</v>
      </c>
      <c r="K102" s="121">
        <v>2</v>
      </c>
      <c r="L102" s="121">
        <v>1</v>
      </c>
      <c r="M102" s="146">
        <v>3</v>
      </c>
      <c r="N102" s="121">
        <v>7.0000000000000001E-3</v>
      </c>
      <c r="O102" s="121">
        <v>0.85</v>
      </c>
      <c r="P102" s="121">
        <v>35</v>
      </c>
      <c r="Q102" s="121">
        <v>1</v>
      </c>
      <c r="R102" s="121">
        <v>2</v>
      </c>
      <c r="S102" s="122">
        <v>660.5</v>
      </c>
      <c r="T102" s="122">
        <v>1.4999999999999999E-2</v>
      </c>
      <c r="U102" s="122">
        <v>9.1000000000000004E-3</v>
      </c>
      <c r="V102" s="122">
        <v>0.01</v>
      </c>
      <c r="W102" s="122">
        <v>0.05</v>
      </c>
      <c r="X102" s="122">
        <v>0.6</v>
      </c>
      <c r="Y102" s="122">
        <v>2.2050000000000001</v>
      </c>
      <c r="Z102" s="122">
        <v>0</v>
      </c>
      <c r="AA102" s="122">
        <v>0</v>
      </c>
      <c r="AB102" s="122">
        <v>0.13</v>
      </c>
      <c r="AC102" s="122">
        <v>0.03</v>
      </c>
      <c r="AD102" s="122">
        <v>2.6499999999999999E-2</v>
      </c>
      <c r="AE102" s="122">
        <v>2.58E-2</v>
      </c>
      <c r="AF102" s="122">
        <v>7.4000000000000003E-3</v>
      </c>
      <c r="AG102" s="122">
        <v>3.7000000000000002E-3</v>
      </c>
      <c r="AH102" s="122">
        <v>3.5000000000000001E-3</v>
      </c>
      <c r="AI102" s="122">
        <v>2.3E-2</v>
      </c>
      <c r="AJ102" s="122">
        <v>1.09E-2</v>
      </c>
      <c r="AK102" s="122">
        <v>8.8999999999999999E-3</v>
      </c>
      <c r="AL102" s="122">
        <v>3.39</v>
      </c>
      <c r="AM102" s="122">
        <v>3.39</v>
      </c>
      <c r="AN102" s="122">
        <v>1.61</v>
      </c>
      <c r="AO102" s="12">
        <v>4</v>
      </c>
      <c r="AP102" s="121">
        <v>5.15</v>
      </c>
      <c r="AQ102" s="121">
        <v>15.95</v>
      </c>
      <c r="AR102" s="121">
        <v>8</v>
      </c>
      <c r="AS102" s="121">
        <v>0.5</v>
      </c>
      <c r="AT102" s="121">
        <v>4.75</v>
      </c>
      <c r="AU102" s="121">
        <v>0.4</v>
      </c>
      <c r="AV102" s="121">
        <v>0.2</v>
      </c>
      <c r="AW102" s="121">
        <v>100</v>
      </c>
      <c r="AX102" s="121">
        <v>30.3</v>
      </c>
      <c r="AY102" s="121">
        <v>70.75</v>
      </c>
      <c r="AZ102" s="121">
        <v>0</v>
      </c>
      <c r="BA102" s="121">
        <v>0</v>
      </c>
      <c r="BB102" s="121">
        <v>0.01</v>
      </c>
      <c r="BC102" s="121">
        <v>0.1</v>
      </c>
      <c r="BD102" s="121">
        <v>0</v>
      </c>
      <c r="BE102" s="121">
        <v>0</v>
      </c>
      <c r="BF102" s="121">
        <v>0</v>
      </c>
      <c r="BG102" s="12" t="s">
        <v>2183</v>
      </c>
    </row>
    <row r="103" spans="1:59" s="12" customFormat="1" x14ac:dyDescent="0.25">
      <c r="A103" s="12">
        <v>100</v>
      </c>
      <c r="B103" s="12" t="s">
        <v>2184</v>
      </c>
      <c r="C103" s="121">
        <v>33</v>
      </c>
      <c r="D103" s="121">
        <v>0.4</v>
      </c>
      <c r="E103" s="121">
        <v>25</v>
      </c>
      <c r="F103" s="121">
        <v>10</v>
      </c>
      <c r="G103" s="121">
        <v>2.5</v>
      </c>
      <c r="H103" s="121">
        <v>0.6</v>
      </c>
      <c r="I103" s="121">
        <v>15.05</v>
      </c>
      <c r="J103" s="121">
        <v>50.95</v>
      </c>
      <c r="K103" s="121">
        <v>0.5</v>
      </c>
      <c r="L103" s="121">
        <v>1</v>
      </c>
      <c r="M103" s="146">
        <v>3</v>
      </c>
      <c r="N103" s="121">
        <v>7.0000000000000001E-3</v>
      </c>
      <c r="O103" s="121">
        <v>0.85</v>
      </c>
      <c r="P103" s="121">
        <v>35</v>
      </c>
      <c r="Q103" s="121">
        <v>1</v>
      </c>
      <c r="R103" s="121">
        <v>2</v>
      </c>
      <c r="S103" s="122">
        <v>660.45</v>
      </c>
      <c r="T103" s="122">
        <v>6.5000000000000002E-2</v>
      </c>
      <c r="U103" s="122">
        <v>9.1000000000000004E-3</v>
      </c>
      <c r="V103" s="122">
        <v>0</v>
      </c>
      <c r="W103" s="122">
        <v>0.2</v>
      </c>
      <c r="X103" s="122">
        <v>0.6</v>
      </c>
      <c r="Y103" s="122">
        <v>2.2050000000000001</v>
      </c>
      <c r="Z103" s="122">
        <v>0</v>
      </c>
      <c r="AA103" s="122">
        <v>0</v>
      </c>
      <c r="AB103" s="122">
        <v>0.1</v>
      </c>
      <c r="AC103" s="122">
        <v>0.03</v>
      </c>
      <c r="AD103" s="122">
        <v>2.6499999999999999E-2</v>
      </c>
      <c r="AE103" s="122">
        <v>2.58E-2</v>
      </c>
      <c r="AF103" s="122">
        <v>7.4000000000000003E-3</v>
      </c>
      <c r="AG103" s="122">
        <v>3.7000000000000002E-3</v>
      </c>
      <c r="AH103" s="122">
        <v>3.5000000000000001E-3</v>
      </c>
      <c r="AI103" s="122">
        <v>0</v>
      </c>
      <c r="AJ103" s="122">
        <v>0</v>
      </c>
      <c r="AK103" s="122">
        <v>0</v>
      </c>
      <c r="AL103" s="122">
        <v>1.266</v>
      </c>
      <c r="AM103" s="122">
        <v>0.63300000000000001</v>
      </c>
      <c r="AN103" s="122">
        <v>0.72899999999999998</v>
      </c>
      <c r="AO103" s="12">
        <v>4</v>
      </c>
      <c r="AP103" s="121">
        <v>5.15</v>
      </c>
      <c r="AQ103" s="121">
        <v>15.95</v>
      </c>
      <c r="AR103" s="121">
        <v>8</v>
      </c>
      <c r="AS103" s="121">
        <v>0.5</v>
      </c>
      <c r="AT103" s="121">
        <v>4.75</v>
      </c>
      <c r="AU103" s="121">
        <v>0.4</v>
      </c>
      <c r="AV103" s="121">
        <v>0.2</v>
      </c>
      <c r="AW103" s="121">
        <v>100</v>
      </c>
      <c r="AX103" s="121">
        <v>1.6</v>
      </c>
      <c r="AY103" s="121">
        <v>3.95</v>
      </c>
      <c r="AZ103" s="121">
        <v>0</v>
      </c>
      <c r="BA103" s="121">
        <v>0</v>
      </c>
      <c r="BB103" s="121">
        <v>0.01</v>
      </c>
      <c r="BC103" s="121">
        <v>0.1</v>
      </c>
      <c r="BD103" s="121">
        <v>0</v>
      </c>
      <c r="BE103" s="121">
        <v>0</v>
      </c>
      <c r="BF103" s="121">
        <v>0</v>
      </c>
      <c r="BG103" s="12" t="s">
        <v>2185</v>
      </c>
    </row>
    <row r="104" spans="1:59" s="12" customFormat="1" x14ac:dyDescent="0.25">
      <c r="A104" s="12">
        <v>101</v>
      </c>
      <c r="B104" s="12" t="s">
        <v>2186</v>
      </c>
      <c r="C104" s="121">
        <v>27</v>
      </c>
      <c r="D104" s="121">
        <v>0.02</v>
      </c>
      <c r="E104" s="121">
        <v>25</v>
      </c>
      <c r="F104" s="121">
        <v>4</v>
      </c>
      <c r="G104" s="121">
        <v>3.8</v>
      </c>
      <c r="H104" s="121">
        <v>0.9</v>
      </c>
      <c r="I104" s="121">
        <v>15.05</v>
      </c>
      <c r="J104" s="121">
        <v>50.95</v>
      </c>
      <c r="K104" s="121">
        <v>1</v>
      </c>
      <c r="L104" s="121">
        <v>1</v>
      </c>
      <c r="M104" s="146">
        <v>3</v>
      </c>
      <c r="N104" s="121">
        <v>7.0000000000000001E-3</v>
      </c>
      <c r="O104" s="121">
        <v>0.85</v>
      </c>
      <c r="P104" s="121">
        <v>35</v>
      </c>
      <c r="Q104" s="121">
        <v>1.25</v>
      </c>
      <c r="R104" s="121">
        <v>1</v>
      </c>
      <c r="S104" s="122">
        <v>660.36</v>
      </c>
      <c r="T104" s="122">
        <v>6.5000000000000002E-2</v>
      </c>
      <c r="U104" s="122">
        <v>9.1000000000000004E-3</v>
      </c>
      <c r="V104" s="122">
        <v>0</v>
      </c>
      <c r="W104" s="122">
        <v>0.01</v>
      </c>
      <c r="X104" s="122">
        <v>0.6</v>
      </c>
      <c r="Y104" s="122">
        <v>2.2050000000000001</v>
      </c>
      <c r="Z104" s="122">
        <v>0</v>
      </c>
      <c r="AA104" s="122">
        <v>0</v>
      </c>
      <c r="AB104" s="122">
        <v>0.13</v>
      </c>
      <c r="AC104" s="122">
        <v>0.03</v>
      </c>
      <c r="AD104" s="122">
        <v>2.6499999999999999E-2</v>
      </c>
      <c r="AE104" s="122">
        <v>2.58E-2</v>
      </c>
      <c r="AF104" s="122">
        <v>7.4000000000000003E-3</v>
      </c>
      <c r="AG104" s="122">
        <v>3.7000000000000002E-3</v>
      </c>
      <c r="AH104" s="122">
        <v>3.5000000000000001E-3</v>
      </c>
      <c r="AI104" s="122">
        <v>0</v>
      </c>
      <c r="AJ104" s="122">
        <v>0</v>
      </c>
      <c r="AK104" s="122">
        <v>0</v>
      </c>
      <c r="AL104" s="122">
        <v>1.266</v>
      </c>
      <c r="AM104" s="122">
        <v>0.63300000000000001</v>
      </c>
      <c r="AN104" s="122">
        <v>0.72899999999999998</v>
      </c>
      <c r="AO104" s="12">
        <v>4</v>
      </c>
      <c r="AP104" s="121">
        <v>5.15</v>
      </c>
      <c r="AQ104" s="121">
        <v>15.95</v>
      </c>
      <c r="AR104" s="121">
        <v>8</v>
      </c>
      <c r="AS104" s="121">
        <v>0.5</v>
      </c>
      <c r="AT104" s="121">
        <v>4.75</v>
      </c>
      <c r="AU104" s="121">
        <v>0.4</v>
      </c>
      <c r="AV104" s="121">
        <v>0.2</v>
      </c>
      <c r="AW104" s="121">
        <v>100</v>
      </c>
      <c r="AX104" s="121">
        <v>2.2200000000000002</v>
      </c>
      <c r="AY104" s="121">
        <v>5.56</v>
      </c>
      <c r="AZ104" s="121">
        <v>0</v>
      </c>
      <c r="BA104" s="121">
        <v>0</v>
      </c>
      <c r="BB104" s="121">
        <v>0.01</v>
      </c>
      <c r="BC104" s="121">
        <v>0.1</v>
      </c>
      <c r="BD104" s="121">
        <v>0</v>
      </c>
      <c r="BE104" s="121">
        <v>0</v>
      </c>
      <c r="BF104" s="121">
        <v>0</v>
      </c>
      <c r="BG104" s="12" t="s">
        <v>2187</v>
      </c>
    </row>
    <row r="105" spans="1:59" s="12" customFormat="1" x14ac:dyDescent="0.25">
      <c r="A105" s="12">
        <v>102</v>
      </c>
      <c r="B105" s="12" t="s">
        <v>2188</v>
      </c>
      <c r="C105" s="121">
        <v>37</v>
      </c>
      <c r="D105" s="121">
        <v>0.15</v>
      </c>
      <c r="E105" s="121">
        <v>25</v>
      </c>
      <c r="F105" s="121">
        <v>10</v>
      </c>
      <c r="G105" s="121">
        <v>3.5</v>
      </c>
      <c r="H105" s="121">
        <v>0.6</v>
      </c>
      <c r="I105" s="121">
        <v>15.05</v>
      </c>
      <c r="J105" s="121">
        <v>54.95</v>
      </c>
      <c r="K105" s="121">
        <v>1</v>
      </c>
      <c r="L105" s="121">
        <v>1</v>
      </c>
      <c r="M105" s="146">
        <v>3</v>
      </c>
      <c r="N105" s="121">
        <v>7.0000000000000001E-3</v>
      </c>
      <c r="O105" s="121">
        <v>0.85</v>
      </c>
      <c r="P105" s="121">
        <v>35</v>
      </c>
      <c r="Q105" s="121">
        <v>0.7</v>
      </c>
      <c r="R105" s="121">
        <v>2</v>
      </c>
      <c r="S105" s="122">
        <v>660.5</v>
      </c>
      <c r="T105" s="122">
        <v>1.4999999999999999E-2</v>
      </c>
      <c r="U105" s="122">
        <v>9.1000000000000004E-3</v>
      </c>
      <c r="V105" s="122">
        <v>0.01</v>
      </c>
      <c r="W105" s="122">
        <v>0.08</v>
      </c>
      <c r="X105" s="122">
        <v>0.6</v>
      </c>
      <c r="Y105" s="122">
        <v>2.2050000000000001</v>
      </c>
      <c r="Z105" s="122">
        <v>0</v>
      </c>
      <c r="AA105" s="122">
        <v>0</v>
      </c>
      <c r="AB105" s="122">
        <v>0.13</v>
      </c>
      <c r="AC105" s="122">
        <v>0.03</v>
      </c>
      <c r="AD105" s="122">
        <v>2.6499999999999999E-2</v>
      </c>
      <c r="AE105" s="122">
        <v>2.58E-2</v>
      </c>
      <c r="AF105" s="122">
        <v>7.4000000000000003E-3</v>
      </c>
      <c r="AG105" s="122">
        <v>3.7000000000000002E-3</v>
      </c>
      <c r="AH105" s="122">
        <v>3.5000000000000001E-3</v>
      </c>
      <c r="AI105" s="122">
        <v>2.3E-2</v>
      </c>
      <c r="AJ105" s="122">
        <v>1.09E-2</v>
      </c>
      <c r="AK105" s="122">
        <v>8.8999999999999999E-3</v>
      </c>
      <c r="AL105" s="122">
        <v>3.39</v>
      </c>
      <c r="AM105" s="122">
        <v>3.39</v>
      </c>
      <c r="AN105" s="122">
        <v>1.61</v>
      </c>
      <c r="AO105" s="12">
        <v>4</v>
      </c>
      <c r="AP105" s="121">
        <v>5.15</v>
      </c>
      <c r="AQ105" s="121">
        <v>15.95</v>
      </c>
      <c r="AR105" s="121">
        <v>8</v>
      </c>
      <c r="AS105" s="121">
        <v>0.5</v>
      </c>
      <c r="AT105" s="121">
        <v>4.75</v>
      </c>
      <c r="AU105" s="121">
        <v>0.4</v>
      </c>
      <c r="AV105" s="121">
        <v>0.2</v>
      </c>
      <c r="AW105" s="121">
        <v>100</v>
      </c>
      <c r="AX105" s="121">
        <v>30.3</v>
      </c>
      <c r="AY105" s="121">
        <v>70.75</v>
      </c>
      <c r="AZ105" s="121">
        <v>0</v>
      </c>
      <c r="BA105" s="121">
        <v>0</v>
      </c>
      <c r="BB105" s="121">
        <v>0.01</v>
      </c>
      <c r="BC105" s="121">
        <v>0.1</v>
      </c>
      <c r="BD105" s="121">
        <v>0</v>
      </c>
      <c r="BE105" s="121">
        <v>0</v>
      </c>
      <c r="BF105" s="121">
        <v>0</v>
      </c>
      <c r="BG105" s="12" t="s">
        <v>2189</v>
      </c>
    </row>
    <row r="106" spans="1:59" s="12" customFormat="1" x14ac:dyDescent="0.25">
      <c r="A106" s="12">
        <v>103</v>
      </c>
      <c r="B106" s="12" t="s">
        <v>2190</v>
      </c>
      <c r="C106" s="121">
        <v>35</v>
      </c>
      <c r="D106" s="121">
        <v>0.1</v>
      </c>
      <c r="E106" s="121">
        <v>25</v>
      </c>
      <c r="F106" s="121">
        <v>6</v>
      </c>
      <c r="G106" s="121">
        <v>3</v>
      </c>
      <c r="H106" s="121">
        <v>0.85</v>
      </c>
      <c r="I106" s="121">
        <v>15.05</v>
      </c>
      <c r="J106" s="121">
        <v>54.95</v>
      </c>
      <c r="K106" s="121">
        <v>2</v>
      </c>
      <c r="L106" s="121">
        <v>1</v>
      </c>
      <c r="M106" s="146">
        <v>4</v>
      </c>
      <c r="N106" s="121">
        <v>7.0000000000000001E-3</v>
      </c>
      <c r="O106" s="121">
        <v>0.85</v>
      </c>
      <c r="P106" s="121">
        <v>5</v>
      </c>
      <c r="Q106" s="121">
        <v>0.8</v>
      </c>
      <c r="R106" s="121">
        <v>1.3</v>
      </c>
      <c r="S106" s="122">
        <v>660.47</v>
      </c>
      <c r="T106" s="122">
        <v>2.3E-2</v>
      </c>
      <c r="U106" s="122">
        <v>3.3E-3</v>
      </c>
      <c r="V106" s="122">
        <v>0</v>
      </c>
      <c r="W106" s="122">
        <v>0.05</v>
      </c>
      <c r="X106" s="122">
        <v>0.6</v>
      </c>
      <c r="Y106" s="122">
        <v>2.2050000000000001</v>
      </c>
      <c r="Z106" s="122">
        <v>0</v>
      </c>
      <c r="AA106" s="122">
        <v>0</v>
      </c>
      <c r="AB106" s="122">
        <v>0.13</v>
      </c>
      <c r="AC106" s="122">
        <v>0.03</v>
      </c>
      <c r="AD106" s="122">
        <v>2.6499999999999999E-2</v>
      </c>
      <c r="AE106" s="122">
        <v>2.58E-2</v>
      </c>
      <c r="AF106" s="122">
        <v>7.4000000000000003E-3</v>
      </c>
      <c r="AG106" s="122">
        <v>3.7000000000000002E-3</v>
      </c>
      <c r="AH106" s="122">
        <v>3.5000000000000001E-3</v>
      </c>
      <c r="AI106" s="122">
        <v>0</v>
      </c>
      <c r="AJ106" s="122">
        <v>0</v>
      </c>
      <c r="AK106" s="122">
        <v>0</v>
      </c>
      <c r="AL106" s="122">
        <v>3.39</v>
      </c>
      <c r="AM106" s="122">
        <v>3.39</v>
      </c>
      <c r="AN106" s="122">
        <v>1.61</v>
      </c>
      <c r="AO106" s="12">
        <v>6</v>
      </c>
      <c r="AP106" s="121">
        <v>5.15</v>
      </c>
      <c r="AQ106" s="121">
        <v>15.95</v>
      </c>
      <c r="AR106" s="121">
        <v>8</v>
      </c>
      <c r="AS106" s="121">
        <v>0.5</v>
      </c>
      <c r="AT106" s="121">
        <v>4.75</v>
      </c>
      <c r="AU106" s="121">
        <v>0.4</v>
      </c>
      <c r="AV106" s="121">
        <v>0.2</v>
      </c>
      <c r="AW106" s="121">
        <v>100</v>
      </c>
      <c r="AX106" s="121">
        <v>30.3</v>
      </c>
      <c r="AY106" s="121">
        <v>70.75</v>
      </c>
      <c r="AZ106" s="121">
        <v>0</v>
      </c>
      <c r="BA106" s="121">
        <v>0</v>
      </c>
      <c r="BB106" s="121">
        <v>0.01</v>
      </c>
      <c r="BC106" s="121">
        <v>0.1</v>
      </c>
      <c r="BD106" s="121">
        <v>0</v>
      </c>
      <c r="BE106" s="121">
        <v>0</v>
      </c>
      <c r="BF106" s="121">
        <v>0</v>
      </c>
      <c r="BG106" s="12" t="s">
        <v>2191</v>
      </c>
    </row>
    <row r="107" spans="1:59" s="12" customFormat="1" x14ac:dyDescent="0.25">
      <c r="A107" s="12">
        <v>104</v>
      </c>
      <c r="B107" s="12" t="s">
        <v>2192</v>
      </c>
      <c r="C107" s="121">
        <v>25</v>
      </c>
      <c r="D107" s="121">
        <v>0.15</v>
      </c>
      <c r="E107" s="121">
        <v>25</v>
      </c>
      <c r="F107" s="121">
        <v>12</v>
      </c>
      <c r="G107" s="121">
        <v>3</v>
      </c>
      <c r="H107" s="121">
        <v>0.35</v>
      </c>
      <c r="I107" s="121">
        <v>5.0999999999999996</v>
      </c>
      <c r="J107" s="121">
        <v>25.7</v>
      </c>
      <c r="K107" s="121">
        <v>0.5</v>
      </c>
      <c r="L107" s="121">
        <v>10</v>
      </c>
      <c r="M107" s="146">
        <v>2</v>
      </c>
      <c r="N107" s="121">
        <v>7.4000000000000003E-3</v>
      </c>
      <c r="O107" s="121">
        <v>0.85</v>
      </c>
      <c r="P107" s="121">
        <v>6</v>
      </c>
      <c r="Q107" s="121">
        <v>1</v>
      </c>
      <c r="R107" s="121">
        <v>2</v>
      </c>
      <c r="S107" s="122">
        <v>660.29</v>
      </c>
      <c r="T107" s="122">
        <v>1.06E-2</v>
      </c>
      <c r="U107" s="122">
        <v>1E-3</v>
      </c>
      <c r="V107" s="122">
        <v>6.0000000000000001E-3</v>
      </c>
      <c r="W107" s="122">
        <v>0.08</v>
      </c>
      <c r="X107" s="122">
        <v>0.6</v>
      </c>
      <c r="Y107" s="122">
        <v>2.2050000000000001</v>
      </c>
      <c r="Z107" s="122">
        <v>0</v>
      </c>
      <c r="AA107" s="122">
        <v>0</v>
      </c>
      <c r="AB107" s="122">
        <v>0.1</v>
      </c>
      <c r="AC107" s="122">
        <v>0.03</v>
      </c>
      <c r="AD107" s="122">
        <v>1.06E-2</v>
      </c>
      <c r="AE107" s="122">
        <v>7.7999999999999996E-3</v>
      </c>
      <c r="AF107" s="122">
        <v>1.8E-3</v>
      </c>
      <c r="AG107" s="122">
        <v>1E-3</v>
      </c>
      <c r="AH107" s="122">
        <v>8.0000000000000004E-4</v>
      </c>
      <c r="AI107" s="122">
        <v>8.2000000000000007E-3</v>
      </c>
      <c r="AJ107" s="122">
        <v>4.7000000000000002E-3</v>
      </c>
      <c r="AK107" s="122">
        <v>3.5000000000000001E-3</v>
      </c>
      <c r="AL107" s="122">
        <v>3.39</v>
      </c>
      <c r="AM107" s="122">
        <v>3.39</v>
      </c>
      <c r="AN107" s="122">
        <v>3.39</v>
      </c>
      <c r="AO107" s="12">
        <v>6</v>
      </c>
      <c r="AP107" s="121">
        <v>5.01</v>
      </c>
      <c r="AQ107" s="121">
        <v>15.95</v>
      </c>
      <c r="AR107" s="121">
        <v>8</v>
      </c>
      <c r="AS107" s="121">
        <v>0.5</v>
      </c>
      <c r="AT107" s="121">
        <v>4.75</v>
      </c>
      <c r="AU107" s="121">
        <v>0.4</v>
      </c>
      <c r="AV107" s="121">
        <v>0.2</v>
      </c>
      <c r="AW107" s="121">
        <v>100</v>
      </c>
      <c r="AX107" s="121">
        <v>22.5</v>
      </c>
      <c r="AY107" s="121">
        <v>40.71</v>
      </c>
      <c r="AZ107" s="121">
        <v>0</v>
      </c>
      <c r="BA107" s="121">
        <v>0</v>
      </c>
      <c r="BB107" s="121">
        <v>0.01</v>
      </c>
      <c r="BC107" s="121">
        <v>0.1</v>
      </c>
      <c r="BD107" s="121">
        <v>0</v>
      </c>
      <c r="BE107" s="121">
        <v>0</v>
      </c>
      <c r="BF107" s="121">
        <v>0</v>
      </c>
      <c r="BG107" s="12" t="s">
        <v>2193</v>
      </c>
    </row>
    <row r="108" spans="1:59" s="12" customFormat="1" x14ac:dyDescent="0.25">
      <c r="A108" s="12">
        <v>105</v>
      </c>
      <c r="B108" s="12" t="s">
        <v>2194</v>
      </c>
      <c r="C108" s="121">
        <v>12</v>
      </c>
      <c r="D108" s="121">
        <v>0.15</v>
      </c>
      <c r="E108" s="121">
        <v>25</v>
      </c>
      <c r="F108" s="121">
        <v>12</v>
      </c>
      <c r="G108" s="121">
        <v>4</v>
      </c>
      <c r="H108" s="121">
        <v>0.35</v>
      </c>
      <c r="I108" s="121">
        <v>5.05</v>
      </c>
      <c r="J108" s="121">
        <v>30.7</v>
      </c>
      <c r="K108" s="121">
        <v>0.1</v>
      </c>
      <c r="L108" s="121">
        <v>10</v>
      </c>
      <c r="M108" s="146">
        <v>2</v>
      </c>
      <c r="N108" s="121">
        <v>7.4000000000000003E-3</v>
      </c>
      <c r="O108" s="121">
        <v>0.85</v>
      </c>
      <c r="P108" s="121">
        <v>6</v>
      </c>
      <c r="Q108" s="121">
        <v>0.4</v>
      </c>
      <c r="R108" s="121">
        <v>1.4</v>
      </c>
      <c r="S108" s="122">
        <v>660.13800000000003</v>
      </c>
      <c r="T108" s="122">
        <v>1.14E-2</v>
      </c>
      <c r="U108" s="122">
        <v>1E-3</v>
      </c>
      <c r="V108" s="122">
        <v>6.0000000000000001E-3</v>
      </c>
      <c r="W108" s="122">
        <v>0.08</v>
      </c>
      <c r="X108" s="122">
        <v>0.6</v>
      </c>
      <c r="Y108" s="122">
        <v>2.2050000000000001</v>
      </c>
      <c r="Z108" s="122">
        <v>0</v>
      </c>
      <c r="AA108" s="122">
        <v>0</v>
      </c>
      <c r="AB108" s="122">
        <v>0.1</v>
      </c>
      <c r="AC108" s="122">
        <v>0.03</v>
      </c>
      <c r="AD108" s="122">
        <v>1.14E-2</v>
      </c>
      <c r="AE108" s="122">
        <v>8.6E-3</v>
      </c>
      <c r="AF108" s="122">
        <v>1.8E-3</v>
      </c>
      <c r="AG108" s="122">
        <v>1E-3</v>
      </c>
      <c r="AH108" s="122">
        <v>8.0000000000000004E-4</v>
      </c>
      <c r="AI108" s="122">
        <v>8.2000000000000007E-3</v>
      </c>
      <c r="AJ108" s="122">
        <v>4.7000000000000002E-3</v>
      </c>
      <c r="AK108" s="122">
        <v>3.5000000000000001E-3</v>
      </c>
      <c r="AL108" s="122">
        <v>3.39</v>
      </c>
      <c r="AM108" s="122">
        <v>3.39</v>
      </c>
      <c r="AN108" s="122">
        <v>3.39</v>
      </c>
      <c r="AO108" s="12">
        <v>6</v>
      </c>
      <c r="AP108" s="121">
        <v>5.01</v>
      </c>
      <c r="AQ108" s="121">
        <v>15.95</v>
      </c>
      <c r="AR108" s="121">
        <v>8</v>
      </c>
      <c r="AS108" s="121">
        <v>0.5</v>
      </c>
      <c r="AT108" s="121">
        <v>4.75</v>
      </c>
      <c r="AU108" s="121">
        <v>0.4</v>
      </c>
      <c r="AV108" s="121">
        <v>0.2</v>
      </c>
      <c r="AW108" s="121">
        <v>100</v>
      </c>
      <c r="AX108" s="121">
        <v>22.5</v>
      </c>
      <c r="AY108" s="121">
        <v>40.71</v>
      </c>
      <c r="AZ108" s="121">
        <v>0</v>
      </c>
      <c r="BA108" s="121">
        <v>0</v>
      </c>
      <c r="BB108" s="121">
        <v>0.01</v>
      </c>
      <c r="BC108" s="121">
        <v>0.1</v>
      </c>
      <c r="BD108" s="121">
        <v>0</v>
      </c>
      <c r="BE108" s="121">
        <v>0</v>
      </c>
      <c r="BF108" s="121">
        <v>0</v>
      </c>
      <c r="BG108" s="12" t="s">
        <v>2195</v>
      </c>
    </row>
    <row r="109" spans="1:59" s="12" customFormat="1" x14ac:dyDescent="0.25">
      <c r="A109" s="12">
        <v>106</v>
      </c>
      <c r="B109" s="12" t="s">
        <v>2196</v>
      </c>
      <c r="C109" s="121">
        <v>18</v>
      </c>
      <c r="D109" s="121">
        <v>0.15</v>
      </c>
      <c r="E109" s="121">
        <v>25</v>
      </c>
      <c r="F109" s="121">
        <v>12</v>
      </c>
      <c r="G109" s="121">
        <v>2</v>
      </c>
      <c r="H109" s="121">
        <v>0.35</v>
      </c>
      <c r="I109" s="121">
        <v>5.05</v>
      </c>
      <c r="J109" s="121">
        <v>30.7</v>
      </c>
      <c r="K109" s="121">
        <v>0.1</v>
      </c>
      <c r="L109" s="121">
        <v>10</v>
      </c>
      <c r="M109" s="146">
        <v>2</v>
      </c>
      <c r="N109" s="121">
        <v>7.4000000000000003E-3</v>
      </c>
      <c r="O109" s="121">
        <v>0.85</v>
      </c>
      <c r="P109" s="121">
        <v>6</v>
      </c>
      <c r="Q109" s="121">
        <v>0.3</v>
      </c>
      <c r="R109" s="121">
        <v>1.4</v>
      </c>
      <c r="S109" s="122">
        <v>660.21</v>
      </c>
      <c r="T109" s="122">
        <v>1.3100000000000001E-2</v>
      </c>
      <c r="U109" s="122">
        <v>1E-3</v>
      </c>
      <c r="V109" s="122">
        <v>1.2E-2</v>
      </c>
      <c r="W109" s="122">
        <v>0.08</v>
      </c>
      <c r="X109" s="122">
        <v>0.6</v>
      </c>
      <c r="Y109" s="122">
        <v>2.2050000000000001</v>
      </c>
      <c r="Z109" s="122">
        <v>0</v>
      </c>
      <c r="AA109" s="122">
        <v>0</v>
      </c>
      <c r="AB109" s="122">
        <v>0.1</v>
      </c>
      <c r="AC109" s="122">
        <v>0.03</v>
      </c>
      <c r="AD109" s="122">
        <v>1.3100000000000001E-2</v>
      </c>
      <c r="AE109" s="122">
        <v>8.6E-3</v>
      </c>
      <c r="AF109" s="122">
        <v>1.8E-3</v>
      </c>
      <c r="AG109" s="122">
        <v>1E-3</v>
      </c>
      <c r="AH109" s="122">
        <v>8.0000000000000004E-4</v>
      </c>
      <c r="AI109" s="122">
        <v>2.6800000000000001E-2</v>
      </c>
      <c r="AJ109" s="122">
        <v>1.5299999999999999E-2</v>
      </c>
      <c r="AK109" s="122">
        <v>1.15E-2</v>
      </c>
      <c r="AL109" s="122">
        <v>3.39</v>
      </c>
      <c r="AM109" s="122">
        <v>3.39</v>
      </c>
      <c r="AN109" s="122">
        <v>3.39</v>
      </c>
      <c r="AO109" s="12">
        <v>6</v>
      </c>
      <c r="AP109" s="121">
        <v>5.01</v>
      </c>
      <c r="AQ109" s="121">
        <v>15.95</v>
      </c>
      <c r="AR109" s="121">
        <v>8</v>
      </c>
      <c r="AS109" s="121">
        <v>0.5</v>
      </c>
      <c r="AT109" s="121">
        <v>4.75</v>
      </c>
      <c r="AU109" s="121">
        <v>0.4</v>
      </c>
      <c r="AV109" s="121">
        <v>0.2</v>
      </c>
      <c r="AW109" s="121">
        <v>100</v>
      </c>
      <c r="AX109" s="121">
        <v>22.5</v>
      </c>
      <c r="AY109" s="121">
        <v>40.71</v>
      </c>
      <c r="AZ109" s="121">
        <v>0</v>
      </c>
      <c r="BA109" s="121">
        <v>0</v>
      </c>
      <c r="BB109" s="121">
        <v>0.01</v>
      </c>
      <c r="BC109" s="121">
        <v>0.1</v>
      </c>
      <c r="BD109" s="121">
        <v>0</v>
      </c>
      <c r="BE109" s="121">
        <v>0</v>
      </c>
      <c r="BF109" s="121">
        <v>0</v>
      </c>
      <c r="BG109" s="12" t="s">
        <v>2197</v>
      </c>
    </row>
    <row r="110" spans="1:59" s="12" customFormat="1" x14ac:dyDescent="0.25">
      <c r="A110" s="12">
        <v>107</v>
      </c>
      <c r="B110" s="12" t="s">
        <v>2198</v>
      </c>
      <c r="C110" s="121">
        <v>20</v>
      </c>
      <c r="D110" s="121">
        <v>0.15</v>
      </c>
      <c r="E110" s="121">
        <v>25</v>
      </c>
      <c r="F110" s="121">
        <v>12</v>
      </c>
      <c r="G110" s="121">
        <v>2</v>
      </c>
      <c r="H110" s="121">
        <v>0.5</v>
      </c>
      <c r="I110" s="121">
        <v>10.199999999999999</v>
      </c>
      <c r="J110" s="121">
        <v>20.95</v>
      </c>
      <c r="K110" s="121">
        <v>0.2</v>
      </c>
      <c r="L110" s="121">
        <v>10</v>
      </c>
      <c r="M110" s="146">
        <v>2</v>
      </c>
      <c r="N110" s="121">
        <v>7.4000000000000003E-3</v>
      </c>
      <c r="O110" s="121">
        <v>0.85</v>
      </c>
      <c r="P110" s="121">
        <v>6</v>
      </c>
      <c r="Q110" s="121">
        <v>0.2</v>
      </c>
      <c r="R110" s="121">
        <v>1.4</v>
      </c>
      <c r="S110" s="122">
        <v>660.23</v>
      </c>
      <c r="T110" s="122">
        <v>1.2200000000000001E-2</v>
      </c>
      <c r="U110" s="122">
        <v>1E-3</v>
      </c>
      <c r="V110" s="122">
        <v>6.0000000000000001E-3</v>
      </c>
      <c r="W110" s="122">
        <v>0.08</v>
      </c>
      <c r="X110" s="122">
        <v>0.6</v>
      </c>
      <c r="Y110" s="122">
        <v>2.2050000000000001</v>
      </c>
      <c r="Z110" s="122">
        <v>0</v>
      </c>
      <c r="AA110" s="122">
        <v>0</v>
      </c>
      <c r="AB110" s="122">
        <v>0.09</v>
      </c>
      <c r="AC110" s="122">
        <v>0.03</v>
      </c>
      <c r="AD110" s="122">
        <v>1.5699999999999999E-2</v>
      </c>
      <c r="AE110" s="122">
        <v>9.1000000000000004E-3</v>
      </c>
      <c r="AF110" s="122">
        <v>1.8E-3</v>
      </c>
      <c r="AG110" s="122">
        <v>1E-3</v>
      </c>
      <c r="AH110" s="122">
        <v>8.0000000000000004E-4</v>
      </c>
      <c r="AI110" s="122">
        <v>8.2000000000000007E-3</v>
      </c>
      <c r="AJ110" s="122">
        <v>4.7000000000000002E-3</v>
      </c>
      <c r="AK110" s="122">
        <v>3.5000000000000001E-3</v>
      </c>
      <c r="AL110" s="122">
        <v>3.39</v>
      </c>
      <c r="AM110" s="122">
        <v>3.39</v>
      </c>
      <c r="AN110" s="122">
        <v>3.39</v>
      </c>
      <c r="AO110" s="12">
        <v>6</v>
      </c>
      <c r="AP110" s="121">
        <v>5.01</v>
      </c>
      <c r="AQ110" s="121">
        <v>15.95</v>
      </c>
      <c r="AR110" s="121">
        <v>8</v>
      </c>
      <c r="AS110" s="121">
        <v>0.5</v>
      </c>
      <c r="AT110" s="121">
        <v>4.75</v>
      </c>
      <c r="AU110" s="121">
        <v>0.4</v>
      </c>
      <c r="AV110" s="121">
        <v>0.2</v>
      </c>
      <c r="AW110" s="121">
        <v>100</v>
      </c>
      <c r="AX110" s="121">
        <v>22.5</v>
      </c>
      <c r="AY110" s="121">
        <v>40.71</v>
      </c>
      <c r="AZ110" s="121">
        <v>0</v>
      </c>
      <c r="BA110" s="121">
        <v>0</v>
      </c>
      <c r="BB110" s="121">
        <v>0.01</v>
      </c>
      <c r="BC110" s="121">
        <v>0.1</v>
      </c>
      <c r="BD110" s="121">
        <v>0</v>
      </c>
      <c r="BE110" s="121">
        <v>0</v>
      </c>
      <c r="BF110" s="121">
        <v>0</v>
      </c>
      <c r="BG110" s="12" t="s">
        <v>2199</v>
      </c>
    </row>
    <row r="111" spans="1:59" s="12" customFormat="1" x14ac:dyDescent="0.25">
      <c r="A111" s="12">
        <v>108</v>
      </c>
      <c r="B111" s="12" t="s">
        <v>2200</v>
      </c>
      <c r="C111" s="121">
        <v>40</v>
      </c>
      <c r="D111" s="121">
        <v>0.05</v>
      </c>
      <c r="E111" s="121">
        <v>30</v>
      </c>
      <c r="F111" s="121">
        <v>10</v>
      </c>
      <c r="G111" s="121">
        <v>5</v>
      </c>
      <c r="H111" s="121">
        <v>0.99</v>
      </c>
      <c r="I111" s="121">
        <v>5.05</v>
      </c>
      <c r="J111" s="121">
        <v>40.950000000000003</v>
      </c>
      <c r="K111" s="121">
        <v>1</v>
      </c>
      <c r="L111" s="121">
        <v>1</v>
      </c>
      <c r="M111" s="146">
        <v>5</v>
      </c>
      <c r="N111" s="121">
        <v>7.0000000000000001E-3</v>
      </c>
      <c r="O111" s="121">
        <v>0.85</v>
      </c>
      <c r="P111" s="121">
        <v>80</v>
      </c>
      <c r="Q111" s="121">
        <v>7.5</v>
      </c>
      <c r="R111" s="121">
        <v>3.5</v>
      </c>
      <c r="S111" s="122">
        <v>660.41</v>
      </c>
      <c r="T111" s="122">
        <v>1.5E-3</v>
      </c>
      <c r="U111" s="122">
        <v>2.9999999999999997E-4</v>
      </c>
      <c r="V111" s="122">
        <v>2E-3</v>
      </c>
      <c r="W111" s="122">
        <v>0.05</v>
      </c>
      <c r="X111" s="122">
        <v>0.6</v>
      </c>
      <c r="Y111" s="122">
        <v>6.7210000000000001</v>
      </c>
      <c r="Z111" s="122">
        <v>1000</v>
      </c>
      <c r="AA111" s="122">
        <v>5</v>
      </c>
      <c r="AB111" s="122">
        <v>0.01</v>
      </c>
      <c r="AC111" s="122">
        <v>6.0000000000000001E-3</v>
      </c>
      <c r="AD111" s="122">
        <v>2E-3</v>
      </c>
      <c r="AE111" s="122">
        <v>1.5E-3</v>
      </c>
      <c r="AF111" s="122">
        <v>6.9999999999999999E-4</v>
      </c>
      <c r="AG111" s="122">
        <v>4.0000000000000002E-4</v>
      </c>
      <c r="AH111" s="122">
        <v>2.9999999999999997E-4</v>
      </c>
      <c r="AI111" s="122">
        <v>6.0000000000000001E-3</v>
      </c>
      <c r="AJ111" s="122">
        <v>3.0000000000000001E-3</v>
      </c>
      <c r="AK111" s="122">
        <v>2E-3</v>
      </c>
      <c r="AL111" s="122">
        <v>3.39</v>
      </c>
      <c r="AM111" s="122">
        <v>3.39</v>
      </c>
      <c r="AN111" s="122">
        <v>3.39</v>
      </c>
      <c r="AO111" s="12">
        <v>8</v>
      </c>
      <c r="AP111" s="121">
        <v>5.15</v>
      </c>
      <c r="AQ111" s="121">
        <v>15.95</v>
      </c>
      <c r="AR111" s="121">
        <v>8</v>
      </c>
      <c r="AS111" s="121">
        <v>1</v>
      </c>
      <c r="AT111" s="121">
        <v>4.75</v>
      </c>
      <c r="AU111" s="121">
        <v>0.4</v>
      </c>
      <c r="AV111" s="121">
        <v>0.2</v>
      </c>
      <c r="AW111" s="121">
        <v>100</v>
      </c>
      <c r="AX111" s="121">
        <v>68.989999999999995</v>
      </c>
      <c r="AY111" s="121">
        <v>20.350000000000001</v>
      </c>
      <c r="AZ111" s="121">
        <v>0.05</v>
      </c>
      <c r="BA111" s="121">
        <v>1</v>
      </c>
      <c r="BB111" s="121">
        <v>0.01</v>
      </c>
      <c r="BC111" s="121">
        <v>0.1</v>
      </c>
      <c r="BD111" s="121">
        <v>0</v>
      </c>
      <c r="BE111" s="121">
        <v>0.05</v>
      </c>
      <c r="BF111" s="121">
        <v>0</v>
      </c>
      <c r="BG111" s="12" t="s">
        <v>2165</v>
      </c>
    </row>
    <row r="112" spans="1:59" s="12" customFormat="1" x14ac:dyDescent="0.25">
      <c r="A112" s="12">
        <v>109</v>
      </c>
      <c r="B112" s="12" t="s">
        <v>2308</v>
      </c>
      <c r="C112" s="121">
        <v>35</v>
      </c>
      <c r="D112" s="121">
        <v>0.02</v>
      </c>
      <c r="E112" s="121">
        <v>25</v>
      </c>
      <c r="F112" s="121">
        <v>12</v>
      </c>
      <c r="G112" s="121">
        <v>5</v>
      </c>
      <c r="H112" s="121">
        <v>0.99</v>
      </c>
      <c r="I112" s="121">
        <v>15.05</v>
      </c>
      <c r="J112" s="121">
        <v>50.95</v>
      </c>
      <c r="K112" s="121">
        <v>1</v>
      </c>
      <c r="L112" s="121">
        <v>1</v>
      </c>
      <c r="M112" s="146">
        <v>2</v>
      </c>
      <c r="N112" s="121">
        <v>7.0000000000000001E-3</v>
      </c>
      <c r="O112" s="121">
        <v>0.85</v>
      </c>
      <c r="P112" s="121">
        <v>5</v>
      </c>
      <c r="Q112" s="121">
        <v>1</v>
      </c>
      <c r="R112" s="121">
        <v>2</v>
      </c>
      <c r="S112" s="122">
        <v>660.4</v>
      </c>
      <c r="T112" s="122">
        <v>1.2699999999999999E-2</v>
      </c>
      <c r="U112" s="122">
        <v>2.0999999999999999E-3</v>
      </c>
      <c r="V112" s="122">
        <v>1.5699999999999999E-2</v>
      </c>
      <c r="W112" s="122">
        <v>0.01</v>
      </c>
      <c r="X112" s="122">
        <v>0.6</v>
      </c>
      <c r="Y112" s="122">
        <v>0.40300000000000002</v>
      </c>
      <c r="Z112" s="122">
        <v>20</v>
      </c>
      <c r="AA112" s="122">
        <v>72.765000000000001</v>
      </c>
      <c r="AB112" s="122">
        <v>0.1</v>
      </c>
      <c r="AC112" s="122">
        <v>2.2200000000000001E-2</v>
      </c>
      <c r="AD112" s="122">
        <v>1.2699999999999999E-2</v>
      </c>
      <c r="AE112" s="122">
        <v>9.4999999999999998E-3</v>
      </c>
      <c r="AF112" s="122">
        <v>3.7000000000000002E-3</v>
      </c>
      <c r="AG112" s="122">
        <v>2.0999999999999999E-3</v>
      </c>
      <c r="AH112" s="122">
        <v>1.6000000000000001E-3</v>
      </c>
      <c r="AI112" s="122">
        <v>1.7999999999999999E-2</v>
      </c>
      <c r="AJ112" s="122">
        <v>1.7000000000000001E-2</v>
      </c>
      <c r="AK112" s="122">
        <v>1.6E-2</v>
      </c>
      <c r="AL112" s="122">
        <v>3.39</v>
      </c>
      <c r="AM112" s="122">
        <v>3.39</v>
      </c>
      <c r="AN112" s="122">
        <v>3.39</v>
      </c>
      <c r="AO112" s="12">
        <v>6</v>
      </c>
      <c r="AP112" s="121">
        <v>5.01</v>
      </c>
      <c r="AQ112" s="121">
        <v>15.95</v>
      </c>
      <c r="AR112" s="121">
        <v>7</v>
      </c>
      <c r="AS112" s="121">
        <v>0.5</v>
      </c>
      <c r="AT112" s="121">
        <v>4.75</v>
      </c>
      <c r="AU112" s="121">
        <v>0.4</v>
      </c>
      <c r="AV112" s="121">
        <v>0.2</v>
      </c>
      <c r="AW112" s="121">
        <v>100</v>
      </c>
      <c r="AX112" s="121">
        <v>22.5</v>
      </c>
      <c r="AY112" s="121">
        <v>40.71</v>
      </c>
      <c r="AZ112" s="121">
        <v>0.06</v>
      </c>
      <c r="BA112" s="121">
        <v>6.9</v>
      </c>
      <c r="BB112" s="121">
        <v>0.01</v>
      </c>
      <c r="BC112" s="121">
        <v>0.1</v>
      </c>
      <c r="BD112" s="121">
        <v>0</v>
      </c>
      <c r="BE112" s="121">
        <v>0</v>
      </c>
      <c r="BF112" s="121">
        <v>0</v>
      </c>
      <c r="BG112" s="12" t="s">
        <v>2093</v>
      </c>
    </row>
    <row r="113" spans="1:59" s="12" customFormat="1" x14ac:dyDescent="0.25">
      <c r="A113" s="12">
        <v>110</v>
      </c>
      <c r="B113" s="12" t="s">
        <v>2201</v>
      </c>
      <c r="C113" s="121">
        <v>40</v>
      </c>
      <c r="D113" s="121">
        <v>0.05</v>
      </c>
      <c r="E113" s="121">
        <v>25</v>
      </c>
      <c r="F113" s="121">
        <v>10</v>
      </c>
      <c r="G113" s="121">
        <v>3</v>
      </c>
      <c r="H113" s="121">
        <v>0.99</v>
      </c>
      <c r="I113" s="121">
        <v>5.05</v>
      </c>
      <c r="J113" s="121">
        <v>40.950000000000003</v>
      </c>
      <c r="K113" s="121">
        <v>1</v>
      </c>
      <c r="L113" s="121">
        <v>1</v>
      </c>
      <c r="M113" s="146">
        <v>5</v>
      </c>
      <c r="N113" s="121">
        <v>7.0000000000000001E-3</v>
      </c>
      <c r="O113" s="121">
        <v>0.85</v>
      </c>
      <c r="P113" s="121">
        <v>80</v>
      </c>
      <c r="Q113" s="121">
        <v>1</v>
      </c>
      <c r="R113" s="121">
        <v>1</v>
      </c>
      <c r="S113" s="122">
        <v>660.41</v>
      </c>
      <c r="T113" s="122">
        <v>1.5E-3</v>
      </c>
      <c r="U113" s="122">
        <v>2.9999999999999997E-4</v>
      </c>
      <c r="V113" s="122">
        <v>2E-3</v>
      </c>
      <c r="W113" s="122">
        <v>0.05</v>
      </c>
      <c r="X113" s="122">
        <v>0.6</v>
      </c>
      <c r="Y113" s="122">
        <v>6.7210000000000001</v>
      </c>
      <c r="Z113" s="122">
        <v>1000</v>
      </c>
      <c r="AA113" s="122">
        <v>5</v>
      </c>
      <c r="AB113" s="122">
        <v>0.01</v>
      </c>
      <c r="AC113" s="122">
        <v>6.0000000000000001E-3</v>
      </c>
      <c r="AD113" s="122">
        <v>2E-3</v>
      </c>
      <c r="AE113" s="122">
        <v>1.5E-3</v>
      </c>
      <c r="AF113" s="122">
        <v>6.9999999999999999E-4</v>
      </c>
      <c r="AG113" s="122">
        <v>4.0000000000000002E-4</v>
      </c>
      <c r="AH113" s="122">
        <v>2.9999999999999997E-4</v>
      </c>
      <c r="AI113" s="122">
        <v>6.0000000000000001E-3</v>
      </c>
      <c r="AJ113" s="122">
        <v>3.0000000000000001E-3</v>
      </c>
      <c r="AK113" s="122">
        <v>2E-3</v>
      </c>
      <c r="AL113" s="122">
        <v>3.39</v>
      </c>
      <c r="AM113" s="122">
        <v>3.39</v>
      </c>
      <c r="AN113" s="122">
        <v>3.39</v>
      </c>
      <c r="AO113" s="12">
        <v>8</v>
      </c>
      <c r="AP113" s="121">
        <v>5.15</v>
      </c>
      <c r="AQ113" s="121">
        <v>15.95</v>
      </c>
      <c r="AR113" s="121">
        <v>8</v>
      </c>
      <c r="AS113" s="121">
        <v>1</v>
      </c>
      <c r="AT113" s="121">
        <v>4.75</v>
      </c>
      <c r="AU113" s="121">
        <v>0.4</v>
      </c>
      <c r="AV113" s="121">
        <v>0.2</v>
      </c>
      <c r="AW113" s="121">
        <v>100</v>
      </c>
      <c r="AX113" s="121">
        <v>68.989999999999995</v>
      </c>
      <c r="AY113" s="121">
        <v>20.350000000000001</v>
      </c>
      <c r="AZ113" s="121">
        <v>0.05</v>
      </c>
      <c r="BA113" s="121">
        <v>1</v>
      </c>
      <c r="BB113" s="121">
        <v>0.01</v>
      </c>
      <c r="BC113" s="121">
        <v>0.1</v>
      </c>
      <c r="BD113" s="121">
        <v>0</v>
      </c>
      <c r="BE113" s="121">
        <v>0.05</v>
      </c>
      <c r="BF113" s="121">
        <v>0</v>
      </c>
      <c r="BG113" s="12" t="s">
        <v>2165</v>
      </c>
    </row>
    <row r="114" spans="1:59" s="12" customFormat="1" x14ac:dyDescent="0.25">
      <c r="A114" s="12">
        <v>111</v>
      </c>
      <c r="B114" s="12" t="s">
        <v>2202</v>
      </c>
      <c r="C114" s="121">
        <v>30</v>
      </c>
      <c r="D114" s="121">
        <v>0.02</v>
      </c>
      <c r="E114" s="121">
        <v>30</v>
      </c>
      <c r="F114" s="121">
        <v>10</v>
      </c>
      <c r="G114" s="121">
        <v>2</v>
      </c>
      <c r="H114" s="121">
        <v>0.9</v>
      </c>
      <c r="I114" s="121">
        <v>5.01</v>
      </c>
      <c r="J114" s="121">
        <v>50.95</v>
      </c>
      <c r="K114" s="121">
        <v>1</v>
      </c>
      <c r="L114" s="121">
        <v>1</v>
      </c>
      <c r="M114" s="146">
        <v>3</v>
      </c>
      <c r="N114" s="121">
        <v>7.0000000000000001E-3</v>
      </c>
      <c r="O114" s="121">
        <v>0.85</v>
      </c>
      <c r="P114" s="121">
        <v>100</v>
      </c>
      <c r="Q114" s="121">
        <v>2</v>
      </c>
      <c r="R114" s="121">
        <v>2</v>
      </c>
      <c r="S114" s="122">
        <v>660.35</v>
      </c>
      <c r="T114" s="122">
        <v>0.02</v>
      </c>
      <c r="U114" s="122">
        <v>2.5000000000000001E-3</v>
      </c>
      <c r="V114" s="122">
        <v>0</v>
      </c>
      <c r="W114" s="122">
        <v>0.01</v>
      </c>
      <c r="X114" s="122">
        <v>0.6</v>
      </c>
      <c r="Y114" s="122">
        <v>1</v>
      </c>
      <c r="Z114" s="122">
        <v>1000</v>
      </c>
      <c r="AA114" s="122">
        <v>0</v>
      </c>
      <c r="AB114" s="122">
        <v>0.9</v>
      </c>
      <c r="AC114" s="122">
        <v>0.01</v>
      </c>
      <c r="AD114" s="122">
        <v>4.0000000000000001E-3</v>
      </c>
      <c r="AE114" s="122">
        <v>3.0000000000000001E-3</v>
      </c>
      <c r="AF114" s="122">
        <v>1.4E-3</v>
      </c>
      <c r="AG114" s="122">
        <v>8.0000000000000004E-4</v>
      </c>
      <c r="AH114" s="122">
        <v>5.9999999999999995E-4</v>
      </c>
      <c r="AI114" s="122">
        <v>0</v>
      </c>
      <c r="AJ114" s="122">
        <v>0</v>
      </c>
      <c r="AK114" s="122">
        <v>0</v>
      </c>
      <c r="AL114" s="122">
        <v>3.39</v>
      </c>
      <c r="AM114" s="122">
        <v>3.39</v>
      </c>
      <c r="AN114" s="122">
        <v>3.39</v>
      </c>
      <c r="AO114" s="12">
        <v>8</v>
      </c>
      <c r="AP114" s="121">
        <v>15.01</v>
      </c>
      <c r="AQ114" s="121">
        <v>23.5</v>
      </c>
      <c r="AR114" s="121">
        <v>10</v>
      </c>
      <c r="AS114" s="121">
        <v>1</v>
      </c>
      <c r="AT114" s="121">
        <v>4.75</v>
      </c>
      <c r="AU114" s="121">
        <v>0.4</v>
      </c>
      <c r="AV114" s="121">
        <v>0.2</v>
      </c>
      <c r="AW114" s="121">
        <v>100</v>
      </c>
      <c r="AX114" s="121">
        <v>1.25</v>
      </c>
      <c r="AY114" s="121">
        <v>5.9</v>
      </c>
      <c r="AZ114" s="121">
        <v>0</v>
      </c>
      <c r="BA114" s="121">
        <v>0</v>
      </c>
      <c r="BB114" s="121">
        <v>0.01</v>
      </c>
      <c r="BC114" s="121">
        <v>0.1</v>
      </c>
      <c r="BD114" s="121">
        <v>0</v>
      </c>
      <c r="BE114" s="121">
        <v>0</v>
      </c>
      <c r="BF114" s="121">
        <v>0</v>
      </c>
      <c r="BG114" s="12" t="s">
        <v>2203</v>
      </c>
    </row>
    <row r="115" spans="1:59" s="12" customFormat="1" x14ac:dyDescent="0.25">
      <c r="A115" s="12">
        <v>112</v>
      </c>
      <c r="B115" s="12" t="s">
        <v>2204</v>
      </c>
      <c r="C115" s="121">
        <v>0.01</v>
      </c>
      <c r="D115" s="121">
        <v>0.4</v>
      </c>
      <c r="E115" s="121">
        <v>15</v>
      </c>
      <c r="F115" s="121">
        <v>0</v>
      </c>
      <c r="G115" s="121">
        <v>0</v>
      </c>
      <c r="H115" s="121">
        <v>0.55000000000000004</v>
      </c>
      <c r="I115" s="121">
        <v>15.01</v>
      </c>
      <c r="J115" s="121">
        <v>50.95</v>
      </c>
      <c r="K115" s="121">
        <v>1</v>
      </c>
      <c r="L115" s="121">
        <v>1</v>
      </c>
      <c r="M115" s="146">
        <v>3</v>
      </c>
      <c r="N115" s="121">
        <v>1.2999999999999999E-2</v>
      </c>
      <c r="O115" s="121">
        <v>0.85</v>
      </c>
      <c r="P115" s="121">
        <v>0.01</v>
      </c>
      <c r="Q115" s="121">
        <v>2</v>
      </c>
      <c r="R115" s="121">
        <v>2.2000000000000002</v>
      </c>
      <c r="S115" s="122">
        <v>660.02</v>
      </c>
      <c r="T115" s="122">
        <v>2.8000000000000001E-2</v>
      </c>
      <c r="U115" s="122">
        <v>6.0000000000000001E-3</v>
      </c>
      <c r="V115" s="122">
        <v>7.0000000000000001E-3</v>
      </c>
      <c r="W115" s="122">
        <v>0.3</v>
      </c>
      <c r="X115" s="122">
        <v>0.6</v>
      </c>
      <c r="Y115" s="122">
        <v>4.41</v>
      </c>
      <c r="Z115" s="122">
        <v>190</v>
      </c>
      <c r="AA115" s="122">
        <v>5</v>
      </c>
      <c r="AB115" s="122">
        <v>0.06</v>
      </c>
      <c r="AC115" s="122">
        <v>0.05</v>
      </c>
      <c r="AD115" s="122">
        <v>2.3E-2</v>
      </c>
      <c r="AE115" s="122">
        <v>1.4999999999999999E-2</v>
      </c>
      <c r="AF115" s="122">
        <v>6.0000000000000001E-3</v>
      </c>
      <c r="AG115" s="122">
        <v>3.0000000000000001E-3</v>
      </c>
      <c r="AH115" s="122">
        <v>2E-3</v>
      </c>
      <c r="AI115" s="122">
        <v>2.9000000000000001E-2</v>
      </c>
      <c r="AJ115" s="122">
        <v>0.02</v>
      </c>
      <c r="AK115" s="122">
        <v>0.01</v>
      </c>
      <c r="AL115" s="122">
        <v>1.1379999999999999</v>
      </c>
      <c r="AM115" s="122">
        <v>0.60299999999999998</v>
      </c>
      <c r="AN115" s="122">
        <v>0.33200000000000002</v>
      </c>
      <c r="AO115" s="12">
        <v>4</v>
      </c>
      <c r="AP115" s="121">
        <v>5.15</v>
      </c>
      <c r="AQ115" s="121">
        <v>15.95</v>
      </c>
      <c r="AR115" s="121">
        <v>7</v>
      </c>
      <c r="AS115" s="121">
        <v>0.5</v>
      </c>
      <c r="AT115" s="121">
        <v>4.75</v>
      </c>
      <c r="AU115" s="121">
        <v>0.4</v>
      </c>
      <c r="AV115" s="121">
        <v>0.2</v>
      </c>
      <c r="AW115" s="121">
        <v>0</v>
      </c>
      <c r="AX115" s="121">
        <v>1.1000000000000001</v>
      </c>
      <c r="AY115" s="121">
        <v>4.9000000000000004</v>
      </c>
      <c r="AZ115" s="121">
        <v>5.1999999999999998E-2</v>
      </c>
      <c r="BA115" s="121">
        <v>7.7</v>
      </c>
      <c r="BB115" s="121">
        <v>0.01</v>
      </c>
      <c r="BC115" s="121">
        <v>0.1</v>
      </c>
      <c r="BD115" s="121">
        <v>0</v>
      </c>
      <c r="BE115" s="121">
        <v>0</v>
      </c>
      <c r="BF115" s="121">
        <v>0</v>
      </c>
      <c r="BG115" s="12" t="s">
        <v>2205</v>
      </c>
    </row>
    <row r="116" spans="1:59" s="12" customFormat="1" x14ac:dyDescent="0.25">
      <c r="A116" s="12">
        <v>113</v>
      </c>
      <c r="B116" s="12" t="s">
        <v>2206</v>
      </c>
      <c r="C116" s="121">
        <v>34</v>
      </c>
      <c r="D116" s="121">
        <v>0.23</v>
      </c>
      <c r="E116" s="121">
        <v>21</v>
      </c>
      <c r="F116" s="121">
        <v>5</v>
      </c>
      <c r="G116" s="121">
        <v>3.5</v>
      </c>
      <c r="H116" s="121">
        <v>0.5</v>
      </c>
      <c r="I116" s="121">
        <v>15.02</v>
      </c>
      <c r="J116" s="121">
        <v>45.95</v>
      </c>
      <c r="K116" s="121">
        <v>0.2</v>
      </c>
      <c r="L116" s="121">
        <v>0.3</v>
      </c>
      <c r="M116" s="146">
        <v>3</v>
      </c>
      <c r="N116" s="121">
        <v>7.7999999999999996E-3</v>
      </c>
      <c r="O116" s="121">
        <v>0.9</v>
      </c>
      <c r="P116" s="121">
        <v>100</v>
      </c>
      <c r="Q116" s="121">
        <v>0.9</v>
      </c>
      <c r="R116" s="121">
        <v>0.9</v>
      </c>
      <c r="S116" s="122">
        <v>0.16</v>
      </c>
      <c r="T116" s="122">
        <v>0.6</v>
      </c>
      <c r="U116" s="122">
        <v>10.753299999999999</v>
      </c>
      <c r="V116" s="122">
        <v>147.73500000000001</v>
      </c>
      <c r="W116" s="122">
        <v>5</v>
      </c>
      <c r="X116" s="122">
        <v>0.12</v>
      </c>
      <c r="Y116" s="122">
        <v>4.3999999999999997E-2</v>
      </c>
      <c r="Z116" s="122">
        <v>1.7999999999999999E-2</v>
      </c>
      <c r="AA116" s="122">
        <v>1.6E-2</v>
      </c>
      <c r="AB116" s="122">
        <v>7.0000000000000001E-3</v>
      </c>
      <c r="AC116" s="122">
        <v>4.3999999999999997E-2</v>
      </c>
      <c r="AD116" s="122">
        <v>1.8200000000000001E-2</v>
      </c>
      <c r="AE116" s="122">
        <v>1.6400000000000001E-2</v>
      </c>
      <c r="AF116" s="122">
        <v>7.3000000000000001E-3</v>
      </c>
      <c r="AG116" s="122">
        <v>3.7000000000000002E-3</v>
      </c>
      <c r="AH116" s="122">
        <v>2.3E-3</v>
      </c>
      <c r="AI116" s="122">
        <v>4.3999999999999997E-2</v>
      </c>
      <c r="AJ116" s="122">
        <v>1.6E-2</v>
      </c>
      <c r="AK116" s="122">
        <v>1.2999999999999999E-2</v>
      </c>
      <c r="AL116" s="122">
        <v>1.266</v>
      </c>
      <c r="AM116" s="122">
        <v>0.63300000000000001</v>
      </c>
      <c r="AN116" s="122">
        <v>0.72899999999999998</v>
      </c>
      <c r="AO116" s="12">
        <v>1</v>
      </c>
      <c r="AP116" s="121">
        <v>5.05</v>
      </c>
      <c r="AQ116" s="121">
        <v>15.1</v>
      </c>
      <c r="AR116" s="121">
        <v>10</v>
      </c>
      <c r="AS116" s="121">
        <v>0.5</v>
      </c>
      <c r="AT116" s="121">
        <v>4.75</v>
      </c>
      <c r="AU116" s="121">
        <v>0.4</v>
      </c>
      <c r="AV116" s="121">
        <v>0.2</v>
      </c>
      <c r="AW116" s="121">
        <v>100</v>
      </c>
      <c r="AX116" s="121">
        <v>20.2</v>
      </c>
      <c r="AY116" s="121">
        <v>100.9</v>
      </c>
      <c r="AZ116" s="121">
        <v>0.1</v>
      </c>
      <c r="BA116" s="121">
        <v>2.5</v>
      </c>
      <c r="BB116" s="121">
        <v>0.01</v>
      </c>
      <c r="BC116" s="121">
        <v>0.1</v>
      </c>
      <c r="BD116" s="121">
        <v>0</v>
      </c>
      <c r="BE116" s="121">
        <v>0</v>
      </c>
      <c r="BF116" s="121">
        <v>0</v>
      </c>
      <c r="BG116" s="12" t="s">
        <v>2207</v>
      </c>
    </row>
    <row r="117" spans="1:59" s="12" customFormat="1" x14ac:dyDescent="0.25">
      <c r="A117" s="12">
        <v>114</v>
      </c>
      <c r="B117" s="12" t="s">
        <v>2208</v>
      </c>
      <c r="C117" s="121">
        <v>34</v>
      </c>
      <c r="D117" s="121">
        <v>0.23</v>
      </c>
      <c r="E117" s="121">
        <v>21</v>
      </c>
      <c r="F117" s="121">
        <v>5</v>
      </c>
      <c r="G117" s="121">
        <v>3.5</v>
      </c>
      <c r="H117" s="121">
        <v>0.5</v>
      </c>
      <c r="I117" s="121">
        <v>15.02</v>
      </c>
      <c r="J117" s="121">
        <v>45.95</v>
      </c>
      <c r="K117" s="121">
        <v>0.2</v>
      </c>
      <c r="L117" s="121">
        <v>0.3</v>
      </c>
      <c r="M117" s="146">
        <v>3</v>
      </c>
      <c r="N117" s="121">
        <v>7.7999999999999996E-3</v>
      </c>
      <c r="O117" s="121">
        <v>0.9</v>
      </c>
      <c r="P117" s="121">
        <v>100</v>
      </c>
      <c r="Q117" s="121">
        <v>0.9</v>
      </c>
      <c r="R117" s="121">
        <v>0.9</v>
      </c>
      <c r="S117" s="122">
        <v>0.16</v>
      </c>
      <c r="T117" s="122">
        <v>0.6</v>
      </c>
      <c r="U117" s="122">
        <v>10.753299999999999</v>
      </c>
      <c r="V117" s="122">
        <v>147.73500000000001</v>
      </c>
      <c r="W117" s="122">
        <v>5</v>
      </c>
      <c r="X117" s="122">
        <v>0.12</v>
      </c>
      <c r="Y117" s="122">
        <v>4.3999999999999997E-2</v>
      </c>
      <c r="Z117" s="122">
        <v>1.7999999999999999E-2</v>
      </c>
      <c r="AA117" s="122">
        <v>1.6E-2</v>
      </c>
      <c r="AB117" s="122">
        <v>7.0000000000000001E-3</v>
      </c>
      <c r="AC117" s="122">
        <v>4.3999999999999997E-2</v>
      </c>
      <c r="AD117" s="122">
        <v>1.8200000000000001E-2</v>
      </c>
      <c r="AE117" s="122">
        <v>1.6400000000000001E-2</v>
      </c>
      <c r="AF117" s="122">
        <v>7.3000000000000001E-3</v>
      </c>
      <c r="AG117" s="122">
        <v>3.7000000000000002E-3</v>
      </c>
      <c r="AH117" s="122">
        <v>2.3E-3</v>
      </c>
      <c r="AI117" s="122">
        <v>4.3999999999999997E-2</v>
      </c>
      <c r="AJ117" s="122">
        <v>1.6E-2</v>
      </c>
      <c r="AK117" s="122">
        <v>1.2999999999999999E-2</v>
      </c>
      <c r="AL117" s="122">
        <v>1.266</v>
      </c>
      <c r="AM117" s="122">
        <v>0.63300000000000001</v>
      </c>
      <c r="AN117" s="122">
        <v>0.72899999999999998</v>
      </c>
      <c r="AO117" s="12">
        <v>1</v>
      </c>
      <c r="AP117" s="121">
        <v>5.05</v>
      </c>
      <c r="AQ117" s="121">
        <v>15.1</v>
      </c>
      <c r="AR117" s="121">
        <v>10</v>
      </c>
      <c r="AS117" s="121">
        <v>0.5</v>
      </c>
      <c r="AT117" s="121">
        <v>4.75</v>
      </c>
      <c r="AU117" s="121">
        <v>0.4</v>
      </c>
      <c r="AV117" s="121">
        <v>0.2</v>
      </c>
      <c r="AW117" s="121">
        <v>100</v>
      </c>
      <c r="AX117" s="121">
        <v>20.2</v>
      </c>
      <c r="AY117" s="121">
        <v>100.9</v>
      </c>
      <c r="AZ117" s="121">
        <v>0.1</v>
      </c>
      <c r="BA117" s="121">
        <v>2.5</v>
      </c>
      <c r="BB117" s="121">
        <v>0.01</v>
      </c>
      <c r="BC117" s="121">
        <v>0.1</v>
      </c>
      <c r="BD117" s="121">
        <v>0</v>
      </c>
      <c r="BE117" s="121">
        <v>0</v>
      </c>
      <c r="BF117" s="121">
        <v>0</v>
      </c>
      <c r="BG117" s="12" t="s">
        <v>2209</v>
      </c>
    </row>
    <row r="118" spans="1:59" s="12" customFormat="1" x14ac:dyDescent="0.25">
      <c r="A118" s="12">
        <v>115</v>
      </c>
      <c r="B118" s="12" t="s">
        <v>2309</v>
      </c>
      <c r="C118" s="121">
        <v>47</v>
      </c>
      <c r="D118" s="121">
        <v>0.9</v>
      </c>
      <c r="E118" s="121">
        <v>25</v>
      </c>
      <c r="F118" s="121">
        <v>12</v>
      </c>
      <c r="G118" s="121">
        <v>3</v>
      </c>
      <c r="H118" s="121">
        <v>0.8</v>
      </c>
      <c r="I118" s="121">
        <v>10.199999999999999</v>
      </c>
      <c r="J118" s="121">
        <v>20.95</v>
      </c>
      <c r="K118" s="121">
        <v>0.2</v>
      </c>
      <c r="L118" s="121">
        <v>10</v>
      </c>
      <c r="M118" s="146">
        <v>2</v>
      </c>
      <c r="N118" s="121">
        <v>5.4999999999999997E-3</v>
      </c>
      <c r="O118" s="121">
        <v>0.85</v>
      </c>
      <c r="P118" s="121">
        <v>80</v>
      </c>
      <c r="Q118" s="121">
        <v>2.5</v>
      </c>
      <c r="R118" s="121">
        <v>2.2000000000000002</v>
      </c>
      <c r="S118" s="122">
        <v>660.54</v>
      </c>
      <c r="T118" s="122">
        <v>1.6E-2</v>
      </c>
      <c r="U118" s="122">
        <v>2.2000000000000001E-3</v>
      </c>
      <c r="V118" s="122">
        <v>0</v>
      </c>
      <c r="W118" s="122">
        <v>0.9</v>
      </c>
      <c r="X118" s="122">
        <v>0.6</v>
      </c>
      <c r="Y118" s="122">
        <v>1</v>
      </c>
      <c r="Z118" s="122">
        <v>120</v>
      </c>
      <c r="AA118" s="122">
        <v>5</v>
      </c>
      <c r="AB118" s="122">
        <v>0.1</v>
      </c>
      <c r="AC118" s="122">
        <v>3.5000000000000003E-2</v>
      </c>
      <c r="AD118" s="122">
        <v>1.4999999999999999E-2</v>
      </c>
      <c r="AE118" s="122">
        <v>3.8E-3</v>
      </c>
      <c r="AF118" s="122">
        <v>1.4E-3</v>
      </c>
      <c r="AG118" s="122">
        <v>1E-3</v>
      </c>
      <c r="AH118" s="122">
        <v>6.9999999999999999E-4</v>
      </c>
      <c r="AI118" s="122">
        <v>0</v>
      </c>
      <c r="AJ118" s="122">
        <v>0</v>
      </c>
      <c r="AK118" s="122">
        <v>0</v>
      </c>
      <c r="AL118" s="122">
        <v>3.39</v>
      </c>
      <c r="AM118" s="122">
        <v>3.39</v>
      </c>
      <c r="AN118" s="122">
        <v>3.39</v>
      </c>
      <c r="AO118" s="12">
        <v>6</v>
      </c>
      <c r="AP118" s="121">
        <v>5.15</v>
      </c>
      <c r="AQ118" s="121">
        <v>15.95</v>
      </c>
      <c r="AR118" s="121">
        <v>8.5</v>
      </c>
      <c r="AS118" s="121">
        <v>1</v>
      </c>
      <c r="AT118" s="121">
        <v>4.75</v>
      </c>
      <c r="AU118" s="121">
        <v>0.4</v>
      </c>
      <c r="AV118" s="121">
        <v>0.2</v>
      </c>
      <c r="AW118" s="121">
        <v>100</v>
      </c>
      <c r="AX118" s="121">
        <v>22.5</v>
      </c>
      <c r="AY118" s="121">
        <v>40.71</v>
      </c>
      <c r="AZ118" s="121">
        <v>0.05</v>
      </c>
      <c r="BA118" s="121">
        <v>3.9</v>
      </c>
      <c r="BB118" s="121">
        <v>0.01</v>
      </c>
      <c r="BC118" s="121">
        <v>0.1</v>
      </c>
      <c r="BD118" s="121">
        <v>0</v>
      </c>
      <c r="BE118" s="121">
        <v>0</v>
      </c>
      <c r="BF118" s="121">
        <v>0</v>
      </c>
      <c r="BG118" s="12" t="s">
        <v>2310</v>
      </c>
    </row>
    <row r="119" spans="1:59" s="12" customFormat="1" x14ac:dyDescent="0.25">
      <c r="A119" s="12">
        <v>116</v>
      </c>
      <c r="B119" s="12" t="s">
        <v>2311</v>
      </c>
      <c r="C119" s="121">
        <v>15</v>
      </c>
      <c r="D119" s="121">
        <v>0.75</v>
      </c>
      <c r="E119" s="121">
        <v>30</v>
      </c>
      <c r="F119" s="121">
        <v>10</v>
      </c>
      <c r="G119" s="121">
        <v>5</v>
      </c>
      <c r="H119" s="121">
        <v>0.99</v>
      </c>
      <c r="I119" s="121">
        <v>5.05</v>
      </c>
      <c r="J119" s="121">
        <v>40.950000000000003</v>
      </c>
      <c r="K119" s="121">
        <v>1</v>
      </c>
      <c r="L119" s="121">
        <v>1</v>
      </c>
      <c r="M119" s="146">
        <v>5</v>
      </c>
      <c r="N119" s="121">
        <v>5.0000000000000001E-3</v>
      </c>
      <c r="O119" s="121">
        <v>0.85</v>
      </c>
      <c r="P119" s="121">
        <v>80</v>
      </c>
      <c r="Q119" s="121">
        <v>6</v>
      </c>
      <c r="R119" s="121">
        <v>3.5</v>
      </c>
      <c r="S119" s="122">
        <v>660.15</v>
      </c>
      <c r="T119" s="122">
        <v>1.5E-3</v>
      </c>
      <c r="U119" s="122">
        <v>2.9999999999999997E-4</v>
      </c>
      <c r="V119" s="122">
        <v>2E-3</v>
      </c>
      <c r="W119" s="122">
        <v>0.05</v>
      </c>
      <c r="X119" s="122">
        <v>0.6</v>
      </c>
      <c r="Y119" s="122">
        <v>3</v>
      </c>
      <c r="Z119" s="122">
        <v>0</v>
      </c>
      <c r="AA119" s="122">
        <v>100</v>
      </c>
      <c r="AB119" s="122">
        <v>0.01</v>
      </c>
      <c r="AC119" s="122">
        <v>6.0000000000000001E-3</v>
      </c>
      <c r="AD119" s="122">
        <v>2E-3</v>
      </c>
      <c r="AE119" s="122">
        <v>1.5E-3</v>
      </c>
      <c r="AF119" s="122">
        <v>6.9999999999999999E-4</v>
      </c>
      <c r="AG119" s="122">
        <v>4.0000000000000002E-4</v>
      </c>
      <c r="AH119" s="122">
        <v>2.9999999999999997E-4</v>
      </c>
      <c r="AI119" s="122">
        <v>6.0000000000000001E-3</v>
      </c>
      <c r="AJ119" s="122">
        <v>3.0000000000000001E-3</v>
      </c>
      <c r="AK119" s="122">
        <v>2E-3</v>
      </c>
      <c r="AL119" s="122">
        <v>3.39</v>
      </c>
      <c r="AM119" s="122">
        <v>3.39</v>
      </c>
      <c r="AN119" s="122">
        <v>3.39</v>
      </c>
      <c r="AO119" s="12">
        <v>8</v>
      </c>
      <c r="AP119" s="121">
        <v>5.0999999999999996</v>
      </c>
      <c r="AQ119" s="121">
        <v>15.5</v>
      </c>
      <c r="AR119" s="121">
        <v>8</v>
      </c>
      <c r="AS119" s="121">
        <v>1</v>
      </c>
      <c r="AT119" s="121">
        <v>4.75</v>
      </c>
      <c r="AU119" s="121">
        <v>0.4</v>
      </c>
      <c r="AV119" s="121">
        <v>0.2</v>
      </c>
      <c r="AW119" s="121">
        <v>100</v>
      </c>
      <c r="AX119" s="121">
        <v>1000.95</v>
      </c>
      <c r="AY119" s="121">
        <v>100.05</v>
      </c>
      <c r="AZ119" s="121">
        <v>0.05</v>
      </c>
      <c r="BA119" s="121">
        <v>1</v>
      </c>
      <c r="BB119" s="121">
        <v>0.01</v>
      </c>
      <c r="BC119" s="121">
        <v>0.1</v>
      </c>
      <c r="BD119" s="121">
        <v>0</v>
      </c>
      <c r="BE119" s="121">
        <v>0</v>
      </c>
      <c r="BF119" s="121">
        <v>0</v>
      </c>
      <c r="BG119" s="12" t="s">
        <v>2312</v>
      </c>
    </row>
    <row r="120" spans="1:59" s="12" customFormat="1" x14ac:dyDescent="0.25">
      <c r="A120" s="12">
        <v>117</v>
      </c>
      <c r="B120" s="12" t="s">
        <v>2313</v>
      </c>
      <c r="C120" s="121">
        <v>33</v>
      </c>
      <c r="D120" s="121">
        <v>0.4</v>
      </c>
      <c r="E120" s="121">
        <v>25</v>
      </c>
      <c r="F120" s="121">
        <v>10</v>
      </c>
      <c r="G120" s="121">
        <v>1.5</v>
      </c>
      <c r="H120" s="121">
        <v>0.6</v>
      </c>
      <c r="I120" s="121">
        <v>15.05</v>
      </c>
      <c r="J120" s="121">
        <v>50.95</v>
      </c>
      <c r="K120" s="121">
        <v>0.5</v>
      </c>
      <c r="L120" s="121">
        <v>1</v>
      </c>
      <c r="M120" s="146">
        <v>3</v>
      </c>
      <c r="N120" s="121">
        <v>7.0000000000000001E-3</v>
      </c>
      <c r="O120" s="121">
        <v>0.85</v>
      </c>
      <c r="P120" s="121">
        <v>35</v>
      </c>
      <c r="Q120" s="121">
        <v>1</v>
      </c>
      <c r="R120" s="121">
        <v>2</v>
      </c>
      <c r="S120" s="122">
        <v>660.45</v>
      </c>
      <c r="T120" s="122">
        <v>6.5000000000000002E-2</v>
      </c>
      <c r="U120" s="122">
        <v>9.1000000000000004E-3</v>
      </c>
      <c r="V120" s="122">
        <v>0</v>
      </c>
      <c r="W120" s="122">
        <v>0.2</v>
      </c>
      <c r="X120" s="122">
        <v>0.6</v>
      </c>
      <c r="Y120" s="122">
        <v>2.2050000000000001</v>
      </c>
      <c r="Z120" s="122">
        <v>0</v>
      </c>
      <c r="AA120" s="122">
        <v>0</v>
      </c>
      <c r="AB120" s="122">
        <v>0.1</v>
      </c>
      <c r="AC120" s="122">
        <v>0.03</v>
      </c>
      <c r="AD120" s="122">
        <v>2.6499999999999999E-2</v>
      </c>
      <c r="AE120" s="122">
        <v>2.58E-2</v>
      </c>
      <c r="AF120" s="122">
        <v>7.4000000000000003E-3</v>
      </c>
      <c r="AG120" s="122">
        <v>3.7000000000000002E-3</v>
      </c>
      <c r="AH120" s="122">
        <v>3.5000000000000001E-3</v>
      </c>
      <c r="AI120" s="122">
        <v>0</v>
      </c>
      <c r="AJ120" s="122">
        <v>0</v>
      </c>
      <c r="AK120" s="122">
        <v>0</v>
      </c>
      <c r="AL120" s="122">
        <v>1.266</v>
      </c>
      <c r="AM120" s="122">
        <v>0.63300000000000001</v>
      </c>
      <c r="AN120" s="122">
        <v>0.72899999999999998</v>
      </c>
      <c r="AO120" s="12">
        <v>4</v>
      </c>
      <c r="AP120" s="121">
        <v>5.15</v>
      </c>
      <c r="AQ120" s="121">
        <v>15.95</v>
      </c>
      <c r="AR120" s="121">
        <v>8</v>
      </c>
      <c r="AS120" s="121">
        <v>0.5</v>
      </c>
      <c r="AT120" s="121">
        <v>4.75</v>
      </c>
      <c r="AU120" s="121">
        <v>0.4</v>
      </c>
      <c r="AV120" s="121">
        <v>0.2</v>
      </c>
      <c r="AW120" s="121">
        <v>100</v>
      </c>
      <c r="AX120" s="121">
        <v>1.6</v>
      </c>
      <c r="AY120" s="121">
        <v>3.95</v>
      </c>
      <c r="AZ120" s="121">
        <v>0</v>
      </c>
      <c r="BA120" s="121">
        <v>0</v>
      </c>
      <c r="BB120" s="121">
        <v>0.01</v>
      </c>
      <c r="BC120" s="121">
        <v>0.1</v>
      </c>
      <c r="BD120" s="121">
        <v>0</v>
      </c>
      <c r="BE120" s="121">
        <v>0</v>
      </c>
      <c r="BF120" s="121">
        <v>0</v>
      </c>
      <c r="BG120" s="12" t="s">
        <v>2314</v>
      </c>
    </row>
    <row r="121" spans="1:59" s="12" customFormat="1" x14ac:dyDescent="0.25">
      <c r="A121" s="12">
        <v>118</v>
      </c>
      <c r="B121" s="12" t="s">
        <v>2315</v>
      </c>
      <c r="C121" s="121">
        <v>30</v>
      </c>
      <c r="D121" s="121">
        <v>0.44</v>
      </c>
      <c r="E121" s="121">
        <v>30</v>
      </c>
      <c r="F121" s="121">
        <v>10</v>
      </c>
      <c r="G121" s="121">
        <v>4.5</v>
      </c>
      <c r="H121" s="121">
        <v>0.99</v>
      </c>
      <c r="I121" s="121">
        <v>5.05</v>
      </c>
      <c r="J121" s="121">
        <v>40.950000000000003</v>
      </c>
      <c r="K121" s="121">
        <v>0.5</v>
      </c>
      <c r="L121" s="121">
        <v>1</v>
      </c>
      <c r="M121" s="146">
        <v>1</v>
      </c>
      <c r="N121" s="121">
        <v>3.5999999999999999E-3</v>
      </c>
      <c r="O121" s="121">
        <v>0.85</v>
      </c>
      <c r="P121" s="121">
        <v>80</v>
      </c>
      <c r="Q121" s="121">
        <v>7.5</v>
      </c>
      <c r="R121" s="121">
        <v>3.5</v>
      </c>
      <c r="S121" s="122">
        <v>660.31</v>
      </c>
      <c r="T121" s="122">
        <v>6.4000000000000003E-3</v>
      </c>
      <c r="U121" s="122">
        <v>8.0000000000000004E-4</v>
      </c>
      <c r="V121" s="122">
        <v>0</v>
      </c>
      <c r="W121" s="122">
        <v>0.01</v>
      </c>
      <c r="X121" s="122">
        <v>0.6</v>
      </c>
      <c r="Y121" s="122">
        <v>1</v>
      </c>
      <c r="Z121" s="122">
        <v>1000</v>
      </c>
      <c r="AA121" s="122">
        <v>5</v>
      </c>
      <c r="AB121" s="122">
        <v>0.01</v>
      </c>
      <c r="AC121" s="122">
        <v>0.06</v>
      </c>
      <c r="AD121" s="122">
        <v>3.2000000000000001E-2</v>
      </c>
      <c r="AE121" s="122">
        <v>1.6E-2</v>
      </c>
      <c r="AF121" s="122">
        <v>3.0000000000000001E-3</v>
      </c>
      <c r="AG121" s="122">
        <v>2E-3</v>
      </c>
      <c r="AH121" s="122">
        <v>1E-3</v>
      </c>
      <c r="AI121" s="122">
        <v>0</v>
      </c>
      <c r="AJ121" s="122">
        <v>0</v>
      </c>
      <c r="AK121" s="122">
        <v>0</v>
      </c>
      <c r="AL121" s="122">
        <v>3.39</v>
      </c>
      <c r="AM121" s="122">
        <v>3.39</v>
      </c>
      <c r="AN121" s="122">
        <v>3.39</v>
      </c>
      <c r="AO121" s="12">
        <v>7</v>
      </c>
      <c r="AP121" s="121">
        <v>5.15</v>
      </c>
      <c r="AQ121" s="121">
        <v>15.95</v>
      </c>
      <c r="AR121" s="121">
        <v>8</v>
      </c>
      <c r="AS121" s="121">
        <v>0.5</v>
      </c>
      <c r="AT121" s="121">
        <v>4.75</v>
      </c>
      <c r="AU121" s="121">
        <v>0.4</v>
      </c>
      <c r="AV121" s="121">
        <v>0.2</v>
      </c>
      <c r="AW121" s="121">
        <v>100</v>
      </c>
      <c r="AX121" s="121">
        <v>1000.95</v>
      </c>
      <c r="AY121" s="121">
        <v>100.1</v>
      </c>
      <c r="AZ121" s="121">
        <v>0.05</v>
      </c>
      <c r="BA121" s="121">
        <v>1</v>
      </c>
      <c r="BB121" s="121">
        <v>0.01</v>
      </c>
      <c r="BC121" s="121">
        <v>0.1</v>
      </c>
      <c r="BD121" s="121">
        <v>0</v>
      </c>
      <c r="BE121" s="121">
        <v>0</v>
      </c>
      <c r="BF121" s="121">
        <v>0</v>
      </c>
      <c r="BG121" s="12" t="s">
        <v>2316</v>
      </c>
    </row>
    <row r="122" spans="1:59" s="12" customFormat="1" x14ac:dyDescent="0.25">
      <c r="A122" s="12">
        <v>119</v>
      </c>
      <c r="B122" s="12" t="s">
        <v>2317</v>
      </c>
      <c r="C122" s="121">
        <v>35</v>
      </c>
      <c r="D122" s="121">
        <v>0.54</v>
      </c>
      <c r="E122" s="121">
        <v>25</v>
      </c>
      <c r="F122" s="121">
        <v>0</v>
      </c>
      <c r="G122" s="121">
        <v>4</v>
      </c>
      <c r="H122" s="121">
        <v>0.9</v>
      </c>
      <c r="I122" s="121">
        <v>15.01</v>
      </c>
      <c r="J122" s="121">
        <v>45.95</v>
      </c>
      <c r="K122" s="121">
        <v>0.5</v>
      </c>
      <c r="L122" s="121">
        <v>0.5</v>
      </c>
      <c r="M122" s="146">
        <v>2</v>
      </c>
      <c r="N122" s="121">
        <v>8.3000000000000001E-3</v>
      </c>
      <c r="O122" s="121">
        <v>0.85</v>
      </c>
      <c r="P122" s="121">
        <v>5</v>
      </c>
      <c r="Q122" s="121">
        <v>1.2</v>
      </c>
      <c r="R122" s="121">
        <v>1.3</v>
      </c>
      <c r="S122" s="122">
        <v>660.45</v>
      </c>
      <c r="T122" s="122">
        <v>2.1000000000000001E-2</v>
      </c>
      <c r="U122" s="122">
        <v>1.6999999999999999E-3</v>
      </c>
      <c r="V122" s="122">
        <v>0</v>
      </c>
      <c r="W122" s="122">
        <v>0.2</v>
      </c>
      <c r="X122" s="122">
        <v>0.6</v>
      </c>
      <c r="Y122" s="122">
        <v>1</v>
      </c>
      <c r="Z122" s="122">
        <v>92.83</v>
      </c>
      <c r="AA122" s="122">
        <v>75</v>
      </c>
      <c r="AB122" s="122">
        <v>0.13</v>
      </c>
      <c r="AC122" s="122">
        <v>5.8999999999999997E-2</v>
      </c>
      <c r="AD122" s="122">
        <v>2.2599999999999999E-2</v>
      </c>
      <c r="AE122" s="122">
        <v>1.3100000000000001E-2</v>
      </c>
      <c r="AF122" s="122">
        <v>5.7000000000000002E-3</v>
      </c>
      <c r="AG122" s="122">
        <v>2.2000000000000001E-3</v>
      </c>
      <c r="AH122" s="122">
        <v>1.2999999999999999E-3</v>
      </c>
      <c r="AI122" s="122">
        <v>0</v>
      </c>
      <c r="AJ122" s="122">
        <v>0</v>
      </c>
      <c r="AK122" s="122">
        <v>0</v>
      </c>
      <c r="AL122" s="122">
        <v>0.65700000000000003</v>
      </c>
      <c r="AM122" s="122">
        <v>0.65700000000000003</v>
      </c>
      <c r="AN122" s="122">
        <v>0.32</v>
      </c>
      <c r="AO122" s="12">
        <v>4</v>
      </c>
      <c r="AP122" s="121">
        <v>5.15</v>
      </c>
      <c r="AQ122" s="121">
        <v>15.95</v>
      </c>
      <c r="AR122" s="121">
        <v>7</v>
      </c>
      <c r="AS122" s="121">
        <v>0.5</v>
      </c>
      <c r="AT122" s="121">
        <v>4.75</v>
      </c>
      <c r="AU122" s="121">
        <v>0.4</v>
      </c>
      <c r="AV122" s="121">
        <v>0.2</v>
      </c>
      <c r="AW122" s="121">
        <v>100</v>
      </c>
      <c r="AX122" s="121">
        <v>3.2</v>
      </c>
      <c r="AY122" s="121">
        <v>10.9</v>
      </c>
      <c r="AZ122" s="121">
        <v>0.2</v>
      </c>
      <c r="BA122" s="121">
        <v>4.8</v>
      </c>
      <c r="BB122" s="121">
        <v>0.01</v>
      </c>
      <c r="BC122" s="121">
        <v>0.1</v>
      </c>
      <c r="BD122" s="121">
        <v>0</v>
      </c>
      <c r="BE122" s="121">
        <v>0</v>
      </c>
      <c r="BF122" s="121">
        <v>0</v>
      </c>
      <c r="BG122" s="12" t="s">
        <v>2318</v>
      </c>
    </row>
    <row r="123" spans="1:59" s="12" customFormat="1" x14ac:dyDescent="0.25">
      <c r="A123" s="12">
        <v>120</v>
      </c>
      <c r="B123" s="12" t="s">
        <v>2319</v>
      </c>
      <c r="C123" s="121">
        <v>30</v>
      </c>
      <c r="D123" s="121">
        <v>0.54</v>
      </c>
      <c r="E123" s="121">
        <v>18</v>
      </c>
      <c r="F123" s="121">
        <v>0</v>
      </c>
      <c r="G123" s="121">
        <v>4</v>
      </c>
      <c r="H123" s="121">
        <v>0.9</v>
      </c>
      <c r="I123" s="121">
        <v>5.05</v>
      </c>
      <c r="J123" s="121">
        <v>45.95</v>
      </c>
      <c r="K123" s="121">
        <v>1</v>
      </c>
      <c r="L123" s="121">
        <v>1</v>
      </c>
      <c r="M123" s="146">
        <v>2</v>
      </c>
      <c r="N123" s="121">
        <v>5.5999999999999999E-3</v>
      </c>
      <c r="O123" s="121">
        <v>0.85</v>
      </c>
      <c r="P123" s="121">
        <v>90</v>
      </c>
      <c r="Q123" s="121">
        <v>0.9</v>
      </c>
      <c r="R123" s="121">
        <v>1.3</v>
      </c>
      <c r="S123" s="122">
        <v>660.39</v>
      </c>
      <c r="T123" s="122">
        <v>2.5000000000000001E-2</v>
      </c>
      <c r="U123" s="122">
        <v>2.2000000000000001E-3</v>
      </c>
      <c r="V123" s="122">
        <v>0</v>
      </c>
      <c r="W123" s="122">
        <v>0.2</v>
      </c>
      <c r="X123" s="122">
        <v>0.6</v>
      </c>
      <c r="Y123" s="122">
        <v>1</v>
      </c>
      <c r="Z123" s="122">
        <v>115</v>
      </c>
      <c r="AA123" s="122">
        <v>20</v>
      </c>
      <c r="AB123" s="122">
        <v>0.21</v>
      </c>
      <c r="AC123" s="122">
        <v>6.6299999999999998E-2</v>
      </c>
      <c r="AD123" s="122">
        <v>2.5499999999999998E-2</v>
      </c>
      <c r="AE123" s="122">
        <v>1.4800000000000001E-2</v>
      </c>
      <c r="AF123" s="122">
        <v>5.3E-3</v>
      </c>
      <c r="AG123" s="122">
        <v>2E-3</v>
      </c>
      <c r="AH123" s="122">
        <v>1.1999999999999999E-3</v>
      </c>
      <c r="AI123" s="122">
        <v>0</v>
      </c>
      <c r="AJ123" s="122">
        <v>0</v>
      </c>
      <c r="AK123" s="122">
        <v>0</v>
      </c>
      <c r="AL123" s="122">
        <v>3.39</v>
      </c>
      <c r="AM123" s="122">
        <v>3.39</v>
      </c>
      <c r="AN123" s="122">
        <v>1.61</v>
      </c>
      <c r="AO123" s="12">
        <v>5</v>
      </c>
      <c r="AP123" s="121">
        <v>5.01</v>
      </c>
      <c r="AQ123" s="121">
        <v>15.1</v>
      </c>
      <c r="AR123" s="121">
        <v>6</v>
      </c>
      <c r="AS123" s="121">
        <v>0.5</v>
      </c>
      <c r="AT123" s="121">
        <v>4.75</v>
      </c>
      <c r="AU123" s="121">
        <v>0.4</v>
      </c>
      <c r="AV123" s="121">
        <v>0.2</v>
      </c>
      <c r="AW123" s="121">
        <v>100</v>
      </c>
      <c r="AX123" s="121">
        <v>125.6</v>
      </c>
      <c r="AY123" s="121">
        <v>250.95</v>
      </c>
      <c r="AZ123" s="121">
        <v>7.0999999999999994E-2</v>
      </c>
      <c r="BA123" s="121">
        <v>6</v>
      </c>
      <c r="BB123" s="121">
        <v>0.01</v>
      </c>
      <c r="BC123" s="121">
        <v>0.1</v>
      </c>
      <c r="BD123" s="121">
        <v>0</v>
      </c>
      <c r="BE123" s="121">
        <v>0</v>
      </c>
      <c r="BF123" s="121">
        <v>0</v>
      </c>
      <c r="BG123" s="12" t="s">
        <v>2320</v>
      </c>
    </row>
    <row r="124" spans="1:59" s="12" customFormat="1" x14ac:dyDescent="0.25">
      <c r="A124" s="12">
        <v>121</v>
      </c>
      <c r="B124" s="12" t="s">
        <v>2321</v>
      </c>
      <c r="C124" s="121">
        <v>15</v>
      </c>
      <c r="D124" s="121">
        <v>0.1</v>
      </c>
      <c r="E124" s="121">
        <v>20</v>
      </c>
      <c r="F124" s="121">
        <v>10</v>
      </c>
      <c r="G124" s="121">
        <v>1.5</v>
      </c>
      <c r="H124" s="121">
        <v>0.99</v>
      </c>
      <c r="I124" s="121">
        <v>10.15</v>
      </c>
      <c r="J124" s="121">
        <v>50.75</v>
      </c>
      <c r="K124" s="121">
        <v>1</v>
      </c>
      <c r="L124" s="121">
        <v>1</v>
      </c>
      <c r="M124" s="146">
        <v>3</v>
      </c>
      <c r="N124" s="121">
        <v>7.0000000000000001E-3</v>
      </c>
      <c r="O124" s="121">
        <v>0.85</v>
      </c>
      <c r="P124" s="121">
        <v>100</v>
      </c>
      <c r="Q124" s="121">
        <v>1.5</v>
      </c>
      <c r="R124" s="121">
        <v>1.5</v>
      </c>
      <c r="S124" s="122">
        <v>660.35</v>
      </c>
      <c r="T124" s="122">
        <v>1.9E-3</v>
      </c>
      <c r="U124" s="122">
        <v>4.0000000000000002E-4</v>
      </c>
      <c r="V124" s="122">
        <v>0</v>
      </c>
      <c r="W124" s="122">
        <v>0.05</v>
      </c>
      <c r="X124" s="122">
        <v>0.6</v>
      </c>
      <c r="Y124" s="122">
        <v>1</v>
      </c>
      <c r="Z124" s="122">
        <v>1000</v>
      </c>
      <c r="AA124" s="122">
        <v>0</v>
      </c>
      <c r="AB124" s="122">
        <v>0.9</v>
      </c>
      <c r="AC124" s="122">
        <v>6.0000000000000001E-3</v>
      </c>
      <c r="AD124" s="122">
        <v>2E-3</v>
      </c>
      <c r="AE124" s="122">
        <v>1.5E-3</v>
      </c>
      <c r="AF124" s="122">
        <v>6.9999999999999999E-4</v>
      </c>
      <c r="AG124" s="122">
        <v>4.0000000000000002E-4</v>
      </c>
      <c r="AH124" s="122">
        <v>2.9999999999999997E-4</v>
      </c>
      <c r="AI124" s="122">
        <v>0</v>
      </c>
      <c r="AJ124" s="122">
        <v>0</v>
      </c>
      <c r="AK124" s="122">
        <v>0</v>
      </c>
      <c r="AL124" s="122">
        <v>3.39</v>
      </c>
      <c r="AM124" s="122">
        <v>3.39</v>
      </c>
      <c r="AN124" s="122">
        <v>3.39</v>
      </c>
      <c r="AO124" s="12">
        <v>8</v>
      </c>
      <c r="AP124" s="121">
        <v>15.01</v>
      </c>
      <c r="AQ124" s="121">
        <v>23.5</v>
      </c>
      <c r="AR124" s="121">
        <v>3</v>
      </c>
      <c r="AS124" s="121">
        <v>0.75</v>
      </c>
      <c r="AT124" s="121">
        <v>4.75</v>
      </c>
      <c r="AU124" s="121">
        <v>0.4</v>
      </c>
      <c r="AV124" s="121">
        <v>0.2</v>
      </c>
      <c r="AW124" s="121">
        <v>100</v>
      </c>
      <c r="AX124" s="121">
        <v>1.25</v>
      </c>
      <c r="AY124" s="121">
        <v>3.9</v>
      </c>
      <c r="AZ124" s="121">
        <v>0</v>
      </c>
      <c r="BA124" s="121">
        <v>0</v>
      </c>
      <c r="BB124" s="121">
        <v>0.01</v>
      </c>
      <c r="BC124" s="121">
        <v>0.1</v>
      </c>
      <c r="BD124" s="121">
        <v>0</v>
      </c>
      <c r="BE124" s="121">
        <v>0</v>
      </c>
      <c r="BF124" s="121">
        <v>0</v>
      </c>
      <c r="BG124" s="12" t="s">
        <v>2322</v>
      </c>
    </row>
    <row r="125" spans="1:59" s="12" customFormat="1" x14ac:dyDescent="0.25">
      <c r="A125" s="12">
        <v>122</v>
      </c>
      <c r="B125" s="12" t="s">
        <v>2323</v>
      </c>
      <c r="C125" s="121">
        <v>15</v>
      </c>
      <c r="D125" s="121">
        <v>0.15</v>
      </c>
      <c r="E125" s="121">
        <v>20</v>
      </c>
      <c r="F125" s="121">
        <v>7</v>
      </c>
      <c r="G125" s="121">
        <v>4</v>
      </c>
      <c r="H125" s="121">
        <v>0.99</v>
      </c>
      <c r="I125" s="121">
        <v>10.15</v>
      </c>
      <c r="J125" s="121">
        <v>50.75</v>
      </c>
      <c r="K125" s="121">
        <v>0.5</v>
      </c>
      <c r="L125" s="121">
        <v>1</v>
      </c>
      <c r="M125" s="146">
        <v>1</v>
      </c>
      <c r="N125" s="121">
        <v>7.1000000000000004E-3</v>
      </c>
      <c r="O125" s="121">
        <v>0.85</v>
      </c>
      <c r="P125" s="121">
        <v>80</v>
      </c>
      <c r="Q125" s="121">
        <v>3.5</v>
      </c>
      <c r="R125" s="121">
        <v>2</v>
      </c>
      <c r="S125" s="122">
        <v>660.2</v>
      </c>
      <c r="T125" s="122">
        <v>1.9E-3</v>
      </c>
      <c r="U125" s="122">
        <v>4.0000000000000002E-4</v>
      </c>
      <c r="V125" s="122">
        <v>0</v>
      </c>
      <c r="W125" s="122">
        <v>0.05</v>
      </c>
      <c r="X125" s="122">
        <v>0.6</v>
      </c>
      <c r="Y125" s="122">
        <v>1</v>
      </c>
      <c r="Z125" s="122">
        <v>1000</v>
      </c>
      <c r="AA125" s="122">
        <v>5</v>
      </c>
      <c r="AB125" s="122">
        <v>0.01</v>
      </c>
      <c r="AC125" s="122">
        <v>6.0000000000000001E-3</v>
      </c>
      <c r="AD125" s="122">
        <v>2E-3</v>
      </c>
      <c r="AE125" s="122">
        <v>1.5E-3</v>
      </c>
      <c r="AF125" s="122">
        <v>6.9999999999999999E-4</v>
      </c>
      <c r="AG125" s="122">
        <v>4.0000000000000002E-4</v>
      </c>
      <c r="AH125" s="122">
        <v>2.9999999999999997E-4</v>
      </c>
      <c r="AI125" s="122">
        <v>0</v>
      </c>
      <c r="AJ125" s="122">
        <v>0</v>
      </c>
      <c r="AK125" s="122">
        <v>0</v>
      </c>
      <c r="AL125" s="122">
        <v>3.39</v>
      </c>
      <c r="AM125" s="122">
        <v>3.39</v>
      </c>
      <c r="AN125" s="122">
        <v>3.39</v>
      </c>
      <c r="AO125" s="12">
        <v>7</v>
      </c>
      <c r="AP125" s="121">
        <v>5.15</v>
      </c>
      <c r="AQ125" s="121">
        <v>15.95</v>
      </c>
      <c r="AR125" s="121">
        <v>3</v>
      </c>
      <c r="AS125" s="121">
        <v>0.5</v>
      </c>
      <c r="AT125" s="121">
        <v>4.75</v>
      </c>
      <c r="AU125" s="121">
        <v>0.4</v>
      </c>
      <c r="AV125" s="121">
        <v>0.2</v>
      </c>
      <c r="AW125" s="121">
        <v>100</v>
      </c>
      <c r="AX125" s="121">
        <v>1000.95</v>
      </c>
      <c r="AY125" s="121">
        <v>100.1</v>
      </c>
      <c r="AZ125" s="121">
        <v>0.05</v>
      </c>
      <c r="BA125" s="121">
        <v>1</v>
      </c>
      <c r="BB125" s="121">
        <v>0.01</v>
      </c>
      <c r="BC125" s="121">
        <v>0.1</v>
      </c>
      <c r="BD125" s="121">
        <v>0</v>
      </c>
      <c r="BE125" s="121">
        <v>0</v>
      </c>
      <c r="BF125" s="121">
        <v>0</v>
      </c>
      <c r="BG125" s="12" t="s">
        <v>2324</v>
      </c>
    </row>
    <row r="126" spans="1:59" s="12" customFormat="1" x14ac:dyDescent="0.25">
      <c r="A126" s="12">
        <v>123</v>
      </c>
      <c r="B126" s="12" t="s">
        <v>2325</v>
      </c>
      <c r="C126" s="121">
        <v>25</v>
      </c>
      <c r="D126" s="121">
        <v>0.45</v>
      </c>
      <c r="E126" s="121">
        <v>15</v>
      </c>
      <c r="F126" s="121">
        <v>1</v>
      </c>
      <c r="G126" s="121">
        <v>5</v>
      </c>
      <c r="H126" s="121">
        <v>0.75</v>
      </c>
      <c r="I126" s="121">
        <v>15.01</v>
      </c>
      <c r="J126" s="121">
        <v>50.95</v>
      </c>
      <c r="K126" s="121">
        <v>2</v>
      </c>
      <c r="L126" s="121">
        <v>2</v>
      </c>
      <c r="M126" s="146">
        <v>2</v>
      </c>
      <c r="N126" s="121">
        <v>7.0000000000000001E-3</v>
      </c>
      <c r="O126" s="121">
        <v>0.85</v>
      </c>
      <c r="P126" s="121">
        <v>35</v>
      </c>
      <c r="Q126" s="121">
        <v>1.2</v>
      </c>
      <c r="R126" s="121">
        <v>2</v>
      </c>
      <c r="S126" s="122">
        <v>660.34</v>
      </c>
      <c r="T126" s="122">
        <v>4.1200000000000001E-2</v>
      </c>
      <c r="U126" s="122">
        <v>5.4999999999999997E-3</v>
      </c>
      <c r="V126" s="122">
        <v>1.14E-2</v>
      </c>
      <c r="W126" s="122">
        <v>0.34</v>
      </c>
      <c r="X126" s="122">
        <v>0.6</v>
      </c>
      <c r="Y126" s="122">
        <v>0.73899999999999999</v>
      </c>
      <c r="Z126" s="122">
        <v>24</v>
      </c>
      <c r="AA126" s="122">
        <v>5</v>
      </c>
      <c r="AB126" s="122">
        <v>0.12</v>
      </c>
      <c r="AC126" s="122">
        <v>5.1499999999999997E-2</v>
      </c>
      <c r="AD126" s="122">
        <v>3.3500000000000002E-2</v>
      </c>
      <c r="AE126" s="122">
        <v>2.9600000000000001E-2</v>
      </c>
      <c r="AF126" s="122">
        <v>3.3E-3</v>
      </c>
      <c r="AG126" s="122">
        <v>1.9E-3</v>
      </c>
      <c r="AH126" s="122">
        <v>1.4E-3</v>
      </c>
      <c r="AI126" s="122">
        <v>1.4E-2</v>
      </c>
      <c r="AJ126" s="122">
        <v>1.2999999999999999E-2</v>
      </c>
      <c r="AK126" s="122">
        <v>1.2E-2</v>
      </c>
      <c r="AL126" s="122">
        <v>3.39</v>
      </c>
      <c r="AM126" s="122">
        <v>3.39</v>
      </c>
      <c r="AN126" s="122">
        <v>1.61</v>
      </c>
      <c r="AO126" s="12">
        <v>2</v>
      </c>
      <c r="AP126" s="121">
        <v>5.01</v>
      </c>
      <c r="AQ126" s="121">
        <v>15.1</v>
      </c>
      <c r="AR126" s="121">
        <v>10</v>
      </c>
      <c r="AS126" s="121">
        <v>1</v>
      </c>
      <c r="AT126" s="121">
        <v>4.75</v>
      </c>
      <c r="AU126" s="121">
        <v>0.4</v>
      </c>
      <c r="AV126" s="121">
        <v>0.2</v>
      </c>
      <c r="AW126" s="121">
        <v>100</v>
      </c>
      <c r="AX126" s="121">
        <v>20.2</v>
      </c>
      <c r="AY126" s="121">
        <v>100.9</v>
      </c>
      <c r="AZ126" s="121">
        <v>0.1</v>
      </c>
      <c r="BA126" s="121">
        <v>2.5</v>
      </c>
      <c r="BB126" s="121">
        <v>0.01</v>
      </c>
      <c r="BC126" s="121">
        <v>0.1</v>
      </c>
      <c r="BD126" s="121">
        <v>0</v>
      </c>
      <c r="BE126" s="121">
        <v>0</v>
      </c>
      <c r="BF126" s="121">
        <v>0</v>
      </c>
      <c r="BG126" s="12" t="s">
        <v>2326</v>
      </c>
    </row>
    <row r="127" spans="1:59" s="12" customFormat="1" x14ac:dyDescent="0.25">
      <c r="A127" s="12">
        <v>124</v>
      </c>
      <c r="B127" s="12" t="s">
        <v>2327</v>
      </c>
      <c r="C127" s="121">
        <v>16</v>
      </c>
      <c r="D127" s="121">
        <v>0.05</v>
      </c>
      <c r="E127" s="121">
        <v>20</v>
      </c>
      <c r="F127" s="121">
        <v>2</v>
      </c>
      <c r="G127" s="121">
        <v>5</v>
      </c>
      <c r="H127" s="121">
        <v>0.15</v>
      </c>
      <c r="I127" s="121">
        <v>10.5</v>
      </c>
      <c r="J127" s="121">
        <v>25.99</v>
      </c>
      <c r="K127" s="121">
        <v>0.5</v>
      </c>
      <c r="L127" s="121">
        <v>1</v>
      </c>
      <c r="M127" s="146">
        <v>1</v>
      </c>
      <c r="N127" s="121">
        <v>7.0000000000000001E-3</v>
      </c>
      <c r="O127" s="121">
        <v>0.85</v>
      </c>
      <c r="P127" s="121">
        <v>80</v>
      </c>
      <c r="Q127" s="121">
        <v>20</v>
      </c>
      <c r="R127" s="121">
        <v>2</v>
      </c>
      <c r="S127" s="122">
        <v>660.22</v>
      </c>
      <c r="T127" s="122">
        <v>1.5E-3</v>
      </c>
      <c r="U127" s="122">
        <v>2.9999999999999997E-4</v>
      </c>
      <c r="V127" s="122">
        <v>2E-3</v>
      </c>
      <c r="W127" s="122">
        <v>0.05</v>
      </c>
      <c r="X127" s="122">
        <v>0.6</v>
      </c>
      <c r="Y127" s="122">
        <v>6.7210000000000001</v>
      </c>
      <c r="Z127" s="122">
        <v>1000</v>
      </c>
      <c r="AA127" s="122">
        <v>5</v>
      </c>
      <c r="AB127" s="122">
        <v>0.01</v>
      </c>
      <c r="AC127" s="122">
        <v>6.0000000000000001E-3</v>
      </c>
      <c r="AD127" s="122">
        <v>2E-3</v>
      </c>
      <c r="AE127" s="122">
        <v>1.5E-3</v>
      </c>
      <c r="AF127" s="122">
        <v>6.9999999999999999E-4</v>
      </c>
      <c r="AG127" s="122">
        <v>4.0000000000000002E-4</v>
      </c>
      <c r="AH127" s="122">
        <v>2.9999999999999997E-4</v>
      </c>
      <c r="AI127" s="122">
        <v>6.0000000000000001E-3</v>
      </c>
      <c r="AJ127" s="122">
        <v>3.0000000000000001E-3</v>
      </c>
      <c r="AK127" s="122">
        <v>2E-3</v>
      </c>
      <c r="AL127" s="122">
        <v>3.39</v>
      </c>
      <c r="AM127" s="122">
        <v>3.39</v>
      </c>
      <c r="AN127" s="122">
        <v>3.39</v>
      </c>
      <c r="AO127" s="12">
        <v>7</v>
      </c>
      <c r="AP127" s="121">
        <v>3.15</v>
      </c>
      <c r="AQ127" s="121">
        <v>15.95</v>
      </c>
      <c r="AR127" s="121">
        <v>3</v>
      </c>
      <c r="AS127" s="121">
        <v>0.5</v>
      </c>
      <c r="AT127" s="121">
        <v>4.75</v>
      </c>
      <c r="AU127" s="121">
        <v>0.4</v>
      </c>
      <c r="AV127" s="121">
        <v>0.2</v>
      </c>
      <c r="AW127" s="121">
        <v>100</v>
      </c>
      <c r="AX127" s="121">
        <v>1000.95</v>
      </c>
      <c r="AY127" s="121">
        <v>100.1</v>
      </c>
      <c r="AZ127" s="121">
        <v>0.05</v>
      </c>
      <c r="BA127" s="121">
        <v>1</v>
      </c>
      <c r="BB127" s="121">
        <v>0.01</v>
      </c>
      <c r="BC127" s="121">
        <v>0.1</v>
      </c>
      <c r="BD127" s="121">
        <v>0</v>
      </c>
      <c r="BE127" s="121">
        <v>0</v>
      </c>
      <c r="BF127" s="121">
        <v>0</v>
      </c>
      <c r="BG127" s="12" t="s">
        <v>2328</v>
      </c>
    </row>
    <row r="128" spans="1:59" s="12" customFormat="1" x14ac:dyDescent="0.25">
      <c r="A128" s="12">
        <v>125</v>
      </c>
      <c r="B128" s="12" t="s">
        <v>2329</v>
      </c>
      <c r="C128" s="121">
        <v>24</v>
      </c>
      <c r="D128" s="121">
        <v>0.56000000000000005</v>
      </c>
      <c r="E128" s="121">
        <v>30</v>
      </c>
      <c r="F128" s="121">
        <v>0</v>
      </c>
      <c r="G128" s="121">
        <v>5</v>
      </c>
      <c r="H128" s="121">
        <v>0.99</v>
      </c>
      <c r="I128" s="121">
        <v>15.7</v>
      </c>
      <c r="J128" s="121">
        <v>25.99</v>
      </c>
      <c r="K128" s="121">
        <v>0.5</v>
      </c>
      <c r="L128" s="121">
        <v>1</v>
      </c>
      <c r="M128" s="146">
        <v>1</v>
      </c>
      <c r="N128" s="121">
        <v>1.9E-3</v>
      </c>
      <c r="O128" s="121">
        <v>0.85</v>
      </c>
      <c r="P128" s="121">
        <v>80</v>
      </c>
      <c r="Q128" s="121">
        <v>10</v>
      </c>
      <c r="R128" s="121">
        <v>3.5</v>
      </c>
      <c r="S128" s="122">
        <v>660.16</v>
      </c>
      <c r="T128" s="122">
        <v>1.5E-3</v>
      </c>
      <c r="U128" s="122">
        <v>2.9999999999999997E-4</v>
      </c>
      <c r="V128" s="122">
        <v>0</v>
      </c>
      <c r="W128" s="122">
        <v>0.6</v>
      </c>
      <c r="X128" s="122">
        <v>0.6</v>
      </c>
      <c r="Y128" s="122">
        <v>1</v>
      </c>
      <c r="Z128" s="122">
        <v>1000</v>
      </c>
      <c r="AA128" s="122">
        <v>5</v>
      </c>
      <c r="AB128" s="122">
        <v>0.01</v>
      </c>
      <c r="AC128" s="122">
        <v>6.0000000000000001E-3</v>
      </c>
      <c r="AD128" s="122">
        <v>2E-3</v>
      </c>
      <c r="AE128" s="122">
        <v>1.5E-3</v>
      </c>
      <c r="AF128" s="122">
        <v>6.9999999999999999E-4</v>
      </c>
      <c r="AG128" s="122">
        <v>4.0000000000000002E-4</v>
      </c>
      <c r="AH128" s="122">
        <v>2.9999999999999997E-4</v>
      </c>
      <c r="AI128" s="122">
        <v>0</v>
      </c>
      <c r="AJ128" s="122">
        <v>0</v>
      </c>
      <c r="AK128" s="122">
        <v>0</v>
      </c>
      <c r="AL128" s="122">
        <v>3.39</v>
      </c>
      <c r="AM128" s="122">
        <v>3.39</v>
      </c>
      <c r="AN128" s="122">
        <v>3.39</v>
      </c>
      <c r="AO128" s="12">
        <v>7</v>
      </c>
      <c r="AP128" s="121">
        <v>5.15</v>
      </c>
      <c r="AQ128" s="121">
        <v>15.95</v>
      </c>
      <c r="AR128" s="121">
        <v>8</v>
      </c>
      <c r="AS128" s="121">
        <v>0.5</v>
      </c>
      <c r="AT128" s="121">
        <v>4.75</v>
      </c>
      <c r="AU128" s="121">
        <v>0.4</v>
      </c>
      <c r="AV128" s="121">
        <v>0.2</v>
      </c>
      <c r="AW128" s="121">
        <v>100</v>
      </c>
      <c r="AX128" s="121">
        <v>1000.95</v>
      </c>
      <c r="AY128" s="121">
        <v>100.1</v>
      </c>
      <c r="AZ128" s="121">
        <v>0.05</v>
      </c>
      <c r="BA128" s="121">
        <v>1</v>
      </c>
      <c r="BB128" s="121">
        <v>0.01</v>
      </c>
      <c r="BC128" s="121">
        <v>0.1</v>
      </c>
      <c r="BD128" s="121">
        <v>0</v>
      </c>
      <c r="BE128" s="121">
        <v>0</v>
      </c>
      <c r="BF128" s="121">
        <v>0</v>
      </c>
      <c r="BG128" s="12" t="s">
        <v>2330</v>
      </c>
    </row>
    <row r="129" spans="1:59" s="12" customFormat="1" x14ac:dyDescent="0.25">
      <c r="A129" s="12">
        <v>126</v>
      </c>
      <c r="B129" s="12" t="s">
        <v>2331</v>
      </c>
      <c r="C129" s="121">
        <v>10</v>
      </c>
      <c r="D129" s="121">
        <v>0.15</v>
      </c>
      <c r="E129" s="121">
        <v>30</v>
      </c>
      <c r="F129" s="121">
        <v>10</v>
      </c>
      <c r="G129" s="121">
        <v>1.35</v>
      </c>
      <c r="H129" s="121">
        <v>0.99</v>
      </c>
      <c r="I129" s="121">
        <v>5.05</v>
      </c>
      <c r="J129" s="121">
        <v>40.950000000000003</v>
      </c>
      <c r="K129" s="121">
        <v>0.5</v>
      </c>
      <c r="L129" s="121">
        <v>1</v>
      </c>
      <c r="M129" s="146">
        <v>1</v>
      </c>
      <c r="N129" s="121">
        <v>3.5999999999999999E-3</v>
      </c>
      <c r="O129" s="121">
        <v>0.85</v>
      </c>
      <c r="P129" s="121">
        <v>80</v>
      </c>
      <c r="Q129" s="121">
        <v>2</v>
      </c>
      <c r="R129" s="121">
        <v>2</v>
      </c>
      <c r="S129" s="122">
        <v>660.18</v>
      </c>
      <c r="T129" s="122">
        <v>1.5E-3</v>
      </c>
      <c r="U129" s="122">
        <v>2.9999999999999997E-4</v>
      </c>
      <c r="V129" s="122">
        <v>0</v>
      </c>
      <c r="W129" s="122">
        <v>0.01</v>
      </c>
      <c r="X129" s="122">
        <v>0.6</v>
      </c>
      <c r="Y129" s="122">
        <v>1</v>
      </c>
      <c r="Z129" s="122">
        <v>1000</v>
      </c>
      <c r="AA129" s="122">
        <v>5</v>
      </c>
      <c r="AB129" s="122">
        <v>0.01</v>
      </c>
      <c r="AC129" s="122">
        <v>0.02</v>
      </c>
      <c r="AD129" s="122">
        <v>0.01</v>
      </c>
      <c r="AE129" s="122">
        <v>8.0000000000000002E-3</v>
      </c>
      <c r="AF129" s="122">
        <v>6.9999999999999999E-4</v>
      </c>
      <c r="AG129" s="122">
        <v>4.0000000000000002E-4</v>
      </c>
      <c r="AH129" s="122">
        <v>2.9999999999999997E-4</v>
      </c>
      <c r="AI129" s="122">
        <v>0</v>
      </c>
      <c r="AJ129" s="122">
        <v>0</v>
      </c>
      <c r="AK129" s="122">
        <v>0</v>
      </c>
      <c r="AL129" s="122">
        <v>3.39</v>
      </c>
      <c r="AM129" s="122">
        <v>3.39</v>
      </c>
      <c r="AN129" s="122">
        <v>3.39</v>
      </c>
      <c r="AO129" s="12">
        <v>7</v>
      </c>
      <c r="AP129" s="121">
        <v>5.15</v>
      </c>
      <c r="AQ129" s="121">
        <v>15.95</v>
      </c>
      <c r="AR129" s="121">
        <v>8</v>
      </c>
      <c r="AS129" s="121">
        <v>0.5</v>
      </c>
      <c r="AT129" s="121">
        <v>4.75</v>
      </c>
      <c r="AU129" s="121">
        <v>0.4</v>
      </c>
      <c r="AV129" s="121">
        <v>0.2</v>
      </c>
      <c r="AW129" s="121">
        <v>100</v>
      </c>
      <c r="AX129" s="121">
        <v>1000.95</v>
      </c>
      <c r="AY129" s="121">
        <v>100.1</v>
      </c>
      <c r="AZ129" s="121">
        <v>0.05</v>
      </c>
      <c r="BA129" s="121">
        <v>1</v>
      </c>
      <c r="BB129" s="121">
        <v>0.01</v>
      </c>
      <c r="BC129" s="121">
        <v>0.1</v>
      </c>
      <c r="BD129" s="121">
        <v>0</v>
      </c>
      <c r="BE129" s="121">
        <v>0</v>
      </c>
      <c r="BF129" s="121">
        <v>0</v>
      </c>
      <c r="BG129" s="12" t="s">
        <v>2332</v>
      </c>
    </row>
    <row r="130" spans="1:59" s="12" customFormat="1" x14ac:dyDescent="0.25">
      <c r="A130" s="12">
        <v>127</v>
      </c>
      <c r="B130" s="12" t="s">
        <v>2333</v>
      </c>
      <c r="C130" s="121">
        <v>23</v>
      </c>
      <c r="D130" s="121">
        <v>0.8</v>
      </c>
      <c r="E130" s="121">
        <v>18.2</v>
      </c>
      <c r="F130" s="121">
        <v>0</v>
      </c>
      <c r="G130" s="121">
        <v>4.2</v>
      </c>
      <c r="H130" s="121">
        <v>1</v>
      </c>
      <c r="I130" s="121">
        <v>25.23</v>
      </c>
      <c r="J130" s="121">
        <v>40.86</v>
      </c>
      <c r="K130" s="121">
        <v>0.1</v>
      </c>
      <c r="L130" s="121">
        <v>0.5</v>
      </c>
      <c r="M130" s="146">
        <v>2</v>
      </c>
      <c r="N130" s="121">
        <v>1.2200000000000001E-2</v>
      </c>
      <c r="O130" s="121">
        <v>0.86</v>
      </c>
      <c r="P130" s="121">
        <v>2.5</v>
      </c>
      <c r="Q130" s="121">
        <v>0.2</v>
      </c>
      <c r="R130" s="121">
        <v>0.8</v>
      </c>
      <c r="S130" s="122">
        <v>660.31</v>
      </c>
      <c r="T130" s="122">
        <v>3.9399999999999998E-2</v>
      </c>
      <c r="U130" s="122">
        <v>4.8999999999999998E-3</v>
      </c>
      <c r="V130" s="122">
        <v>3.8399999999999997E-2</v>
      </c>
      <c r="W130" s="122">
        <v>0.8</v>
      </c>
      <c r="X130" s="122">
        <v>0.6</v>
      </c>
      <c r="Y130" s="122">
        <v>148.19499999999999</v>
      </c>
      <c r="Z130" s="122">
        <v>4500</v>
      </c>
      <c r="AA130" s="122">
        <v>5</v>
      </c>
      <c r="AB130" s="122">
        <v>0.96</v>
      </c>
      <c r="AC130" s="122">
        <v>0.05</v>
      </c>
      <c r="AD130" s="122">
        <v>2.5000000000000001E-2</v>
      </c>
      <c r="AE130" s="122">
        <v>2.1000000000000001E-2</v>
      </c>
      <c r="AF130" s="122">
        <v>8.3999999999999995E-3</v>
      </c>
      <c r="AG130" s="122">
        <v>3.2000000000000002E-3</v>
      </c>
      <c r="AH130" s="122">
        <v>1.9E-3</v>
      </c>
      <c r="AI130" s="122">
        <v>0.04</v>
      </c>
      <c r="AJ130" s="122">
        <v>0.04</v>
      </c>
      <c r="AK130" s="122">
        <v>0.04</v>
      </c>
      <c r="AL130" s="122">
        <v>1.266</v>
      </c>
      <c r="AM130" s="122">
        <v>0.63300000000000001</v>
      </c>
      <c r="AN130" s="122">
        <v>0.72899999999999998</v>
      </c>
      <c r="AO130" s="12">
        <v>5</v>
      </c>
      <c r="AP130" s="121">
        <v>5.01</v>
      </c>
      <c r="AQ130" s="121">
        <v>15.1</v>
      </c>
      <c r="AR130" s="121">
        <v>8</v>
      </c>
      <c r="AS130" s="121">
        <v>0.5</v>
      </c>
      <c r="AT130" s="121">
        <v>4.3</v>
      </c>
      <c r="AU130" s="121">
        <v>0.4</v>
      </c>
      <c r="AV130" s="121">
        <v>0.2</v>
      </c>
      <c r="AW130" s="121">
        <v>100</v>
      </c>
      <c r="AX130" s="121">
        <v>10.199999999999999</v>
      </c>
      <c r="AY130" s="121">
        <v>50.9</v>
      </c>
      <c r="AZ130" s="121">
        <v>0.12</v>
      </c>
      <c r="BA130" s="121">
        <v>1.7</v>
      </c>
      <c r="BB130" s="121">
        <v>0.01</v>
      </c>
      <c r="BC130" s="121">
        <v>0.1</v>
      </c>
      <c r="BD130" s="121">
        <v>0</v>
      </c>
      <c r="BE130" s="121">
        <v>0</v>
      </c>
      <c r="BF130" s="121">
        <v>0</v>
      </c>
      <c r="BG130" s="12" t="s">
        <v>2334</v>
      </c>
    </row>
    <row r="131" spans="1:59" s="12" customFormat="1" x14ac:dyDescent="0.25">
      <c r="A131" s="12">
        <v>128</v>
      </c>
      <c r="B131" s="12" t="s">
        <v>2090</v>
      </c>
      <c r="C131" s="121">
        <v>35</v>
      </c>
      <c r="D131" s="121">
        <v>0.42</v>
      </c>
      <c r="E131" s="121">
        <v>28</v>
      </c>
      <c r="F131" s="121">
        <v>14</v>
      </c>
      <c r="G131" s="121">
        <v>4</v>
      </c>
      <c r="H131" s="121">
        <v>0.9</v>
      </c>
      <c r="I131" s="121">
        <v>15.01</v>
      </c>
      <c r="J131" s="121">
        <v>50.95</v>
      </c>
      <c r="K131" s="121">
        <v>1</v>
      </c>
      <c r="L131" s="121">
        <v>1</v>
      </c>
      <c r="M131" s="146">
        <v>3</v>
      </c>
      <c r="N131" s="121">
        <v>5.4999999999999997E-3</v>
      </c>
      <c r="O131" s="121">
        <v>0.85</v>
      </c>
      <c r="P131" s="121">
        <v>35</v>
      </c>
      <c r="Q131" s="121">
        <v>1.2</v>
      </c>
      <c r="R131" s="121">
        <v>2</v>
      </c>
      <c r="S131" s="122">
        <v>660.39</v>
      </c>
      <c r="T131" s="122">
        <v>4.2700000000000002E-2</v>
      </c>
      <c r="U131" s="122">
        <v>4.7999999999999996E-3</v>
      </c>
      <c r="V131" s="122">
        <v>0</v>
      </c>
      <c r="W131" s="122">
        <v>0.05</v>
      </c>
      <c r="X131" s="122">
        <v>0.6</v>
      </c>
      <c r="Y131" s="122">
        <v>1</v>
      </c>
      <c r="Z131" s="122">
        <v>494</v>
      </c>
      <c r="AA131" s="122">
        <v>0</v>
      </c>
      <c r="AB131" s="122">
        <v>0.11</v>
      </c>
      <c r="AC131" s="122">
        <v>0.06</v>
      </c>
      <c r="AD131" s="122">
        <v>2.3099999999999999E-2</v>
      </c>
      <c r="AE131" s="122">
        <v>1.34E-2</v>
      </c>
      <c r="AF131" s="122">
        <v>4.8999999999999998E-3</v>
      </c>
      <c r="AG131" s="122">
        <v>1.9E-3</v>
      </c>
      <c r="AH131" s="122">
        <v>1.1000000000000001E-3</v>
      </c>
      <c r="AI131" s="122">
        <v>0</v>
      </c>
      <c r="AJ131" s="122">
        <v>0</v>
      </c>
      <c r="AK131" s="122">
        <v>0</v>
      </c>
      <c r="AL131" s="122">
        <v>1.266</v>
      </c>
      <c r="AM131" s="122">
        <v>0.63300000000000001</v>
      </c>
      <c r="AN131" s="122">
        <v>0.72899999999999998</v>
      </c>
      <c r="AO131" s="12">
        <v>1</v>
      </c>
      <c r="AP131" s="121">
        <v>5.15</v>
      </c>
      <c r="AQ131" s="121">
        <v>15.95</v>
      </c>
      <c r="AR131" s="121">
        <v>8</v>
      </c>
      <c r="AS131" s="121">
        <v>0.5</v>
      </c>
      <c r="AT131" s="121">
        <v>4.75</v>
      </c>
      <c r="AU131" s="121">
        <v>0.4</v>
      </c>
      <c r="AV131" s="121">
        <v>0.2</v>
      </c>
      <c r="AW131" s="121">
        <v>100</v>
      </c>
      <c r="AX131" s="121">
        <v>30.43</v>
      </c>
      <c r="AY131" s="121">
        <v>50.71</v>
      </c>
      <c r="AZ131" s="121">
        <v>0</v>
      </c>
      <c r="BA131" s="121">
        <v>0</v>
      </c>
      <c r="BB131" s="121">
        <v>0.01</v>
      </c>
      <c r="BC131" s="121">
        <v>0.1</v>
      </c>
      <c r="BD131" s="121">
        <v>0</v>
      </c>
      <c r="BE131" s="121">
        <v>0</v>
      </c>
      <c r="BF131" s="121">
        <v>0</v>
      </c>
      <c r="BG131" s="12" t="s">
        <v>2335</v>
      </c>
    </row>
    <row r="132" spans="1:59" s="12" customFormat="1" x14ac:dyDescent="0.25">
      <c r="A132" s="12">
        <v>129</v>
      </c>
      <c r="B132" s="12" t="s">
        <v>2336</v>
      </c>
      <c r="C132" s="121">
        <v>35</v>
      </c>
      <c r="D132" s="121">
        <v>0.8</v>
      </c>
      <c r="E132" s="121">
        <v>18.2</v>
      </c>
      <c r="F132" s="121">
        <v>0</v>
      </c>
      <c r="G132" s="121">
        <v>4.2</v>
      </c>
      <c r="H132" s="121">
        <v>1</v>
      </c>
      <c r="I132" s="121">
        <v>25.23</v>
      </c>
      <c r="J132" s="121">
        <v>40.86</v>
      </c>
      <c r="K132" s="121">
        <v>0.1</v>
      </c>
      <c r="L132" s="121">
        <v>0.5</v>
      </c>
      <c r="M132" s="146">
        <v>2</v>
      </c>
      <c r="N132" s="121">
        <v>1.2200000000000001E-2</v>
      </c>
      <c r="O132" s="121">
        <v>0.86</v>
      </c>
      <c r="P132" s="121">
        <v>2.5</v>
      </c>
      <c r="Q132" s="121">
        <v>0.75</v>
      </c>
      <c r="R132" s="121">
        <v>0.8</v>
      </c>
      <c r="S132" s="122">
        <v>660.26</v>
      </c>
      <c r="T132" s="122">
        <v>3.4700000000000002E-2</v>
      </c>
      <c r="U132" s="122">
        <v>4.1999999999999997E-3</v>
      </c>
      <c r="V132" s="122">
        <v>4.3999999999999997E-2</v>
      </c>
      <c r="W132" s="122">
        <v>0.8</v>
      </c>
      <c r="X132" s="122">
        <v>0.6</v>
      </c>
      <c r="Y132" s="122">
        <v>136.09700000000001</v>
      </c>
      <c r="Z132" s="122">
        <v>4500</v>
      </c>
      <c r="AA132" s="122">
        <v>5</v>
      </c>
      <c r="AB132" s="122">
        <v>0.94</v>
      </c>
      <c r="AC132" s="122">
        <v>0.05</v>
      </c>
      <c r="AD132" s="122">
        <v>2.5000000000000001E-2</v>
      </c>
      <c r="AE132" s="122">
        <v>2.1000000000000001E-2</v>
      </c>
      <c r="AF132" s="122">
        <v>8.3999999999999995E-3</v>
      </c>
      <c r="AG132" s="122">
        <v>3.2000000000000002E-3</v>
      </c>
      <c r="AH132" s="122">
        <v>1.9E-3</v>
      </c>
      <c r="AI132" s="122">
        <v>4.3999999999999997E-2</v>
      </c>
      <c r="AJ132" s="122">
        <v>4.3999999999999997E-2</v>
      </c>
      <c r="AK132" s="122">
        <v>4.3999999999999997E-2</v>
      </c>
      <c r="AL132" s="122">
        <v>1.266</v>
      </c>
      <c r="AM132" s="122">
        <v>0.63300000000000001</v>
      </c>
      <c r="AN132" s="122">
        <v>0.72899999999999998</v>
      </c>
      <c r="AO132" s="12">
        <v>5</v>
      </c>
      <c r="AP132" s="121">
        <v>5.01</v>
      </c>
      <c r="AQ132" s="121">
        <v>15.1</v>
      </c>
      <c r="AR132" s="121">
        <v>8</v>
      </c>
      <c r="AS132" s="121">
        <v>0.5</v>
      </c>
      <c r="AT132" s="121">
        <v>4.3</v>
      </c>
      <c r="AU132" s="121">
        <v>0.4</v>
      </c>
      <c r="AV132" s="121">
        <v>0.2</v>
      </c>
      <c r="AW132" s="121">
        <v>100</v>
      </c>
      <c r="AX132" s="121">
        <v>10.199999999999999</v>
      </c>
      <c r="AY132" s="121">
        <v>50.9</v>
      </c>
      <c r="AZ132" s="121">
        <v>0.12</v>
      </c>
      <c r="BA132" s="121">
        <v>1.7</v>
      </c>
      <c r="BB132" s="121">
        <v>0.01</v>
      </c>
      <c r="BC132" s="121">
        <v>0.1</v>
      </c>
      <c r="BD132" s="121">
        <v>0</v>
      </c>
      <c r="BE132" s="121">
        <v>0</v>
      </c>
      <c r="BF132" s="121">
        <v>0</v>
      </c>
      <c r="BG132" s="12" t="s">
        <v>2337</v>
      </c>
    </row>
    <row r="133" spans="1:59" s="12" customFormat="1" x14ac:dyDescent="0.25">
      <c r="A133" s="12">
        <v>130</v>
      </c>
      <c r="B133" s="12" t="s">
        <v>2338</v>
      </c>
      <c r="C133" s="121">
        <v>35</v>
      </c>
      <c r="D133" s="121">
        <v>0.23</v>
      </c>
      <c r="E133" s="121">
        <v>18</v>
      </c>
      <c r="F133" s="121">
        <v>0</v>
      </c>
      <c r="G133" s="121">
        <v>3</v>
      </c>
      <c r="H133" s="121">
        <v>0.9</v>
      </c>
      <c r="I133" s="121">
        <v>15.05</v>
      </c>
      <c r="J133" s="121">
        <v>50.95</v>
      </c>
      <c r="K133" s="121">
        <v>0.5</v>
      </c>
      <c r="L133" s="121">
        <v>0.5</v>
      </c>
      <c r="M133" s="146">
        <v>2</v>
      </c>
      <c r="N133" s="121">
        <v>5.5999999999999999E-3</v>
      </c>
      <c r="O133" s="121">
        <v>0.85</v>
      </c>
      <c r="P133" s="121">
        <v>5</v>
      </c>
      <c r="Q133" s="121">
        <v>0.9</v>
      </c>
      <c r="R133" s="121">
        <v>2</v>
      </c>
      <c r="S133" s="122">
        <v>660.46</v>
      </c>
      <c r="T133" s="122">
        <v>2.3400000000000001E-2</v>
      </c>
      <c r="U133" s="122">
        <v>3.3E-3</v>
      </c>
      <c r="V133" s="122">
        <v>0</v>
      </c>
      <c r="W133" s="122">
        <v>0.2</v>
      </c>
      <c r="X133" s="122">
        <v>0.6</v>
      </c>
      <c r="Y133" s="122">
        <v>1</v>
      </c>
      <c r="Z133" s="122">
        <v>92.83</v>
      </c>
      <c r="AA133" s="122">
        <v>75</v>
      </c>
      <c r="AB133" s="122">
        <v>0.13</v>
      </c>
      <c r="AC133" s="122">
        <v>0.06</v>
      </c>
      <c r="AD133" s="122">
        <v>2.3099999999999999E-2</v>
      </c>
      <c r="AE133" s="122">
        <v>1.34E-2</v>
      </c>
      <c r="AF133" s="122">
        <v>8.3999999999999995E-3</v>
      </c>
      <c r="AG133" s="122">
        <v>3.2000000000000002E-3</v>
      </c>
      <c r="AH133" s="122">
        <v>1.9E-3</v>
      </c>
      <c r="AI133" s="122">
        <v>0</v>
      </c>
      <c r="AJ133" s="122">
        <v>0</v>
      </c>
      <c r="AK133" s="122">
        <v>0</v>
      </c>
      <c r="AL133" s="122">
        <v>0.65700000000000003</v>
      </c>
      <c r="AM133" s="122">
        <v>0.65700000000000003</v>
      </c>
      <c r="AN133" s="122">
        <v>0.32</v>
      </c>
      <c r="AO133" s="12">
        <v>4</v>
      </c>
      <c r="AP133" s="121">
        <v>5.15</v>
      </c>
      <c r="AQ133" s="121">
        <v>15.95</v>
      </c>
      <c r="AR133" s="121">
        <v>8</v>
      </c>
      <c r="AS133" s="121">
        <v>0.5</v>
      </c>
      <c r="AT133" s="121">
        <v>4.75</v>
      </c>
      <c r="AU133" s="121">
        <v>0.4</v>
      </c>
      <c r="AV133" s="121">
        <v>0.2</v>
      </c>
      <c r="AW133" s="121">
        <v>100</v>
      </c>
      <c r="AX133" s="121">
        <v>3.2</v>
      </c>
      <c r="AY133" s="121">
        <v>10.9</v>
      </c>
      <c r="AZ133" s="121">
        <v>0.2</v>
      </c>
      <c r="BA133" s="121">
        <v>4.8</v>
      </c>
      <c r="BB133" s="121">
        <v>0.01</v>
      </c>
      <c r="BC133" s="121">
        <v>0.1</v>
      </c>
      <c r="BD133" s="121">
        <v>0</v>
      </c>
      <c r="BE133" s="121">
        <v>0</v>
      </c>
      <c r="BF133" s="121">
        <v>0</v>
      </c>
      <c r="BG133" s="12" t="s">
        <v>2339</v>
      </c>
    </row>
    <row r="134" spans="1:59" s="12" customFormat="1" x14ac:dyDescent="0.25">
      <c r="A134" s="12">
        <v>131</v>
      </c>
      <c r="B134" s="12" t="s">
        <v>2340</v>
      </c>
      <c r="C134" s="121">
        <v>15</v>
      </c>
      <c r="D134" s="121">
        <v>0.76</v>
      </c>
      <c r="E134" s="121">
        <v>30</v>
      </c>
      <c r="F134" s="121">
        <v>10</v>
      </c>
      <c r="G134" s="121">
        <v>5</v>
      </c>
      <c r="H134" s="121">
        <v>0.99</v>
      </c>
      <c r="I134" s="121">
        <v>5.05</v>
      </c>
      <c r="J134" s="121">
        <v>40.950000000000003</v>
      </c>
      <c r="K134" s="121">
        <v>1</v>
      </c>
      <c r="L134" s="121">
        <v>1</v>
      </c>
      <c r="M134" s="146">
        <v>5</v>
      </c>
      <c r="N134" s="121">
        <v>2E-3</v>
      </c>
      <c r="O134" s="121">
        <v>0.85</v>
      </c>
      <c r="P134" s="121">
        <v>80</v>
      </c>
      <c r="Q134" s="121">
        <v>6</v>
      </c>
      <c r="R134" s="121">
        <v>3.5</v>
      </c>
      <c r="S134" s="122">
        <v>660.16</v>
      </c>
      <c r="T134" s="122">
        <v>1.5E-3</v>
      </c>
      <c r="U134" s="122">
        <v>2.9999999999999997E-4</v>
      </c>
      <c r="V134" s="122">
        <v>0</v>
      </c>
      <c r="W134" s="122">
        <v>0.01</v>
      </c>
      <c r="X134" s="122">
        <v>0.6</v>
      </c>
      <c r="Y134" s="122">
        <v>1</v>
      </c>
      <c r="Z134" s="122">
        <v>1000</v>
      </c>
      <c r="AA134" s="122">
        <v>5</v>
      </c>
      <c r="AB134" s="122">
        <v>0.01</v>
      </c>
      <c r="AC134" s="122">
        <v>6.0000000000000001E-3</v>
      </c>
      <c r="AD134" s="122">
        <v>2E-3</v>
      </c>
      <c r="AE134" s="122">
        <v>1.5E-3</v>
      </c>
      <c r="AF134" s="122">
        <v>6.9999999999999999E-4</v>
      </c>
      <c r="AG134" s="122">
        <v>4.0000000000000002E-4</v>
      </c>
      <c r="AH134" s="122">
        <v>2.9999999999999997E-4</v>
      </c>
      <c r="AI134" s="122">
        <v>0</v>
      </c>
      <c r="AJ134" s="122">
        <v>0</v>
      </c>
      <c r="AK134" s="122">
        <v>0</v>
      </c>
      <c r="AL134" s="122">
        <v>3.39</v>
      </c>
      <c r="AM134" s="122">
        <v>3.39</v>
      </c>
      <c r="AN134" s="122">
        <v>3.39</v>
      </c>
      <c r="AO134" s="12">
        <v>8</v>
      </c>
      <c r="AP134" s="121">
        <v>5.15</v>
      </c>
      <c r="AQ134" s="121">
        <v>15.95</v>
      </c>
      <c r="AR134" s="121">
        <v>8</v>
      </c>
      <c r="AS134" s="121">
        <v>1</v>
      </c>
      <c r="AT134" s="121">
        <v>4.75</v>
      </c>
      <c r="AU134" s="121">
        <v>0.4</v>
      </c>
      <c r="AV134" s="121">
        <v>0.2</v>
      </c>
      <c r="AW134" s="121">
        <v>100</v>
      </c>
      <c r="AX134" s="121">
        <v>1000.95</v>
      </c>
      <c r="AY134" s="121">
        <v>100.05</v>
      </c>
      <c r="AZ134" s="121">
        <v>0.05</v>
      </c>
      <c r="BA134" s="121">
        <v>1</v>
      </c>
      <c r="BB134" s="121">
        <v>0.01</v>
      </c>
      <c r="BC134" s="121">
        <v>0.1</v>
      </c>
      <c r="BD134" s="121">
        <v>0</v>
      </c>
      <c r="BE134" s="121">
        <v>0</v>
      </c>
      <c r="BF134" s="121">
        <v>0</v>
      </c>
      <c r="BG134" s="12" t="s">
        <v>2341</v>
      </c>
    </row>
    <row r="135" spans="1:59" s="12" customFormat="1" x14ac:dyDescent="0.25">
      <c r="A135" s="12">
        <v>132</v>
      </c>
      <c r="B135" s="12" t="s">
        <v>2342</v>
      </c>
      <c r="C135" s="121">
        <v>15</v>
      </c>
      <c r="D135" s="121">
        <v>0.76</v>
      </c>
      <c r="E135" s="121">
        <v>30</v>
      </c>
      <c r="F135" s="121">
        <v>0</v>
      </c>
      <c r="G135" s="121">
        <v>5</v>
      </c>
      <c r="H135" s="121">
        <v>0.99</v>
      </c>
      <c r="I135" s="121">
        <v>15.7</v>
      </c>
      <c r="J135" s="121">
        <v>25.99</v>
      </c>
      <c r="K135" s="121">
        <v>0.5</v>
      </c>
      <c r="L135" s="121">
        <v>1</v>
      </c>
      <c r="M135" s="146">
        <v>1</v>
      </c>
      <c r="N135" s="121">
        <v>1.9E-3</v>
      </c>
      <c r="O135" s="121">
        <v>0.85</v>
      </c>
      <c r="P135" s="121">
        <v>80</v>
      </c>
      <c r="Q135" s="121">
        <v>10</v>
      </c>
      <c r="R135" s="121">
        <v>3.5</v>
      </c>
      <c r="S135" s="122">
        <v>660.16</v>
      </c>
      <c r="T135" s="122">
        <v>1.5E-3</v>
      </c>
      <c r="U135" s="122">
        <v>2.9999999999999997E-4</v>
      </c>
      <c r="V135" s="122">
        <v>0</v>
      </c>
      <c r="W135" s="122">
        <v>0.6</v>
      </c>
      <c r="X135" s="122">
        <v>0.6</v>
      </c>
      <c r="Y135" s="122">
        <v>1</v>
      </c>
      <c r="Z135" s="122">
        <v>1000</v>
      </c>
      <c r="AA135" s="122">
        <v>5</v>
      </c>
      <c r="AB135" s="122">
        <v>0.01</v>
      </c>
      <c r="AC135" s="122">
        <v>6.0000000000000001E-3</v>
      </c>
      <c r="AD135" s="122">
        <v>2E-3</v>
      </c>
      <c r="AE135" s="122">
        <v>1.5E-3</v>
      </c>
      <c r="AF135" s="122">
        <v>6.9999999999999999E-4</v>
      </c>
      <c r="AG135" s="122">
        <v>4.0000000000000002E-4</v>
      </c>
      <c r="AH135" s="122">
        <v>2.9999999999999997E-4</v>
      </c>
      <c r="AI135" s="122">
        <v>0</v>
      </c>
      <c r="AJ135" s="122">
        <v>0</v>
      </c>
      <c r="AK135" s="122">
        <v>0</v>
      </c>
      <c r="AL135" s="122">
        <v>3.39</v>
      </c>
      <c r="AM135" s="122">
        <v>3.39</v>
      </c>
      <c r="AN135" s="122">
        <v>3.39</v>
      </c>
      <c r="AO135" s="12">
        <v>7</v>
      </c>
      <c r="AP135" s="121">
        <v>5.15</v>
      </c>
      <c r="AQ135" s="121">
        <v>15.95</v>
      </c>
      <c r="AR135" s="121">
        <v>8</v>
      </c>
      <c r="AS135" s="121">
        <v>0.5</v>
      </c>
      <c r="AT135" s="121">
        <v>4.75</v>
      </c>
      <c r="AU135" s="121">
        <v>0.4</v>
      </c>
      <c r="AV135" s="121">
        <v>0.2</v>
      </c>
      <c r="AW135" s="121">
        <v>100</v>
      </c>
      <c r="AX135" s="121">
        <v>1000.95</v>
      </c>
      <c r="AY135" s="121">
        <v>100.1</v>
      </c>
      <c r="AZ135" s="121">
        <v>0.05</v>
      </c>
      <c r="BA135" s="121">
        <v>1</v>
      </c>
      <c r="BB135" s="121">
        <v>0.01</v>
      </c>
      <c r="BC135" s="121">
        <v>0.1</v>
      </c>
      <c r="BD135" s="121">
        <v>0</v>
      </c>
      <c r="BE135" s="121">
        <v>0</v>
      </c>
      <c r="BF135" s="121">
        <v>0</v>
      </c>
      <c r="BG135" s="12" t="s">
        <v>2343</v>
      </c>
    </row>
    <row r="136" spans="1:59" s="12" customFormat="1" x14ac:dyDescent="0.25">
      <c r="A136" s="12">
        <v>133</v>
      </c>
      <c r="B136" s="12" t="s">
        <v>2210</v>
      </c>
      <c r="C136" s="121">
        <v>15</v>
      </c>
      <c r="D136" s="121">
        <v>0.76</v>
      </c>
      <c r="E136" s="121">
        <v>30</v>
      </c>
      <c r="F136" s="121">
        <v>10</v>
      </c>
      <c r="G136" s="121">
        <v>5</v>
      </c>
      <c r="H136" s="121">
        <v>0.99</v>
      </c>
      <c r="I136" s="121">
        <v>5.05</v>
      </c>
      <c r="J136" s="121">
        <v>40.950000000000003</v>
      </c>
      <c r="K136" s="121">
        <v>0.5</v>
      </c>
      <c r="L136" s="121">
        <v>1</v>
      </c>
      <c r="M136" s="146">
        <v>1</v>
      </c>
      <c r="N136" s="121">
        <v>2E-3</v>
      </c>
      <c r="O136" s="121">
        <v>0.85</v>
      </c>
      <c r="P136" s="121">
        <v>80</v>
      </c>
      <c r="Q136" s="121">
        <v>6</v>
      </c>
      <c r="R136" s="121">
        <v>3.5</v>
      </c>
      <c r="S136" s="122">
        <v>660.16</v>
      </c>
      <c r="T136" s="122">
        <v>1.5E-3</v>
      </c>
      <c r="U136" s="122">
        <v>2.9999999999999997E-4</v>
      </c>
      <c r="V136" s="122">
        <v>0</v>
      </c>
      <c r="W136" s="122">
        <v>0.01</v>
      </c>
      <c r="X136" s="122">
        <v>0.6</v>
      </c>
      <c r="Y136" s="122">
        <v>1</v>
      </c>
      <c r="Z136" s="122">
        <v>1000</v>
      </c>
      <c r="AA136" s="122">
        <v>5</v>
      </c>
      <c r="AB136" s="122">
        <v>0.01</v>
      </c>
      <c r="AC136" s="122">
        <v>6.0000000000000001E-3</v>
      </c>
      <c r="AD136" s="122">
        <v>2E-3</v>
      </c>
      <c r="AE136" s="122">
        <v>1.5E-3</v>
      </c>
      <c r="AF136" s="122">
        <v>6.9999999999999999E-4</v>
      </c>
      <c r="AG136" s="122">
        <v>4.0000000000000002E-4</v>
      </c>
      <c r="AH136" s="122">
        <v>2.9999999999999997E-4</v>
      </c>
      <c r="AI136" s="122">
        <v>0</v>
      </c>
      <c r="AJ136" s="122">
        <v>0</v>
      </c>
      <c r="AK136" s="122">
        <v>0</v>
      </c>
      <c r="AL136" s="122">
        <v>3.39</v>
      </c>
      <c r="AM136" s="122">
        <v>3.39</v>
      </c>
      <c r="AN136" s="122">
        <v>3.39</v>
      </c>
      <c r="AO136" s="12">
        <v>7</v>
      </c>
      <c r="AP136" s="121">
        <v>5.15</v>
      </c>
      <c r="AQ136" s="121">
        <v>15.95</v>
      </c>
      <c r="AR136" s="121">
        <v>8</v>
      </c>
      <c r="AS136" s="121">
        <v>0.5</v>
      </c>
      <c r="AT136" s="121">
        <v>4.75</v>
      </c>
      <c r="AU136" s="121">
        <v>0.4</v>
      </c>
      <c r="AV136" s="121">
        <v>0.2</v>
      </c>
      <c r="AW136" s="121">
        <v>100</v>
      </c>
      <c r="AX136" s="121">
        <v>1000.95</v>
      </c>
      <c r="AY136" s="121">
        <v>100.1</v>
      </c>
      <c r="AZ136" s="121">
        <v>0.05</v>
      </c>
      <c r="BA136" s="121">
        <v>1</v>
      </c>
      <c r="BB136" s="121">
        <v>0.01</v>
      </c>
      <c r="BC136" s="121">
        <v>0.1</v>
      </c>
      <c r="BD136" s="121">
        <v>0</v>
      </c>
      <c r="BE136" s="121">
        <v>0</v>
      </c>
      <c r="BF136" s="121">
        <v>0</v>
      </c>
      <c r="BG136" s="12" t="s">
        <v>2344</v>
      </c>
    </row>
    <row r="137" spans="1:59" s="12" customFormat="1" x14ac:dyDescent="0.25">
      <c r="A137" s="12">
        <v>134</v>
      </c>
      <c r="B137" s="12" t="s">
        <v>2345</v>
      </c>
      <c r="C137" s="121">
        <v>25</v>
      </c>
      <c r="D137" s="121">
        <v>0.45</v>
      </c>
      <c r="E137" s="121">
        <v>15</v>
      </c>
      <c r="F137" s="121">
        <v>1</v>
      </c>
      <c r="G137" s="121">
        <v>5</v>
      </c>
      <c r="H137" s="121">
        <v>0.75</v>
      </c>
      <c r="I137" s="121">
        <v>15.01</v>
      </c>
      <c r="J137" s="121">
        <v>50.95</v>
      </c>
      <c r="K137" s="121">
        <v>2</v>
      </c>
      <c r="L137" s="121">
        <v>2</v>
      </c>
      <c r="M137" s="146">
        <v>2</v>
      </c>
      <c r="N137" s="121">
        <v>7.0000000000000001E-3</v>
      </c>
      <c r="O137" s="121">
        <v>0.85</v>
      </c>
      <c r="P137" s="121">
        <v>35</v>
      </c>
      <c r="Q137" s="121">
        <v>1.2</v>
      </c>
      <c r="R137" s="121">
        <v>2</v>
      </c>
      <c r="S137" s="122">
        <v>660.34</v>
      </c>
      <c r="T137" s="122">
        <v>4.1200000000000001E-2</v>
      </c>
      <c r="U137" s="122">
        <v>5.4999999999999997E-3</v>
      </c>
      <c r="V137" s="122">
        <v>1.14E-2</v>
      </c>
      <c r="W137" s="122">
        <v>0.34</v>
      </c>
      <c r="X137" s="122">
        <v>0.6</v>
      </c>
      <c r="Y137" s="122">
        <v>0.73899999999999999</v>
      </c>
      <c r="Z137" s="122">
        <v>24</v>
      </c>
      <c r="AA137" s="122">
        <v>5</v>
      </c>
      <c r="AB137" s="122">
        <v>0.12</v>
      </c>
      <c r="AC137" s="122">
        <v>5.1499999999999997E-2</v>
      </c>
      <c r="AD137" s="122">
        <v>3.3500000000000002E-2</v>
      </c>
      <c r="AE137" s="122">
        <v>2.9600000000000001E-2</v>
      </c>
      <c r="AF137" s="122">
        <v>3.3E-3</v>
      </c>
      <c r="AG137" s="122">
        <v>1.9E-3</v>
      </c>
      <c r="AH137" s="122">
        <v>1.4E-3</v>
      </c>
      <c r="AI137" s="122">
        <v>1.4E-2</v>
      </c>
      <c r="AJ137" s="122">
        <v>1.2999999999999999E-2</v>
      </c>
      <c r="AK137" s="122">
        <v>1.2E-2</v>
      </c>
      <c r="AL137" s="122">
        <v>3.39</v>
      </c>
      <c r="AM137" s="122">
        <v>3.39</v>
      </c>
      <c r="AN137" s="122">
        <v>1.61</v>
      </c>
      <c r="AO137" s="12">
        <v>2</v>
      </c>
      <c r="AP137" s="121">
        <v>5.01</v>
      </c>
      <c r="AQ137" s="121">
        <v>15.1</v>
      </c>
      <c r="AR137" s="121">
        <v>10</v>
      </c>
      <c r="AS137" s="121">
        <v>1</v>
      </c>
      <c r="AT137" s="121">
        <v>4.75</v>
      </c>
      <c r="AU137" s="121">
        <v>0.4</v>
      </c>
      <c r="AV137" s="121">
        <v>0.2</v>
      </c>
      <c r="AW137" s="121">
        <v>100</v>
      </c>
      <c r="AX137" s="121">
        <v>20.2</v>
      </c>
      <c r="AY137" s="121">
        <v>100.9</v>
      </c>
      <c r="AZ137" s="121">
        <v>0.1</v>
      </c>
      <c r="BA137" s="121">
        <v>2.5</v>
      </c>
      <c r="BB137" s="121">
        <v>0.01</v>
      </c>
      <c r="BC137" s="121">
        <v>0.1</v>
      </c>
      <c r="BD137" s="121">
        <v>0</v>
      </c>
      <c r="BE137" s="121">
        <v>0</v>
      </c>
      <c r="BF137" s="121">
        <v>0</v>
      </c>
      <c r="BG137" s="12" t="s">
        <v>2346</v>
      </c>
    </row>
    <row r="138" spans="1:59" s="12" customFormat="1" x14ac:dyDescent="0.25">
      <c r="A138" s="12">
        <v>135</v>
      </c>
      <c r="B138" s="12" t="s">
        <v>2123</v>
      </c>
      <c r="C138" s="121">
        <v>25</v>
      </c>
      <c r="D138" s="121">
        <v>0.3</v>
      </c>
      <c r="E138" s="121">
        <v>14</v>
      </c>
      <c r="F138" s="121">
        <v>5</v>
      </c>
      <c r="G138" s="121">
        <v>2.5</v>
      </c>
      <c r="H138" s="121">
        <v>0.9</v>
      </c>
      <c r="I138" s="121">
        <v>10.050000000000001</v>
      </c>
      <c r="J138" s="121">
        <v>80.95</v>
      </c>
      <c r="K138" s="121">
        <v>2</v>
      </c>
      <c r="L138" s="121">
        <v>2</v>
      </c>
      <c r="M138" s="146">
        <v>2</v>
      </c>
      <c r="N138" s="121">
        <v>5.4999999999999997E-3</v>
      </c>
      <c r="O138" s="121">
        <v>0.85</v>
      </c>
      <c r="P138" s="121">
        <v>35</v>
      </c>
      <c r="Q138" s="121">
        <v>0.6</v>
      </c>
      <c r="R138" s="121">
        <v>1.2</v>
      </c>
      <c r="S138" s="122">
        <v>660.34</v>
      </c>
      <c r="T138" s="122">
        <v>4.1000000000000002E-2</v>
      </c>
      <c r="U138" s="122">
        <v>5.1000000000000004E-3</v>
      </c>
      <c r="V138" s="122">
        <v>0</v>
      </c>
      <c r="W138" s="122">
        <v>0.22</v>
      </c>
      <c r="X138" s="122">
        <v>0.6</v>
      </c>
      <c r="Y138" s="122">
        <v>1</v>
      </c>
      <c r="Z138" s="122">
        <v>24</v>
      </c>
      <c r="AA138" s="122">
        <v>5</v>
      </c>
      <c r="AB138" s="122">
        <v>0.12</v>
      </c>
      <c r="AC138" s="122">
        <v>4.0000000000000001E-3</v>
      </c>
      <c r="AD138" s="122">
        <v>3.0000000000000001E-3</v>
      </c>
      <c r="AE138" s="122">
        <v>1.5E-3</v>
      </c>
      <c r="AF138" s="122">
        <v>3.0000000000000001E-3</v>
      </c>
      <c r="AG138" s="122">
        <v>2E-3</v>
      </c>
      <c r="AH138" s="122">
        <v>1.5E-3</v>
      </c>
      <c r="AI138" s="122">
        <v>0</v>
      </c>
      <c r="AJ138" s="122">
        <v>0</v>
      </c>
      <c r="AK138" s="122">
        <v>0</v>
      </c>
      <c r="AL138" s="122">
        <v>3.39</v>
      </c>
      <c r="AM138" s="122">
        <v>3.39</v>
      </c>
      <c r="AN138" s="122">
        <v>1.61</v>
      </c>
      <c r="AO138" s="12">
        <v>2</v>
      </c>
      <c r="AP138" s="121">
        <v>5.01</v>
      </c>
      <c r="AQ138" s="121">
        <v>15.1</v>
      </c>
      <c r="AR138" s="121">
        <v>5</v>
      </c>
      <c r="AS138" s="121">
        <v>1</v>
      </c>
      <c r="AT138" s="121">
        <v>4.75</v>
      </c>
      <c r="AU138" s="121">
        <v>0.4</v>
      </c>
      <c r="AV138" s="121">
        <v>0.2</v>
      </c>
      <c r="AW138" s="121">
        <v>100</v>
      </c>
      <c r="AX138" s="121">
        <v>20.2</v>
      </c>
      <c r="AY138" s="121">
        <v>100.9</v>
      </c>
      <c r="AZ138" s="121">
        <v>0.1</v>
      </c>
      <c r="BA138" s="121">
        <v>2.5</v>
      </c>
      <c r="BB138" s="121">
        <v>0.01</v>
      </c>
      <c r="BC138" s="121">
        <v>0.1</v>
      </c>
      <c r="BD138" s="121">
        <v>0</v>
      </c>
      <c r="BE138" s="121">
        <v>0</v>
      </c>
      <c r="BF138" s="121">
        <v>0</v>
      </c>
      <c r="BG138" s="12" t="s">
        <v>2347</v>
      </c>
    </row>
    <row r="139" spans="1:59" s="12" customFormat="1" x14ac:dyDescent="0.25">
      <c r="A139" s="12">
        <v>136</v>
      </c>
      <c r="B139" s="12" t="s">
        <v>2348</v>
      </c>
      <c r="C139" s="121">
        <v>30</v>
      </c>
      <c r="D139" s="121">
        <v>1.25</v>
      </c>
      <c r="E139" s="121">
        <v>29</v>
      </c>
      <c r="F139" s="121">
        <v>7</v>
      </c>
      <c r="G139" s="121">
        <v>1.5</v>
      </c>
      <c r="H139" s="121">
        <v>0.6</v>
      </c>
      <c r="I139" s="121">
        <v>15.01</v>
      </c>
      <c r="J139" s="121">
        <v>50.95</v>
      </c>
      <c r="K139" s="121">
        <v>2</v>
      </c>
      <c r="L139" s="121">
        <v>10</v>
      </c>
      <c r="M139" s="146">
        <v>3</v>
      </c>
      <c r="N139" s="121">
        <v>7.0000000000000001E-3</v>
      </c>
      <c r="O139" s="121">
        <v>0.85</v>
      </c>
      <c r="P139" s="121">
        <v>35</v>
      </c>
      <c r="Q139" s="121">
        <v>1.2</v>
      </c>
      <c r="R139" s="121">
        <v>0.7</v>
      </c>
      <c r="S139" s="122">
        <v>660.41</v>
      </c>
      <c r="T139" s="122">
        <v>2.06E-2</v>
      </c>
      <c r="U139" s="122">
        <v>3.2000000000000002E-3</v>
      </c>
      <c r="V139" s="122">
        <v>1.6899999999999998E-2</v>
      </c>
      <c r="W139" s="122">
        <v>0.75</v>
      </c>
      <c r="X139" s="122">
        <v>0.6</v>
      </c>
      <c r="Y139" s="122">
        <v>205.25399999999999</v>
      </c>
      <c r="Z139" s="122">
        <v>500</v>
      </c>
      <c r="AA139" s="122">
        <v>405.72</v>
      </c>
      <c r="AB139" s="122">
        <v>0.91</v>
      </c>
      <c r="AC139" s="122">
        <v>0.04</v>
      </c>
      <c r="AD139" s="122">
        <v>2.1999999999999999E-2</v>
      </c>
      <c r="AE139" s="122">
        <v>0.02</v>
      </c>
      <c r="AF139" s="122">
        <v>4.0000000000000001E-3</v>
      </c>
      <c r="AG139" s="122">
        <v>2E-3</v>
      </c>
      <c r="AH139" s="122">
        <v>1.9E-3</v>
      </c>
      <c r="AI139" s="122">
        <v>0.03</v>
      </c>
      <c r="AJ139" s="122">
        <v>0.03</v>
      </c>
      <c r="AK139" s="122">
        <v>0.03</v>
      </c>
      <c r="AL139" s="122">
        <v>1.266</v>
      </c>
      <c r="AM139" s="122">
        <v>0.63300000000000001</v>
      </c>
      <c r="AN139" s="122">
        <v>0.72899999999999998</v>
      </c>
      <c r="AO139" s="12">
        <v>5</v>
      </c>
      <c r="AP139" s="121">
        <v>5.01</v>
      </c>
      <c r="AQ139" s="121">
        <v>15.95</v>
      </c>
      <c r="AR139" s="121">
        <v>10</v>
      </c>
      <c r="AS139" s="121">
        <v>1</v>
      </c>
      <c r="AT139" s="121">
        <v>4.75</v>
      </c>
      <c r="AU139" s="121">
        <v>0.4</v>
      </c>
      <c r="AV139" s="121">
        <v>0.6</v>
      </c>
      <c r="AW139" s="121">
        <v>100</v>
      </c>
      <c r="AX139" s="121">
        <v>10.199999999999999</v>
      </c>
      <c r="AY139" s="121">
        <v>50.9</v>
      </c>
      <c r="AZ139" s="121">
        <v>0.12</v>
      </c>
      <c r="BA139" s="121">
        <v>1.7</v>
      </c>
      <c r="BB139" s="121">
        <v>0.01</v>
      </c>
      <c r="BC139" s="121">
        <v>0.1</v>
      </c>
      <c r="BD139" s="121">
        <v>0</v>
      </c>
      <c r="BE139" s="121">
        <v>0</v>
      </c>
      <c r="BF139" s="121">
        <v>0</v>
      </c>
      <c r="BG139" s="12" t="s">
        <v>2349</v>
      </c>
    </row>
    <row r="140" spans="1:59" s="12" customFormat="1" x14ac:dyDescent="0.25">
      <c r="A140" s="12">
        <v>137</v>
      </c>
      <c r="B140" s="12" t="s">
        <v>2350</v>
      </c>
      <c r="C140" s="121">
        <v>1</v>
      </c>
      <c r="D140" s="121">
        <v>1.1200000000000001</v>
      </c>
      <c r="E140" s="121">
        <v>24</v>
      </c>
      <c r="F140" s="121">
        <v>7</v>
      </c>
      <c r="G140" s="121">
        <v>1.75</v>
      </c>
      <c r="H140" s="121">
        <v>0.6</v>
      </c>
      <c r="I140" s="121">
        <v>15.01</v>
      </c>
      <c r="J140" s="121">
        <v>50.95</v>
      </c>
      <c r="K140" s="121">
        <v>2</v>
      </c>
      <c r="L140" s="121">
        <v>10</v>
      </c>
      <c r="M140" s="146">
        <v>3</v>
      </c>
      <c r="N140" s="121">
        <v>7.0000000000000001E-3</v>
      </c>
      <c r="O140" s="121">
        <v>0.85</v>
      </c>
      <c r="P140" s="121">
        <v>35</v>
      </c>
      <c r="Q140" s="121">
        <v>0.3</v>
      </c>
      <c r="R140" s="121">
        <v>1.1000000000000001</v>
      </c>
      <c r="S140" s="122">
        <v>660.41</v>
      </c>
      <c r="T140" s="122">
        <v>1.35E-2</v>
      </c>
      <c r="U140" s="122">
        <v>3.5999999999999999E-3</v>
      </c>
      <c r="V140" s="122">
        <v>2.6499999999999999E-2</v>
      </c>
      <c r="W140" s="122">
        <v>0.75</v>
      </c>
      <c r="X140" s="122">
        <v>0.6</v>
      </c>
      <c r="Y140" s="122">
        <v>169.18600000000001</v>
      </c>
      <c r="Z140" s="122">
        <v>575</v>
      </c>
      <c r="AA140" s="122">
        <v>348.39</v>
      </c>
      <c r="AB140" s="122">
        <v>0.88</v>
      </c>
      <c r="AC140" s="122">
        <v>5.5E-2</v>
      </c>
      <c r="AD140" s="122">
        <v>1.4E-2</v>
      </c>
      <c r="AE140" s="122">
        <v>1.2E-2</v>
      </c>
      <c r="AF140" s="122">
        <v>6.0000000000000001E-3</v>
      </c>
      <c r="AG140" s="122">
        <v>3.0000000000000001E-3</v>
      </c>
      <c r="AH140" s="122">
        <v>2E-3</v>
      </c>
      <c r="AI140" s="122">
        <v>3.4000000000000002E-2</v>
      </c>
      <c r="AJ140" s="122">
        <v>3.4000000000000002E-2</v>
      </c>
      <c r="AK140" s="122">
        <v>3.4000000000000002E-2</v>
      </c>
      <c r="AL140" s="122">
        <v>1.266</v>
      </c>
      <c r="AM140" s="122">
        <v>0.63300000000000001</v>
      </c>
      <c r="AN140" s="122">
        <v>0.72899999999999998</v>
      </c>
      <c r="AO140" s="12">
        <v>5</v>
      </c>
      <c r="AP140" s="121">
        <v>5.01</v>
      </c>
      <c r="AQ140" s="121">
        <v>15.95</v>
      </c>
      <c r="AR140" s="121">
        <v>10</v>
      </c>
      <c r="AS140" s="121">
        <v>1</v>
      </c>
      <c r="AT140" s="121">
        <v>4.75</v>
      </c>
      <c r="AU140" s="121">
        <v>0.4</v>
      </c>
      <c r="AV140" s="121">
        <v>0.6</v>
      </c>
      <c r="AW140" s="121">
        <v>100</v>
      </c>
      <c r="AX140" s="121">
        <v>10.199999999999999</v>
      </c>
      <c r="AY140" s="121">
        <v>50.9</v>
      </c>
      <c r="AZ140" s="121">
        <v>0.12</v>
      </c>
      <c r="BA140" s="121">
        <v>1.7</v>
      </c>
      <c r="BB140" s="121">
        <v>0.01</v>
      </c>
      <c r="BC140" s="121">
        <v>0.1</v>
      </c>
      <c r="BD140" s="121">
        <v>0</v>
      </c>
      <c r="BE140" s="121">
        <v>0</v>
      </c>
      <c r="BF140" s="121">
        <v>0</v>
      </c>
      <c r="BG140" s="12" t="s">
        <v>2351</v>
      </c>
    </row>
    <row r="141" spans="1:59" s="12" customFormat="1" x14ac:dyDescent="0.25">
      <c r="A141" s="12">
        <v>138</v>
      </c>
      <c r="B141" s="12" t="s">
        <v>2352</v>
      </c>
      <c r="C141" s="121">
        <v>30</v>
      </c>
      <c r="D141" s="121">
        <v>1.25</v>
      </c>
      <c r="E141" s="121">
        <v>29</v>
      </c>
      <c r="F141" s="121">
        <v>7</v>
      </c>
      <c r="G141" s="121">
        <v>1.5</v>
      </c>
      <c r="H141" s="121">
        <v>0.6</v>
      </c>
      <c r="I141" s="121">
        <v>15.01</v>
      </c>
      <c r="J141" s="121">
        <v>50.95</v>
      </c>
      <c r="K141" s="121">
        <v>2</v>
      </c>
      <c r="L141" s="121">
        <v>10</v>
      </c>
      <c r="M141" s="146">
        <v>3</v>
      </c>
      <c r="N141" s="121">
        <v>7.0000000000000001E-3</v>
      </c>
      <c r="O141" s="121">
        <v>0.85</v>
      </c>
      <c r="P141" s="121">
        <v>35</v>
      </c>
      <c r="Q141" s="121">
        <v>1.2</v>
      </c>
      <c r="R141" s="121">
        <v>0.7</v>
      </c>
      <c r="S141" s="122">
        <v>660.41</v>
      </c>
      <c r="T141" s="122">
        <v>2.06E-2</v>
      </c>
      <c r="U141" s="122">
        <v>3.2000000000000002E-3</v>
      </c>
      <c r="V141" s="122">
        <v>1.6899999999999998E-2</v>
      </c>
      <c r="W141" s="122">
        <v>0.75</v>
      </c>
      <c r="X141" s="122">
        <v>0.6</v>
      </c>
      <c r="Y141" s="122">
        <v>205.25399999999999</v>
      </c>
      <c r="Z141" s="122">
        <v>500</v>
      </c>
      <c r="AA141" s="122">
        <v>405.72</v>
      </c>
      <c r="AB141" s="122">
        <v>0.91</v>
      </c>
      <c r="AC141" s="122">
        <v>0.04</v>
      </c>
      <c r="AD141" s="122">
        <v>2.1999999999999999E-2</v>
      </c>
      <c r="AE141" s="122">
        <v>0.02</v>
      </c>
      <c r="AF141" s="122">
        <v>4.0000000000000001E-3</v>
      </c>
      <c r="AG141" s="122">
        <v>2E-3</v>
      </c>
      <c r="AH141" s="122">
        <v>1.9E-3</v>
      </c>
      <c r="AI141" s="122">
        <v>0.03</v>
      </c>
      <c r="AJ141" s="122">
        <v>0.03</v>
      </c>
      <c r="AK141" s="122">
        <v>0.03</v>
      </c>
      <c r="AL141" s="122">
        <v>1.266</v>
      </c>
      <c r="AM141" s="122">
        <v>0.63300000000000001</v>
      </c>
      <c r="AN141" s="122">
        <v>0.72899999999999998</v>
      </c>
      <c r="AO141" s="12">
        <v>5</v>
      </c>
      <c r="AP141" s="121">
        <v>5.01</v>
      </c>
      <c r="AQ141" s="121">
        <v>15.95</v>
      </c>
      <c r="AR141" s="121">
        <v>10</v>
      </c>
      <c r="AS141" s="121">
        <v>1</v>
      </c>
      <c r="AT141" s="121">
        <v>4.75</v>
      </c>
      <c r="AU141" s="121">
        <v>0.4</v>
      </c>
      <c r="AV141" s="121">
        <v>0.6</v>
      </c>
      <c r="AW141" s="121">
        <v>100</v>
      </c>
      <c r="AX141" s="121">
        <v>10.199999999999999</v>
      </c>
      <c r="AY141" s="121">
        <v>50.9</v>
      </c>
      <c r="AZ141" s="121">
        <v>0.12</v>
      </c>
      <c r="BA141" s="121">
        <v>1.7</v>
      </c>
      <c r="BB141" s="121">
        <v>0.01</v>
      </c>
      <c r="BC141" s="121">
        <v>0.1</v>
      </c>
      <c r="BD141" s="121">
        <v>0</v>
      </c>
      <c r="BE141" s="121">
        <v>0</v>
      </c>
      <c r="BF141" s="121">
        <v>0</v>
      </c>
      <c r="BG141" s="12" t="s">
        <v>2353</v>
      </c>
    </row>
    <row r="142" spans="1:59" s="12" customFormat="1" x14ac:dyDescent="0.25">
      <c r="A142" s="12">
        <v>139</v>
      </c>
      <c r="B142" s="12" t="s">
        <v>2354</v>
      </c>
      <c r="C142" s="121">
        <v>16.100000000000001</v>
      </c>
      <c r="D142" s="121">
        <v>0.05</v>
      </c>
      <c r="E142" s="121">
        <v>30</v>
      </c>
      <c r="F142" s="121">
        <v>10</v>
      </c>
      <c r="G142" s="121">
        <v>2</v>
      </c>
      <c r="H142" s="121">
        <v>0.99</v>
      </c>
      <c r="I142" s="121">
        <v>5.05</v>
      </c>
      <c r="J142" s="121">
        <v>40.950000000000003</v>
      </c>
      <c r="K142" s="121">
        <v>0.5</v>
      </c>
      <c r="L142" s="121">
        <v>1</v>
      </c>
      <c r="M142" s="146">
        <v>1</v>
      </c>
      <c r="N142" s="121">
        <v>3.5999999999999999E-3</v>
      </c>
      <c r="O142" s="121">
        <v>0.85</v>
      </c>
      <c r="P142" s="121">
        <v>80</v>
      </c>
      <c r="Q142" s="121">
        <v>6</v>
      </c>
      <c r="R142" s="121">
        <v>3.5</v>
      </c>
      <c r="S142" s="122">
        <v>660.18</v>
      </c>
      <c r="T142" s="122">
        <v>1.5E-3</v>
      </c>
      <c r="U142" s="122">
        <v>2.9999999999999997E-4</v>
      </c>
      <c r="V142" s="122">
        <v>0</v>
      </c>
      <c r="W142" s="122">
        <v>0.01</v>
      </c>
      <c r="X142" s="122">
        <v>0.6</v>
      </c>
      <c r="Y142" s="122">
        <v>1</v>
      </c>
      <c r="Z142" s="122">
        <v>1000</v>
      </c>
      <c r="AA142" s="122">
        <v>5</v>
      </c>
      <c r="AB142" s="122">
        <v>0.01</v>
      </c>
      <c r="AC142" s="122">
        <v>0.02</v>
      </c>
      <c r="AD142" s="122">
        <v>0.01</v>
      </c>
      <c r="AE142" s="122">
        <v>8.0000000000000002E-3</v>
      </c>
      <c r="AF142" s="122">
        <v>6.9999999999999999E-4</v>
      </c>
      <c r="AG142" s="122">
        <v>4.0000000000000002E-4</v>
      </c>
      <c r="AH142" s="122">
        <v>2.9999999999999997E-4</v>
      </c>
      <c r="AI142" s="122">
        <v>0</v>
      </c>
      <c r="AJ142" s="122">
        <v>0</v>
      </c>
      <c r="AK142" s="122">
        <v>0</v>
      </c>
      <c r="AL142" s="122">
        <v>3.39</v>
      </c>
      <c r="AM142" s="122">
        <v>3.39</v>
      </c>
      <c r="AN142" s="122">
        <v>3.39</v>
      </c>
      <c r="AO142" s="12">
        <v>7</v>
      </c>
      <c r="AP142" s="121">
        <v>5.15</v>
      </c>
      <c r="AQ142" s="121">
        <v>15.95</v>
      </c>
      <c r="AR142" s="121">
        <v>8</v>
      </c>
      <c r="AS142" s="121">
        <v>0.5</v>
      </c>
      <c r="AT142" s="121">
        <v>4.75</v>
      </c>
      <c r="AU142" s="121">
        <v>0.4</v>
      </c>
      <c r="AV142" s="121">
        <v>0.2</v>
      </c>
      <c r="AW142" s="121">
        <v>100</v>
      </c>
      <c r="AX142" s="121">
        <v>1000.95</v>
      </c>
      <c r="AY142" s="121">
        <v>100.1</v>
      </c>
      <c r="AZ142" s="121">
        <v>0.05</v>
      </c>
      <c r="BA142" s="121">
        <v>1</v>
      </c>
      <c r="BB142" s="121">
        <v>0.01</v>
      </c>
      <c r="BC142" s="121">
        <v>0.1</v>
      </c>
      <c r="BD142" s="121">
        <v>0</v>
      </c>
      <c r="BE142" s="121">
        <v>0</v>
      </c>
      <c r="BF142" s="121">
        <v>0</v>
      </c>
      <c r="BG142" s="12" t="s">
        <v>2355</v>
      </c>
    </row>
    <row r="143" spans="1:59" s="12" customFormat="1" x14ac:dyDescent="0.25">
      <c r="A143" s="12">
        <v>140</v>
      </c>
      <c r="B143" s="12" t="s">
        <v>2155</v>
      </c>
      <c r="C143" s="121">
        <v>16.100000000000001</v>
      </c>
      <c r="D143" s="121">
        <v>0.05</v>
      </c>
      <c r="E143" s="121">
        <v>30</v>
      </c>
      <c r="F143" s="121">
        <v>10</v>
      </c>
      <c r="G143" s="121">
        <v>1.25</v>
      </c>
      <c r="H143" s="121">
        <v>0.99</v>
      </c>
      <c r="I143" s="121">
        <v>5.05</v>
      </c>
      <c r="J143" s="121">
        <v>40.950000000000003</v>
      </c>
      <c r="K143" s="121">
        <v>1</v>
      </c>
      <c r="L143" s="121">
        <v>1</v>
      </c>
      <c r="M143" s="146">
        <v>5</v>
      </c>
      <c r="N143" s="121">
        <v>3.5999999999999999E-3</v>
      </c>
      <c r="O143" s="121">
        <v>0.85</v>
      </c>
      <c r="P143" s="121">
        <v>80</v>
      </c>
      <c r="Q143" s="121">
        <v>6</v>
      </c>
      <c r="R143" s="121">
        <v>3.5</v>
      </c>
      <c r="S143" s="122">
        <v>660.18</v>
      </c>
      <c r="T143" s="122">
        <v>1.5E-3</v>
      </c>
      <c r="U143" s="122">
        <v>2.9999999999999997E-4</v>
      </c>
      <c r="V143" s="122">
        <v>0</v>
      </c>
      <c r="W143" s="122">
        <v>0.01</v>
      </c>
      <c r="X143" s="122">
        <v>0.6</v>
      </c>
      <c r="Y143" s="122">
        <v>1</v>
      </c>
      <c r="Z143" s="122">
        <v>1000</v>
      </c>
      <c r="AA143" s="122">
        <v>5</v>
      </c>
      <c r="AB143" s="122">
        <v>0.01</v>
      </c>
      <c r="AC143" s="122">
        <v>0.02</v>
      </c>
      <c r="AD143" s="122">
        <v>0.01</v>
      </c>
      <c r="AE143" s="122">
        <v>8.0000000000000002E-3</v>
      </c>
      <c r="AF143" s="122">
        <v>6.9999999999999999E-4</v>
      </c>
      <c r="AG143" s="122">
        <v>4.0000000000000002E-4</v>
      </c>
      <c r="AH143" s="122">
        <v>2.9999999999999997E-4</v>
      </c>
      <c r="AI143" s="122">
        <v>0</v>
      </c>
      <c r="AJ143" s="122">
        <v>0</v>
      </c>
      <c r="AK143" s="122">
        <v>0</v>
      </c>
      <c r="AL143" s="122">
        <v>3.39</v>
      </c>
      <c r="AM143" s="122">
        <v>3.39</v>
      </c>
      <c r="AN143" s="122">
        <v>3.39</v>
      </c>
      <c r="AO143" s="12">
        <v>10</v>
      </c>
      <c r="AP143" s="121">
        <v>5.15</v>
      </c>
      <c r="AQ143" s="121">
        <v>15.95</v>
      </c>
      <c r="AR143" s="121">
        <v>8</v>
      </c>
      <c r="AS143" s="121">
        <v>1</v>
      </c>
      <c r="AT143" s="121">
        <v>4.75</v>
      </c>
      <c r="AU143" s="121">
        <v>0.4</v>
      </c>
      <c r="AV143" s="121">
        <v>0.2</v>
      </c>
      <c r="AW143" s="121">
        <v>100</v>
      </c>
      <c r="AX143" s="121">
        <v>1000.95</v>
      </c>
      <c r="AY143" s="121">
        <v>100.05</v>
      </c>
      <c r="AZ143" s="121">
        <v>0.05</v>
      </c>
      <c r="BA143" s="121">
        <v>1</v>
      </c>
      <c r="BB143" s="121">
        <v>0.01</v>
      </c>
      <c r="BC143" s="121">
        <v>0.1</v>
      </c>
      <c r="BD143" s="121">
        <v>0</v>
      </c>
      <c r="BE143" s="121">
        <v>0</v>
      </c>
      <c r="BF143" s="121">
        <v>0</v>
      </c>
      <c r="BG143" s="12" t="s">
        <v>2356</v>
      </c>
    </row>
    <row r="144" spans="1:59" s="12" customFormat="1" x14ac:dyDescent="0.25">
      <c r="A144" s="12">
        <v>141</v>
      </c>
      <c r="B144" s="12" t="s">
        <v>2357</v>
      </c>
      <c r="C144" s="121">
        <v>5</v>
      </c>
      <c r="D144" s="121">
        <v>1.1200000000000001</v>
      </c>
      <c r="E144" s="121">
        <v>24</v>
      </c>
      <c r="F144" s="121">
        <v>7</v>
      </c>
      <c r="G144" s="121">
        <v>5</v>
      </c>
      <c r="H144" s="121">
        <v>0.6</v>
      </c>
      <c r="I144" s="121">
        <v>15.01</v>
      </c>
      <c r="J144" s="121">
        <v>50.95</v>
      </c>
      <c r="K144" s="121">
        <v>2</v>
      </c>
      <c r="L144" s="121">
        <v>10</v>
      </c>
      <c r="M144" s="146">
        <v>3</v>
      </c>
      <c r="N144" s="121">
        <v>7.0000000000000001E-3</v>
      </c>
      <c r="O144" s="121">
        <v>0.85</v>
      </c>
      <c r="P144" s="121">
        <v>35</v>
      </c>
      <c r="Q144" s="121">
        <v>1.5</v>
      </c>
      <c r="R144" s="121">
        <v>1.1000000000000001</v>
      </c>
      <c r="S144" s="122">
        <v>660.41</v>
      </c>
      <c r="T144" s="122">
        <v>1.35E-2</v>
      </c>
      <c r="U144" s="122">
        <v>3.5999999999999999E-3</v>
      </c>
      <c r="V144" s="122">
        <v>2.6499999999999999E-2</v>
      </c>
      <c r="W144" s="122">
        <v>0.75</v>
      </c>
      <c r="X144" s="122">
        <v>0.6</v>
      </c>
      <c r="Y144" s="122">
        <v>169.18600000000001</v>
      </c>
      <c r="Z144" s="122">
        <v>575</v>
      </c>
      <c r="AA144" s="122">
        <v>348.39</v>
      </c>
      <c r="AB144" s="122">
        <v>0.88</v>
      </c>
      <c r="AC144" s="122">
        <v>5.5E-2</v>
      </c>
      <c r="AD144" s="122">
        <v>1.4E-2</v>
      </c>
      <c r="AE144" s="122">
        <v>1.2E-2</v>
      </c>
      <c r="AF144" s="122">
        <v>6.0000000000000001E-3</v>
      </c>
      <c r="AG144" s="122">
        <v>3.0000000000000001E-3</v>
      </c>
      <c r="AH144" s="122">
        <v>2E-3</v>
      </c>
      <c r="AI144" s="122">
        <v>3.4000000000000002E-2</v>
      </c>
      <c r="AJ144" s="122">
        <v>3.4000000000000002E-2</v>
      </c>
      <c r="AK144" s="122">
        <v>3.4000000000000002E-2</v>
      </c>
      <c r="AL144" s="122">
        <v>1.266</v>
      </c>
      <c r="AM144" s="122">
        <v>0.63300000000000001</v>
      </c>
      <c r="AN144" s="122">
        <v>0.72899999999999998</v>
      </c>
      <c r="AO144" s="12">
        <v>5</v>
      </c>
      <c r="AP144" s="121">
        <v>5.01</v>
      </c>
      <c r="AQ144" s="121">
        <v>15.95</v>
      </c>
      <c r="AR144" s="121">
        <v>10</v>
      </c>
      <c r="AS144" s="121">
        <v>1</v>
      </c>
      <c r="AT144" s="121">
        <v>4.75</v>
      </c>
      <c r="AU144" s="121">
        <v>0.4</v>
      </c>
      <c r="AV144" s="121">
        <v>0.9</v>
      </c>
      <c r="AW144" s="121">
        <v>100</v>
      </c>
      <c r="AX144" s="121">
        <v>10.199999999999999</v>
      </c>
      <c r="AY144" s="121">
        <v>50.9</v>
      </c>
      <c r="AZ144" s="121">
        <v>0.12</v>
      </c>
      <c r="BA144" s="121">
        <v>1.7</v>
      </c>
      <c r="BB144" s="121">
        <v>0.01</v>
      </c>
      <c r="BC144" s="121">
        <v>0.1</v>
      </c>
      <c r="BD144" s="121">
        <v>0</v>
      </c>
      <c r="BE144" s="121">
        <v>0</v>
      </c>
      <c r="BF144" s="121">
        <v>0</v>
      </c>
      <c r="BG144" s="12" t="s">
        <v>2358</v>
      </c>
    </row>
    <row r="145" spans="1:59" s="12" customFormat="1" x14ac:dyDescent="0.25">
      <c r="A145" s="12">
        <v>142</v>
      </c>
      <c r="B145" s="12" t="s">
        <v>2359</v>
      </c>
      <c r="C145" s="121">
        <v>34</v>
      </c>
      <c r="D145" s="121">
        <v>0.9</v>
      </c>
      <c r="E145" s="121">
        <v>25</v>
      </c>
      <c r="F145" s="121">
        <v>12</v>
      </c>
      <c r="G145" s="121">
        <v>3</v>
      </c>
      <c r="H145" s="121">
        <v>0.8</v>
      </c>
      <c r="I145" s="121">
        <v>5.0999999999999996</v>
      </c>
      <c r="J145" s="121">
        <v>25.7</v>
      </c>
      <c r="K145" s="121">
        <v>1</v>
      </c>
      <c r="L145" s="121">
        <v>1</v>
      </c>
      <c r="M145" s="146">
        <v>2</v>
      </c>
      <c r="N145" s="121">
        <v>5.4999999999999997E-3</v>
      </c>
      <c r="O145" s="121">
        <v>0.85</v>
      </c>
      <c r="P145" s="121">
        <v>90</v>
      </c>
      <c r="Q145" s="121">
        <v>1</v>
      </c>
      <c r="R145" s="121">
        <v>2</v>
      </c>
      <c r="S145" s="122">
        <v>660.39</v>
      </c>
      <c r="T145" s="122">
        <v>1.6E-2</v>
      </c>
      <c r="U145" s="122">
        <v>2.2000000000000001E-3</v>
      </c>
      <c r="V145" s="122">
        <v>0</v>
      </c>
      <c r="W145" s="122">
        <v>0.9</v>
      </c>
      <c r="X145" s="122">
        <v>0.6</v>
      </c>
      <c r="Y145" s="122">
        <v>1</v>
      </c>
      <c r="Z145" s="122">
        <v>120</v>
      </c>
      <c r="AA145" s="122">
        <v>5</v>
      </c>
      <c r="AB145" s="122">
        <v>0.1</v>
      </c>
      <c r="AC145" s="122">
        <v>0.02</v>
      </c>
      <c r="AD145" s="122">
        <v>1.2E-2</v>
      </c>
      <c r="AE145" s="122">
        <v>5.0000000000000001E-3</v>
      </c>
      <c r="AF145" s="122">
        <v>1.4E-3</v>
      </c>
      <c r="AG145" s="122">
        <v>1E-3</v>
      </c>
      <c r="AH145" s="122">
        <v>6.9999999999999999E-4</v>
      </c>
      <c r="AI145" s="122">
        <v>0</v>
      </c>
      <c r="AJ145" s="122">
        <v>0</v>
      </c>
      <c r="AK145" s="122">
        <v>0</v>
      </c>
      <c r="AL145" s="122">
        <v>3.39</v>
      </c>
      <c r="AM145" s="122">
        <v>3.39</v>
      </c>
      <c r="AN145" s="122">
        <v>3.39</v>
      </c>
      <c r="AO145" s="12">
        <v>6</v>
      </c>
      <c r="AP145" s="121">
        <v>5.01</v>
      </c>
      <c r="AQ145" s="121">
        <v>15.1</v>
      </c>
      <c r="AR145" s="121">
        <v>10</v>
      </c>
      <c r="AS145" s="121">
        <v>0.5</v>
      </c>
      <c r="AT145" s="121">
        <v>4.75</v>
      </c>
      <c r="AU145" s="121">
        <v>0.4</v>
      </c>
      <c r="AV145" s="121">
        <v>0.2</v>
      </c>
      <c r="AW145" s="121">
        <v>100</v>
      </c>
      <c r="AX145" s="121">
        <v>22.5</v>
      </c>
      <c r="AY145" s="121">
        <v>40.71</v>
      </c>
      <c r="AZ145" s="121">
        <v>0.05</v>
      </c>
      <c r="BA145" s="121">
        <v>3.9</v>
      </c>
      <c r="BB145" s="121">
        <v>0.01</v>
      </c>
      <c r="BC145" s="121">
        <v>0.1</v>
      </c>
      <c r="BD145" s="121">
        <v>0</v>
      </c>
      <c r="BE145" s="121">
        <v>0</v>
      </c>
      <c r="BF145" s="121">
        <v>0</v>
      </c>
      <c r="BG145" s="12" t="s">
        <v>2360</v>
      </c>
    </row>
    <row r="146" spans="1:59" s="12" customFormat="1" x14ac:dyDescent="0.25">
      <c r="A146" s="12">
        <v>143</v>
      </c>
      <c r="B146" s="12" t="s">
        <v>2361</v>
      </c>
      <c r="C146" s="121">
        <v>23</v>
      </c>
      <c r="D146" s="121">
        <v>0.8</v>
      </c>
      <c r="E146" s="121">
        <v>18.2</v>
      </c>
      <c r="F146" s="121">
        <v>0</v>
      </c>
      <c r="G146" s="121">
        <v>4.2</v>
      </c>
      <c r="H146" s="121">
        <v>1</v>
      </c>
      <c r="I146" s="121">
        <v>25.23</v>
      </c>
      <c r="J146" s="121">
        <v>40.86</v>
      </c>
      <c r="K146" s="121">
        <v>0.1</v>
      </c>
      <c r="L146" s="121">
        <v>0.5</v>
      </c>
      <c r="M146" s="146">
        <v>2</v>
      </c>
      <c r="N146" s="121">
        <v>1.2200000000000001E-2</v>
      </c>
      <c r="O146" s="121">
        <v>0.86</v>
      </c>
      <c r="P146" s="121">
        <v>2.5</v>
      </c>
      <c r="Q146" s="121">
        <v>0.2</v>
      </c>
      <c r="R146" s="121">
        <v>0.8</v>
      </c>
      <c r="S146" s="122">
        <v>660.31</v>
      </c>
      <c r="T146" s="122">
        <v>3.9399999999999998E-2</v>
      </c>
      <c r="U146" s="122">
        <v>4.8999999999999998E-3</v>
      </c>
      <c r="V146" s="122">
        <v>3.8399999999999997E-2</v>
      </c>
      <c r="W146" s="122">
        <v>0.8</v>
      </c>
      <c r="X146" s="122">
        <v>0.6</v>
      </c>
      <c r="Y146" s="122">
        <v>148.19499999999999</v>
      </c>
      <c r="Z146" s="122">
        <v>4500</v>
      </c>
      <c r="AA146" s="122">
        <v>5</v>
      </c>
      <c r="AB146" s="122">
        <v>0.96</v>
      </c>
      <c r="AC146" s="122">
        <v>0.05</v>
      </c>
      <c r="AD146" s="122">
        <v>2.5000000000000001E-2</v>
      </c>
      <c r="AE146" s="122">
        <v>2.1000000000000001E-2</v>
      </c>
      <c r="AF146" s="122">
        <v>8.3999999999999995E-3</v>
      </c>
      <c r="AG146" s="122">
        <v>3.2000000000000002E-3</v>
      </c>
      <c r="AH146" s="122">
        <v>1.9E-3</v>
      </c>
      <c r="AI146" s="122">
        <v>0.04</v>
      </c>
      <c r="AJ146" s="122">
        <v>0.04</v>
      </c>
      <c r="AK146" s="122">
        <v>0.04</v>
      </c>
      <c r="AL146" s="122">
        <v>1.266</v>
      </c>
      <c r="AM146" s="122">
        <v>0.63300000000000001</v>
      </c>
      <c r="AN146" s="122">
        <v>0.72899999999999998</v>
      </c>
      <c r="AO146" s="12">
        <v>5</v>
      </c>
      <c r="AP146" s="121">
        <v>5.01</v>
      </c>
      <c r="AQ146" s="121">
        <v>15.1</v>
      </c>
      <c r="AR146" s="121">
        <v>8</v>
      </c>
      <c r="AS146" s="121">
        <v>0.5</v>
      </c>
      <c r="AT146" s="121">
        <v>4.3</v>
      </c>
      <c r="AU146" s="121">
        <v>0.4</v>
      </c>
      <c r="AV146" s="121">
        <v>0.2</v>
      </c>
      <c r="AW146" s="121">
        <v>100</v>
      </c>
      <c r="AX146" s="121">
        <v>10.199999999999999</v>
      </c>
      <c r="AY146" s="121">
        <v>50.9</v>
      </c>
      <c r="AZ146" s="121">
        <v>0.12</v>
      </c>
      <c r="BA146" s="121">
        <v>1.7</v>
      </c>
      <c r="BB146" s="121">
        <v>0.01</v>
      </c>
      <c r="BC146" s="121">
        <v>0.1</v>
      </c>
      <c r="BD146" s="121">
        <v>0</v>
      </c>
      <c r="BE146" s="121">
        <v>0</v>
      </c>
      <c r="BF146" s="121">
        <v>0</v>
      </c>
      <c r="BG146" s="12" t="s">
        <v>2362</v>
      </c>
    </row>
    <row r="147" spans="1:59" s="12" customFormat="1" x14ac:dyDescent="0.25">
      <c r="A147" s="12">
        <v>144</v>
      </c>
      <c r="B147" s="12" t="s">
        <v>2363</v>
      </c>
      <c r="C147" s="121">
        <v>18</v>
      </c>
      <c r="D147" s="121">
        <v>0.9</v>
      </c>
      <c r="E147" s="121">
        <v>25</v>
      </c>
      <c r="F147" s="121">
        <v>12</v>
      </c>
      <c r="G147" s="121">
        <v>2</v>
      </c>
      <c r="H147" s="121">
        <v>0.8</v>
      </c>
      <c r="I147" s="121">
        <v>5.05</v>
      </c>
      <c r="J147" s="121">
        <v>30.7</v>
      </c>
      <c r="K147" s="121">
        <v>1</v>
      </c>
      <c r="L147" s="121">
        <v>1</v>
      </c>
      <c r="M147" s="146">
        <v>2</v>
      </c>
      <c r="N147" s="121">
        <v>5.4999999999999997E-3</v>
      </c>
      <c r="O147" s="121">
        <v>0.85</v>
      </c>
      <c r="P147" s="121">
        <v>90</v>
      </c>
      <c r="Q147" s="121">
        <v>0.2</v>
      </c>
      <c r="R147" s="121">
        <v>1.4</v>
      </c>
      <c r="S147" s="122">
        <v>660.31</v>
      </c>
      <c r="T147" s="122">
        <v>1.6E-2</v>
      </c>
      <c r="U147" s="122">
        <v>2.2000000000000001E-3</v>
      </c>
      <c r="V147" s="122">
        <v>0</v>
      </c>
      <c r="W147" s="122">
        <v>0.9</v>
      </c>
      <c r="X147" s="122">
        <v>0.6</v>
      </c>
      <c r="Y147" s="122">
        <v>1</v>
      </c>
      <c r="Z147" s="122">
        <v>120</v>
      </c>
      <c r="AA147" s="122">
        <v>5</v>
      </c>
      <c r="AB147" s="122">
        <v>0.1</v>
      </c>
      <c r="AC147" s="122">
        <v>0.02</v>
      </c>
      <c r="AD147" s="122">
        <v>0.01</v>
      </c>
      <c r="AE147" s="122">
        <v>6.0000000000000001E-3</v>
      </c>
      <c r="AF147" s="122">
        <v>1.4E-3</v>
      </c>
      <c r="AG147" s="122">
        <v>1E-3</v>
      </c>
      <c r="AH147" s="122">
        <v>6.9999999999999999E-4</v>
      </c>
      <c r="AI147" s="122">
        <v>0</v>
      </c>
      <c r="AJ147" s="122">
        <v>0</v>
      </c>
      <c r="AK147" s="122">
        <v>0</v>
      </c>
      <c r="AL147" s="122">
        <v>3.39</v>
      </c>
      <c r="AM147" s="122">
        <v>3.39</v>
      </c>
      <c r="AN147" s="122">
        <v>3.39</v>
      </c>
      <c r="AO147" s="12">
        <v>6</v>
      </c>
      <c r="AP147" s="121">
        <v>5.01</v>
      </c>
      <c r="AQ147" s="121">
        <v>15.1</v>
      </c>
      <c r="AR147" s="121">
        <v>10</v>
      </c>
      <c r="AS147" s="121">
        <v>0.5</v>
      </c>
      <c r="AT147" s="121">
        <v>4.75</v>
      </c>
      <c r="AU147" s="121">
        <v>0.4</v>
      </c>
      <c r="AV147" s="121">
        <v>0.2</v>
      </c>
      <c r="AW147" s="121">
        <v>100</v>
      </c>
      <c r="AX147" s="121">
        <v>22.5</v>
      </c>
      <c r="AY147" s="121">
        <v>40.71</v>
      </c>
      <c r="AZ147" s="121">
        <v>0.05</v>
      </c>
      <c r="BA147" s="121">
        <v>3.9</v>
      </c>
      <c r="BB147" s="121">
        <v>0.01</v>
      </c>
      <c r="BC147" s="121">
        <v>0.1</v>
      </c>
      <c r="BD147" s="121">
        <v>0</v>
      </c>
      <c r="BE147" s="121">
        <v>0</v>
      </c>
      <c r="BF147" s="121">
        <v>0</v>
      </c>
      <c r="BG147" s="12" t="s">
        <v>2364</v>
      </c>
    </row>
    <row r="148" spans="1:59" s="12" customFormat="1" x14ac:dyDescent="0.25">
      <c r="A148" s="12">
        <v>145</v>
      </c>
      <c r="B148" s="12" t="s">
        <v>2365</v>
      </c>
      <c r="C148" s="121">
        <v>23</v>
      </c>
      <c r="D148" s="121">
        <v>0.8</v>
      </c>
      <c r="E148" s="121">
        <v>18</v>
      </c>
      <c r="F148" s="121">
        <v>7</v>
      </c>
      <c r="G148" s="121">
        <v>4.2</v>
      </c>
      <c r="H148" s="121">
        <v>1</v>
      </c>
      <c r="I148" s="121">
        <v>25.23</v>
      </c>
      <c r="J148" s="121">
        <v>40.86</v>
      </c>
      <c r="K148" s="121">
        <v>0.1</v>
      </c>
      <c r="L148" s="121">
        <v>0.5</v>
      </c>
      <c r="M148" s="146">
        <v>2</v>
      </c>
      <c r="N148" s="121">
        <v>2.5000000000000001E-3</v>
      </c>
      <c r="O148" s="121">
        <v>0.86</v>
      </c>
      <c r="P148" s="121">
        <v>2.5</v>
      </c>
      <c r="Q148" s="121">
        <v>0.2</v>
      </c>
      <c r="R148" s="121">
        <v>0.6</v>
      </c>
      <c r="S148" s="122">
        <v>660.25</v>
      </c>
      <c r="T148" s="122">
        <v>3.9300000000000002E-2</v>
      </c>
      <c r="U148" s="122">
        <v>4.8999999999999998E-3</v>
      </c>
      <c r="V148" s="122">
        <v>0</v>
      </c>
      <c r="W148" s="122">
        <v>0.01</v>
      </c>
      <c r="X148" s="122">
        <v>0.6</v>
      </c>
      <c r="Y148" s="122">
        <v>1</v>
      </c>
      <c r="Z148" s="122">
        <v>4500</v>
      </c>
      <c r="AA148" s="122">
        <v>5</v>
      </c>
      <c r="AB148" s="122">
        <v>0.94</v>
      </c>
      <c r="AC148" s="122">
        <v>3.5999999999999997E-2</v>
      </c>
      <c r="AD148" s="122">
        <v>2.5000000000000001E-2</v>
      </c>
      <c r="AE148" s="122">
        <v>2.1000000000000001E-2</v>
      </c>
      <c r="AF148" s="122">
        <v>8.3999999999999995E-3</v>
      </c>
      <c r="AG148" s="122">
        <v>3.2000000000000002E-3</v>
      </c>
      <c r="AH148" s="122">
        <v>1.9E-3</v>
      </c>
      <c r="AI148" s="122">
        <v>0</v>
      </c>
      <c r="AJ148" s="122">
        <v>0</v>
      </c>
      <c r="AK148" s="122">
        <v>0</v>
      </c>
      <c r="AL148" s="122">
        <v>1.266</v>
      </c>
      <c r="AM148" s="122">
        <v>0.63300000000000001</v>
      </c>
      <c r="AN148" s="122">
        <v>0.72899999999999998</v>
      </c>
      <c r="AO148" s="12">
        <v>5</v>
      </c>
      <c r="AP148" s="121">
        <v>5.01</v>
      </c>
      <c r="AQ148" s="121">
        <v>15.1</v>
      </c>
      <c r="AR148" s="121">
        <v>8</v>
      </c>
      <c r="AS148" s="121">
        <v>0.5</v>
      </c>
      <c r="AT148" s="121">
        <v>4.75</v>
      </c>
      <c r="AU148" s="121">
        <v>0.4</v>
      </c>
      <c r="AV148" s="121">
        <v>0.2</v>
      </c>
      <c r="AW148" s="121">
        <v>100</v>
      </c>
      <c r="AX148" s="121">
        <v>10.199999999999999</v>
      </c>
      <c r="AY148" s="121">
        <v>50.9</v>
      </c>
      <c r="AZ148" s="121">
        <v>0.12</v>
      </c>
      <c r="BA148" s="121">
        <v>1.7</v>
      </c>
      <c r="BB148" s="121">
        <v>0.01</v>
      </c>
      <c r="BC148" s="121">
        <v>0.1</v>
      </c>
      <c r="BD148" s="121">
        <v>0</v>
      </c>
      <c r="BE148" s="121">
        <v>0</v>
      </c>
      <c r="BF148" s="121">
        <v>0</v>
      </c>
      <c r="BG148" s="12" t="s">
        <v>2366</v>
      </c>
    </row>
    <row r="149" spans="1:59" s="12" customFormat="1" x14ac:dyDescent="0.25">
      <c r="A149" s="12">
        <v>146</v>
      </c>
      <c r="B149" s="12" t="s">
        <v>2367</v>
      </c>
      <c r="C149" s="121">
        <v>35</v>
      </c>
      <c r="D149" s="121">
        <v>0.25</v>
      </c>
      <c r="E149" s="121">
        <v>30</v>
      </c>
      <c r="F149" s="121">
        <v>10</v>
      </c>
      <c r="G149" s="121">
        <v>2.5</v>
      </c>
      <c r="H149" s="121">
        <v>0.85</v>
      </c>
      <c r="I149" s="121">
        <v>15.01</v>
      </c>
      <c r="J149" s="121">
        <v>50.95</v>
      </c>
      <c r="K149" s="121">
        <v>1</v>
      </c>
      <c r="L149" s="121">
        <v>1</v>
      </c>
      <c r="M149" s="146">
        <v>4</v>
      </c>
      <c r="N149" s="121">
        <v>1.2E-2</v>
      </c>
      <c r="O149" s="121">
        <v>0.85</v>
      </c>
      <c r="P149" s="121">
        <v>5</v>
      </c>
      <c r="Q149" s="121">
        <v>2.5</v>
      </c>
      <c r="R149" s="121">
        <v>2</v>
      </c>
      <c r="S149" s="122">
        <v>660.4</v>
      </c>
      <c r="T149" s="122">
        <v>1.89E-2</v>
      </c>
      <c r="U149" s="122">
        <v>4.8999999999999998E-3</v>
      </c>
      <c r="V149" s="122">
        <v>3.7000000000000002E-3</v>
      </c>
      <c r="W149" s="122">
        <v>0.13</v>
      </c>
      <c r="X149" s="122">
        <v>0.6</v>
      </c>
      <c r="Y149" s="122">
        <v>0.44800000000000001</v>
      </c>
      <c r="Z149" s="122">
        <v>178.238</v>
      </c>
      <c r="AA149" s="122">
        <v>5</v>
      </c>
      <c r="AB149" s="122">
        <v>0.1</v>
      </c>
      <c r="AC149" s="122">
        <v>4.3999999999999997E-2</v>
      </c>
      <c r="AD149" s="122">
        <v>0.02</v>
      </c>
      <c r="AE149" s="122">
        <v>0.01</v>
      </c>
      <c r="AF149" s="122">
        <v>6.0000000000000001E-3</v>
      </c>
      <c r="AG149" s="122">
        <v>2.2000000000000001E-3</v>
      </c>
      <c r="AH149" s="122">
        <v>1.1999999999999999E-3</v>
      </c>
      <c r="AI149" s="122">
        <v>2.8000000000000001E-2</v>
      </c>
      <c r="AJ149" s="122">
        <v>2.3E-2</v>
      </c>
      <c r="AK149" s="122">
        <v>0.02</v>
      </c>
      <c r="AL149" s="122">
        <v>0.65700000000000003</v>
      </c>
      <c r="AM149" s="122">
        <v>0.65700000000000003</v>
      </c>
      <c r="AN149" s="122">
        <v>0.32</v>
      </c>
      <c r="AO149" s="12">
        <v>4</v>
      </c>
      <c r="AP149" s="121">
        <v>5.15</v>
      </c>
      <c r="AQ149" s="121">
        <v>15.95</v>
      </c>
      <c r="AR149" s="121">
        <v>8</v>
      </c>
      <c r="AS149" s="121">
        <v>0.5</v>
      </c>
      <c r="AT149" s="121">
        <v>4.75</v>
      </c>
      <c r="AU149" s="121">
        <v>0.4</v>
      </c>
      <c r="AV149" s="121">
        <v>0.2</v>
      </c>
      <c r="AW149" s="121">
        <v>100</v>
      </c>
      <c r="AX149" s="121">
        <v>5.43</v>
      </c>
      <c r="AY149" s="121">
        <v>15.79</v>
      </c>
      <c r="AZ149" s="121">
        <v>0.12</v>
      </c>
      <c r="BA149" s="121">
        <v>1.7</v>
      </c>
      <c r="BB149" s="121">
        <v>0.01</v>
      </c>
      <c r="BC149" s="121">
        <v>0.1</v>
      </c>
      <c r="BD149" s="121">
        <v>0</v>
      </c>
      <c r="BE149" s="121">
        <v>0</v>
      </c>
      <c r="BF149" s="121">
        <v>0</v>
      </c>
      <c r="BG149" s="12" t="s">
        <v>2368</v>
      </c>
    </row>
    <row r="150" spans="1:59" s="12" customFormat="1" x14ac:dyDescent="0.25">
      <c r="A150" s="12">
        <v>147</v>
      </c>
      <c r="B150" s="12" t="s">
        <v>2369</v>
      </c>
      <c r="C150" s="121">
        <v>1</v>
      </c>
      <c r="D150" s="121">
        <v>1.1200000000000001</v>
      </c>
      <c r="E150" s="121">
        <v>24</v>
      </c>
      <c r="F150" s="121">
        <v>7</v>
      </c>
      <c r="G150" s="121">
        <v>3</v>
      </c>
      <c r="H150" s="121">
        <v>0.6</v>
      </c>
      <c r="I150" s="121">
        <v>15.01</v>
      </c>
      <c r="J150" s="121">
        <v>50.95</v>
      </c>
      <c r="K150" s="121">
        <v>2</v>
      </c>
      <c r="L150" s="121">
        <v>10</v>
      </c>
      <c r="M150" s="146">
        <v>3</v>
      </c>
      <c r="N150" s="121">
        <v>7.0000000000000001E-3</v>
      </c>
      <c r="O150" s="121">
        <v>0.85</v>
      </c>
      <c r="P150" s="121">
        <v>35</v>
      </c>
      <c r="Q150" s="121">
        <v>0.3</v>
      </c>
      <c r="R150" s="121">
        <v>1.1000000000000001</v>
      </c>
      <c r="S150" s="122">
        <v>660.41</v>
      </c>
      <c r="T150" s="122">
        <v>1.35E-2</v>
      </c>
      <c r="U150" s="122">
        <v>3.5999999999999999E-3</v>
      </c>
      <c r="V150" s="122">
        <v>2.6499999999999999E-2</v>
      </c>
      <c r="W150" s="122">
        <v>0.75</v>
      </c>
      <c r="X150" s="122">
        <v>0.6</v>
      </c>
      <c r="Y150" s="122">
        <v>169.18600000000001</v>
      </c>
      <c r="Z150" s="122">
        <v>575</v>
      </c>
      <c r="AA150" s="122">
        <v>348.39</v>
      </c>
      <c r="AB150" s="122">
        <v>0.88</v>
      </c>
      <c r="AC150" s="122">
        <v>5.5E-2</v>
      </c>
      <c r="AD150" s="122">
        <v>1.4E-2</v>
      </c>
      <c r="AE150" s="122">
        <v>1.2E-2</v>
      </c>
      <c r="AF150" s="122">
        <v>6.0000000000000001E-3</v>
      </c>
      <c r="AG150" s="122">
        <v>3.0000000000000001E-3</v>
      </c>
      <c r="AH150" s="122">
        <v>2E-3</v>
      </c>
      <c r="AI150" s="122">
        <v>3.4000000000000002E-2</v>
      </c>
      <c r="AJ150" s="122">
        <v>3.4000000000000002E-2</v>
      </c>
      <c r="AK150" s="122">
        <v>3.4000000000000002E-2</v>
      </c>
      <c r="AL150" s="122">
        <v>1.266</v>
      </c>
      <c r="AM150" s="122">
        <v>0.63300000000000001</v>
      </c>
      <c r="AN150" s="122">
        <v>0.72899999999999998</v>
      </c>
      <c r="AO150" s="12">
        <v>5</v>
      </c>
      <c r="AP150" s="121">
        <v>5.01</v>
      </c>
      <c r="AQ150" s="121">
        <v>15.95</v>
      </c>
      <c r="AR150" s="121">
        <v>10</v>
      </c>
      <c r="AS150" s="121">
        <v>1</v>
      </c>
      <c r="AT150" s="121">
        <v>4.75</v>
      </c>
      <c r="AU150" s="121">
        <v>0.4</v>
      </c>
      <c r="AV150" s="121">
        <v>0.6</v>
      </c>
      <c r="AW150" s="121">
        <v>100</v>
      </c>
      <c r="AX150" s="121">
        <v>10.199999999999999</v>
      </c>
      <c r="AY150" s="121">
        <v>50.9</v>
      </c>
      <c r="AZ150" s="121">
        <v>0.12</v>
      </c>
      <c r="BA150" s="121">
        <v>1.7</v>
      </c>
      <c r="BB150" s="121">
        <v>0.01</v>
      </c>
      <c r="BC150" s="121">
        <v>0.1</v>
      </c>
      <c r="BD150" s="121">
        <v>0</v>
      </c>
      <c r="BE150" s="121">
        <v>0</v>
      </c>
      <c r="BF150" s="121">
        <v>0</v>
      </c>
      <c r="BG150" s="12" t="s">
        <v>2370</v>
      </c>
    </row>
    <row r="151" spans="1:59" s="12" customFormat="1" x14ac:dyDescent="0.25">
      <c r="A151" s="12">
        <v>148</v>
      </c>
      <c r="B151" s="12" t="s">
        <v>2371</v>
      </c>
      <c r="C151" s="121">
        <v>25</v>
      </c>
      <c r="D151" s="121">
        <v>0.31</v>
      </c>
      <c r="E151" s="121">
        <v>30</v>
      </c>
      <c r="F151" s="121">
        <v>15</v>
      </c>
      <c r="G151" s="121">
        <v>4</v>
      </c>
      <c r="H151" s="121">
        <v>0.9</v>
      </c>
      <c r="I151" s="121">
        <v>15.01</v>
      </c>
      <c r="J151" s="121">
        <v>50.95</v>
      </c>
      <c r="K151" s="121">
        <v>1</v>
      </c>
      <c r="L151" s="121">
        <v>1</v>
      </c>
      <c r="M151" s="146">
        <v>3</v>
      </c>
      <c r="N151" s="121">
        <v>5.4999999999999997E-3</v>
      </c>
      <c r="O151" s="121">
        <v>0.85</v>
      </c>
      <c r="P151" s="121">
        <v>35</v>
      </c>
      <c r="Q151" s="121">
        <v>1.5</v>
      </c>
      <c r="R151" s="121">
        <v>2</v>
      </c>
      <c r="S151" s="122">
        <v>660.33</v>
      </c>
      <c r="T151" s="122">
        <v>4.2000000000000003E-2</v>
      </c>
      <c r="U151" s="122">
        <v>4.0000000000000001E-3</v>
      </c>
      <c r="V151" s="122">
        <v>0</v>
      </c>
      <c r="W151" s="122">
        <v>0.01</v>
      </c>
      <c r="X151" s="122">
        <v>0.6</v>
      </c>
      <c r="Y151" s="122">
        <v>1</v>
      </c>
      <c r="Z151" s="122">
        <v>494</v>
      </c>
      <c r="AA151" s="122">
        <v>0</v>
      </c>
      <c r="AB151" s="122">
        <v>0.11</v>
      </c>
      <c r="AC151" s="122">
        <v>5.2400000000000002E-2</v>
      </c>
      <c r="AD151" s="122">
        <v>2.6499999999999999E-2</v>
      </c>
      <c r="AE151" s="122">
        <v>2.58E-2</v>
      </c>
      <c r="AF151" s="122">
        <v>7.4000000000000003E-3</v>
      </c>
      <c r="AG151" s="122">
        <v>3.7000000000000002E-3</v>
      </c>
      <c r="AH151" s="122">
        <v>3.5000000000000001E-3</v>
      </c>
      <c r="AI151" s="122">
        <v>0</v>
      </c>
      <c r="AJ151" s="122">
        <v>0</v>
      </c>
      <c r="AK151" s="122">
        <v>0</v>
      </c>
      <c r="AL151" s="122">
        <v>1.266</v>
      </c>
      <c r="AM151" s="122">
        <v>0.63300000000000001</v>
      </c>
      <c r="AN151" s="122">
        <v>0.72899999999999998</v>
      </c>
      <c r="AO151" s="12">
        <v>1</v>
      </c>
      <c r="AP151" s="121">
        <v>5.15</v>
      </c>
      <c r="AQ151" s="121">
        <v>15.95</v>
      </c>
      <c r="AR151" s="121">
        <v>10</v>
      </c>
      <c r="AS151" s="121">
        <v>0.5</v>
      </c>
      <c r="AT151" s="121">
        <v>4.75</v>
      </c>
      <c r="AU151" s="121">
        <v>0.4</v>
      </c>
      <c r="AV151" s="121">
        <v>0.2</v>
      </c>
      <c r="AW151" s="121">
        <v>100</v>
      </c>
      <c r="AX151" s="121">
        <v>30.43</v>
      </c>
      <c r="AY151" s="121">
        <v>50.71</v>
      </c>
      <c r="AZ151" s="121">
        <v>0</v>
      </c>
      <c r="BA151" s="121">
        <v>0</v>
      </c>
      <c r="BB151" s="121">
        <v>0.01</v>
      </c>
      <c r="BC151" s="121">
        <v>0.1</v>
      </c>
      <c r="BD151" s="121">
        <v>0</v>
      </c>
      <c r="BE151" s="121">
        <v>0</v>
      </c>
      <c r="BF151" s="121">
        <v>0</v>
      </c>
      <c r="BG151" s="12" t="s">
        <v>2372</v>
      </c>
    </row>
    <row r="152" spans="1:59" s="12" customFormat="1" x14ac:dyDescent="0.25">
      <c r="A152" s="12">
        <v>149</v>
      </c>
      <c r="B152" s="12" t="s">
        <v>286</v>
      </c>
      <c r="C152" s="121">
        <v>34</v>
      </c>
      <c r="D152" s="121">
        <v>0.23</v>
      </c>
      <c r="E152" s="121">
        <v>21</v>
      </c>
      <c r="F152" s="121">
        <v>5</v>
      </c>
      <c r="G152" s="121">
        <v>3.5</v>
      </c>
      <c r="H152" s="121">
        <v>0.5</v>
      </c>
      <c r="I152" s="121">
        <v>15.02</v>
      </c>
      <c r="J152" s="121">
        <v>45.95</v>
      </c>
      <c r="K152" s="121">
        <v>0.2</v>
      </c>
      <c r="L152" s="121">
        <v>0.3</v>
      </c>
      <c r="M152" s="146">
        <v>3</v>
      </c>
      <c r="N152" s="121">
        <v>7.7999999999999996E-3</v>
      </c>
      <c r="O152" s="121">
        <v>0.9</v>
      </c>
      <c r="P152" s="121">
        <v>100</v>
      </c>
      <c r="Q152" s="121">
        <v>0.9</v>
      </c>
      <c r="R152" s="121">
        <v>0.9</v>
      </c>
      <c r="S152" s="122">
        <v>660.46</v>
      </c>
      <c r="T152" s="122">
        <v>3.5999999999999997E-2</v>
      </c>
      <c r="U152" s="122">
        <v>8.3999999999999995E-3</v>
      </c>
      <c r="V152" s="122">
        <v>3.7999999999999999E-2</v>
      </c>
      <c r="W152" s="122">
        <v>0.16</v>
      </c>
      <c r="X152" s="122">
        <v>0.6</v>
      </c>
      <c r="Y152" s="122">
        <v>10.753</v>
      </c>
      <c r="Z152" s="122">
        <v>147.73500000000001</v>
      </c>
      <c r="AA152" s="122">
        <v>5</v>
      </c>
      <c r="AB152" s="122">
        <v>0.12</v>
      </c>
      <c r="AC152" s="122">
        <v>4.3999999999999997E-2</v>
      </c>
      <c r="AD152" s="122">
        <v>1.8200000000000001E-2</v>
      </c>
      <c r="AE152" s="122">
        <v>1.6400000000000001E-2</v>
      </c>
      <c r="AF152" s="122">
        <v>7.3000000000000001E-3</v>
      </c>
      <c r="AG152" s="122">
        <v>3.7000000000000002E-3</v>
      </c>
      <c r="AH152" s="122">
        <v>2.3E-3</v>
      </c>
      <c r="AI152" s="122">
        <v>4.3999999999999997E-2</v>
      </c>
      <c r="AJ152" s="122">
        <v>1.6E-2</v>
      </c>
      <c r="AK152" s="122">
        <v>1.2999999999999999E-2</v>
      </c>
      <c r="AL152" s="122">
        <v>1.266</v>
      </c>
      <c r="AM152" s="122">
        <v>0.63300000000000001</v>
      </c>
      <c r="AN152" s="122">
        <v>0.72899999999999998</v>
      </c>
      <c r="AO152" s="12">
        <v>4</v>
      </c>
      <c r="AP152" s="121">
        <v>5.05</v>
      </c>
      <c r="AQ152" s="121">
        <v>15.1</v>
      </c>
      <c r="AR152" s="121">
        <v>10</v>
      </c>
      <c r="AS152" s="121">
        <v>0.5</v>
      </c>
      <c r="AT152" s="121">
        <v>4.75</v>
      </c>
      <c r="AU152" s="121">
        <v>0.4</v>
      </c>
      <c r="AV152" s="121">
        <v>0.2</v>
      </c>
      <c r="AW152" s="121">
        <v>100</v>
      </c>
      <c r="AX152" s="121">
        <v>20.2</v>
      </c>
      <c r="AY152" s="121">
        <v>100.9</v>
      </c>
      <c r="AZ152" s="121">
        <v>0.1</v>
      </c>
      <c r="BA152" s="121">
        <v>2.5</v>
      </c>
      <c r="BB152" s="121">
        <v>0.01</v>
      </c>
      <c r="BC152" s="121">
        <v>0.1</v>
      </c>
      <c r="BD152" s="121">
        <v>0</v>
      </c>
      <c r="BE152" s="121">
        <v>0</v>
      </c>
      <c r="BF152" s="121">
        <v>0</v>
      </c>
      <c r="BG152" s="12" t="s">
        <v>2373</v>
      </c>
    </row>
    <row r="153" spans="1:59" s="12" customFormat="1" x14ac:dyDescent="0.25">
      <c r="A153" s="12">
        <v>150</v>
      </c>
      <c r="B153" s="12" t="s">
        <v>2374</v>
      </c>
      <c r="C153" s="121">
        <v>15</v>
      </c>
      <c r="D153" s="121">
        <v>0.76</v>
      </c>
      <c r="E153" s="121">
        <v>30</v>
      </c>
      <c r="F153" s="121">
        <v>10</v>
      </c>
      <c r="G153" s="121">
        <v>5</v>
      </c>
      <c r="H153" s="121">
        <v>0.99</v>
      </c>
      <c r="I153" s="121">
        <v>5.05</v>
      </c>
      <c r="J153" s="121">
        <v>40.950000000000003</v>
      </c>
      <c r="K153" s="121">
        <v>1</v>
      </c>
      <c r="L153" s="121">
        <v>1</v>
      </c>
      <c r="M153" s="146">
        <v>5</v>
      </c>
      <c r="N153" s="121">
        <v>2E-3</v>
      </c>
      <c r="O153" s="121">
        <v>0.85</v>
      </c>
      <c r="P153" s="121">
        <v>80</v>
      </c>
      <c r="Q153" s="121">
        <v>6</v>
      </c>
      <c r="R153" s="121">
        <v>3.5</v>
      </c>
      <c r="S153" s="122">
        <v>660.16</v>
      </c>
      <c r="T153" s="122">
        <v>1.5E-3</v>
      </c>
      <c r="U153" s="122">
        <v>2.9999999999999997E-4</v>
      </c>
      <c r="V153" s="122">
        <v>0</v>
      </c>
      <c r="W153" s="122">
        <v>0.01</v>
      </c>
      <c r="X153" s="122">
        <v>0.6</v>
      </c>
      <c r="Y153" s="122">
        <v>1</v>
      </c>
      <c r="Z153" s="122">
        <v>1000</v>
      </c>
      <c r="AA153" s="122">
        <v>5</v>
      </c>
      <c r="AB153" s="122">
        <v>0.01</v>
      </c>
      <c r="AC153" s="122">
        <v>6.0000000000000001E-3</v>
      </c>
      <c r="AD153" s="122">
        <v>2E-3</v>
      </c>
      <c r="AE153" s="122">
        <v>1.5E-3</v>
      </c>
      <c r="AF153" s="122">
        <v>6.9999999999999999E-4</v>
      </c>
      <c r="AG153" s="122">
        <v>4.0000000000000002E-4</v>
      </c>
      <c r="AH153" s="122">
        <v>2.9999999999999997E-4</v>
      </c>
      <c r="AI153" s="122">
        <v>0</v>
      </c>
      <c r="AJ153" s="122">
        <v>0</v>
      </c>
      <c r="AK153" s="122">
        <v>0</v>
      </c>
      <c r="AL153" s="122">
        <v>3.39</v>
      </c>
      <c r="AM153" s="122">
        <v>3.39</v>
      </c>
      <c r="AN153" s="122">
        <v>3.39</v>
      </c>
      <c r="AO153" s="12">
        <v>8</v>
      </c>
      <c r="AP153" s="121">
        <v>5.15</v>
      </c>
      <c r="AQ153" s="121">
        <v>15.95</v>
      </c>
      <c r="AR153" s="121">
        <v>8</v>
      </c>
      <c r="AS153" s="121">
        <v>1</v>
      </c>
      <c r="AT153" s="121">
        <v>4.75</v>
      </c>
      <c r="AU153" s="121">
        <v>0.4</v>
      </c>
      <c r="AV153" s="121">
        <v>0.2</v>
      </c>
      <c r="AW153" s="121">
        <v>100</v>
      </c>
      <c r="AX153" s="121">
        <v>1000.95</v>
      </c>
      <c r="AY153" s="121">
        <v>100.05</v>
      </c>
      <c r="AZ153" s="121">
        <v>0.05</v>
      </c>
      <c r="BA153" s="121">
        <v>1</v>
      </c>
      <c r="BB153" s="121">
        <v>0.01</v>
      </c>
      <c r="BC153" s="121">
        <v>0.1</v>
      </c>
      <c r="BD153" s="121">
        <v>0</v>
      </c>
      <c r="BE153" s="121">
        <v>0</v>
      </c>
      <c r="BF153" s="121">
        <v>0</v>
      </c>
      <c r="BG153" s="12" t="s">
        <v>2375</v>
      </c>
    </row>
    <row r="154" spans="1:59" s="12" customFormat="1" x14ac:dyDescent="0.25">
      <c r="A154" s="12">
        <v>151</v>
      </c>
      <c r="B154" s="12" t="s">
        <v>2376</v>
      </c>
      <c r="C154" s="121">
        <v>12</v>
      </c>
      <c r="D154" s="121">
        <v>0.18</v>
      </c>
      <c r="E154" s="121">
        <v>20</v>
      </c>
      <c r="F154" s="121">
        <v>7</v>
      </c>
      <c r="G154" s="121">
        <v>5</v>
      </c>
      <c r="H154" s="121">
        <v>0.99</v>
      </c>
      <c r="I154" s="121">
        <v>10.15</v>
      </c>
      <c r="J154" s="121">
        <v>50.75</v>
      </c>
      <c r="K154" s="121">
        <v>0.5</v>
      </c>
      <c r="L154" s="121">
        <v>1</v>
      </c>
      <c r="M154" s="146">
        <v>1</v>
      </c>
      <c r="N154" s="121">
        <v>7.1000000000000004E-3</v>
      </c>
      <c r="O154" s="121">
        <v>0.85</v>
      </c>
      <c r="P154" s="121">
        <v>80</v>
      </c>
      <c r="Q154" s="121">
        <v>3.5</v>
      </c>
      <c r="R154" s="121">
        <v>2</v>
      </c>
      <c r="S154" s="122">
        <v>660.2</v>
      </c>
      <c r="T154" s="122">
        <v>1.9E-3</v>
      </c>
      <c r="U154" s="122">
        <v>4.0000000000000002E-4</v>
      </c>
      <c r="V154" s="122">
        <v>0</v>
      </c>
      <c r="W154" s="122">
        <v>0.05</v>
      </c>
      <c r="X154" s="122">
        <v>0.6</v>
      </c>
      <c r="Y154" s="122">
        <v>1</v>
      </c>
      <c r="Z154" s="122">
        <v>1000</v>
      </c>
      <c r="AA154" s="122">
        <v>5</v>
      </c>
      <c r="AB154" s="122">
        <v>0.01</v>
      </c>
      <c r="AC154" s="122">
        <v>6.0000000000000001E-3</v>
      </c>
      <c r="AD154" s="122">
        <v>2E-3</v>
      </c>
      <c r="AE154" s="122">
        <v>1.5E-3</v>
      </c>
      <c r="AF154" s="122">
        <v>6.9999999999999999E-4</v>
      </c>
      <c r="AG154" s="122">
        <v>4.0000000000000002E-4</v>
      </c>
      <c r="AH154" s="122">
        <v>2.9999999999999997E-4</v>
      </c>
      <c r="AI154" s="122">
        <v>0</v>
      </c>
      <c r="AJ154" s="122">
        <v>0</v>
      </c>
      <c r="AK154" s="122">
        <v>0</v>
      </c>
      <c r="AL154" s="122">
        <v>3.39</v>
      </c>
      <c r="AM154" s="122">
        <v>3.39</v>
      </c>
      <c r="AN154" s="122">
        <v>3.39</v>
      </c>
      <c r="AO154" s="12">
        <v>7</v>
      </c>
      <c r="AP154" s="121">
        <v>5.15</v>
      </c>
      <c r="AQ154" s="121">
        <v>15.95</v>
      </c>
      <c r="AR154" s="121">
        <v>3</v>
      </c>
      <c r="AS154" s="121">
        <v>0.5</v>
      </c>
      <c r="AT154" s="121">
        <v>4.75</v>
      </c>
      <c r="AU154" s="121">
        <v>0.4</v>
      </c>
      <c r="AV154" s="121">
        <v>0.2</v>
      </c>
      <c r="AW154" s="121">
        <v>100</v>
      </c>
      <c r="AX154" s="121">
        <v>1000.95</v>
      </c>
      <c r="AY154" s="121">
        <v>100.1</v>
      </c>
      <c r="AZ154" s="121">
        <v>0.05</v>
      </c>
      <c r="BA154" s="121">
        <v>1</v>
      </c>
      <c r="BB154" s="121">
        <v>0.01</v>
      </c>
      <c r="BC154" s="121">
        <v>0.1</v>
      </c>
      <c r="BD154" s="121">
        <v>0</v>
      </c>
      <c r="BE154" s="121">
        <v>0</v>
      </c>
      <c r="BF154" s="121">
        <v>0</v>
      </c>
      <c r="BG154" s="12" t="s">
        <v>2377</v>
      </c>
    </row>
    <row r="155" spans="1:59" s="12" customFormat="1" x14ac:dyDescent="0.25">
      <c r="A155" s="12">
        <v>152</v>
      </c>
      <c r="B155" s="12" t="s">
        <v>2378</v>
      </c>
      <c r="C155" s="121">
        <v>14</v>
      </c>
      <c r="D155" s="121">
        <v>0.05</v>
      </c>
      <c r="E155" s="121">
        <v>30</v>
      </c>
      <c r="F155" s="121">
        <v>10</v>
      </c>
      <c r="G155" s="121">
        <v>4.5</v>
      </c>
      <c r="H155" s="121">
        <v>0.99</v>
      </c>
      <c r="I155" s="121">
        <v>5.5</v>
      </c>
      <c r="J155" s="121">
        <v>40.950000000000003</v>
      </c>
      <c r="K155" s="121">
        <v>0.5</v>
      </c>
      <c r="L155" s="121">
        <v>1</v>
      </c>
      <c r="M155" s="146">
        <v>1</v>
      </c>
      <c r="N155" s="121">
        <v>3.5999999999999999E-3</v>
      </c>
      <c r="O155" s="121">
        <v>0.85</v>
      </c>
      <c r="P155" s="121">
        <v>80</v>
      </c>
      <c r="Q155" s="121">
        <v>6</v>
      </c>
      <c r="R155" s="121">
        <v>3.5</v>
      </c>
      <c r="S155" s="122">
        <v>660.18</v>
      </c>
      <c r="T155" s="122">
        <v>9.7000000000000003E-3</v>
      </c>
      <c r="U155" s="122">
        <v>4.0000000000000001E-3</v>
      </c>
      <c r="V155" s="122">
        <v>0</v>
      </c>
      <c r="W155" s="122">
        <v>0.01</v>
      </c>
      <c r="X155" s="122">
        <v>0.6</v>
      </c>
      <c r="Y155" s="122">
        <v>1</v>
      </c>
      <c r="Z155" s="122">
        <v>1000</v>
      </c>
      <c r="AA155" s="122">
        <v>5</v>
      </c>
      <c r="AB155" s="122">
        <v>0.01</v>
      </c>
      <c r="AC155" s="122">
        <v>2.3999999999999998E-3</v>
      </c>
      <c r="AD155" s="122">
        <v>8.0000000000000004E-4</v>
      </c>
      <c r="AE155" s="122">
        <v>5.9999999999999995E-4</v>
      </c>
      <c r="AF155" s="122">
        <v>2.9999999999999997E-4</v>
      </c>
      <c r="AG155" s="122">
        <v>2.0000000000000001E-4</v>
      </c>
      <c r="AH155" s="122">
        <v>1E-4</v>
      </c>
      <c r="AI155" s="122">
        <v>0</v>
      </c>
      <c r="AJ155" s="122">
        <v>0</v>
      </c>
      <c r="AK155" s="122">
        <v>0</v>
      </c>
      <c r="AL155" s="122">
        <v>3.39</v>
      </c>
      <c r="AM155" s="122">
        <v>3.39</v>
      </c>
      <c r="AN155" s="122">
        <v>3.39</v>
      </c>
      <c r="AO155" s="12">
        <v>7</v>
      </c>
      <c r="AP155" s="121">
        <v>5.15</v>
      </c>
      <c r="AQ155" s="121">
        <v>15.95</v>
      </c>
      <c r="AR155" s="121">
        <v>8</v>
      </c>
      <c r="AS155" s="121">
        <v>0.5</v>
      </c>
      <c r="AT155" s="121">
        <v>4.75</v>
      </c>
      <c r="AU155" s="121">
        <v>0.4</v>
      </c>
      <c r="AV155" s="121">
        <v>0.2</v>
      </c>
      <c r="AW155" s="121">
        <v>100</v>
      </c>
      <c r="AX155" s="121">
        <v>1000.95</v>
      </c>
      <c r="AY155" s="121">
        <v>100.1</v>
      </c>
      <c r="AZ155" s="121">
        <v>0.05</v>
      </c>
      <c r="BA155" s="121">
        <v>1</v>
      </c>
      <c r="BB155" s="121">
        <v>0.01</v>
      </c>
      <c r="BC155" s="121">
        <v>0.1</v>
      </c>
      <c r="BD155" s="121">
        <v>0</v>
      </c>
      <c r="BE155" s="121">
        <v>0</v>
      </c>
      <c r="BF155" s="121">
        <v>0</v>
      </c>
      <c r="BG155" s="12" t="s">
        <v>2379</v>
      </c>
    </row>
    <row r="156" spans="1:59" s="12" customFormat="1" x14ac:dyDescent="0.25">
      <c r="A156" s="12">
        <v>153</v>
      </c>
      <c r="B156" s="12" t="s">
        <v>2380</v>
      </c>
      <c r="C156" s="121">
        <v>15</v>
      </c>
      <c r="D156" s="121">
        <v>0.14000000000000001</v>
      </c>
      <c r="E156" s="121">
        <v>20</v>
      </c>
      <c r="F156" s="121">
        <v>7</v>
      </c>
      <c r="G156" s="121">
        <v>2</v>
      </c>
      <c r="H156" s="121">
        <v>0.99</v>
      </c>
      <c r="I156" s="121">
        <v>10.15</v>
      </c>
      <c r="J156" s="121">
        <v>50.75</v>
      </c>
      <c r="K156" s="121">
        <v>0.5</v>
      </c>
      <c r="L156" s="121">
        <v>1</v>
      </c>
      <c r="M156" s="146">
        <v>1</v>
      </c>
      <c r="N156" s="121">
        <v>5.0000000000000001E-3</v>
      </c>
      <c r="O156" s="121">
        <v>0.85</v>
      </c>
      <c r="P156" s="121">
        <v>80</v>
      </c>
      <c r="Q156" s="121">
        <v>3.5</v>
      </c>
      <c r="R156" s="121">
        <v>2</v>
      </c>
      <c r="S156" s="122">
        <v>660.2</v>
      </c>
      <c r="T156" s="122">
        <v>1.9E-3</v>
      </c>
      <c r="U156" s="122">
        <v>4.0000000000000002E-4</v>
      </c>
      <c r="V156" s="122">
        <v>0</v>
      </c>
      <c r="W156" s="122">
        <v>0.09</v>
      </c>
      <c r="X156" s="122">
        <v>0.6</v>
      </c>
      <c r="Y156" s="122">
        <v>1</v>
      </c>
      <c r="Z156" s="122">
        <v>1000</v>
      </c>
      <c r="AA156" s="122">
        <v>5</v>
      </c>
      <c r="AB156" s="122">
        <v>0.01</v>
      </c>
      <c r="AC156" s="122">
        <v>6.0000000000000001E-3</v>
      </c>
      <c r="AD156" s="122">
        <v>2E-3</v>
      </c>
      <c r="AE156" s="122">
        <v>1.5E-3</v>
      </c>
      <c r="AF156" s="122">
        <v>6.9999999999999999E-4</v>
      </c>
      <c r="AG156" s="122">
        <v>4.0000000000000002E-4</v>
      </c>
      <c r="AH156" s="122">
        <v>2.9999999999999997E-4</v>
      </c>
      <c r="AI156" s="122">
        <v>0</v>
      </c>
      <c r="AJ156" s="122">
        <v>0</v>
      </c>
      <c r="AK156" s="122">
        <v>0</v>
      </c>
      <c r="AL156" s="122">
        <v>3.39</v>
      </c>
      <c r="AM156" s="122">
        <v>3.39</v>
      </c>
      <c r="AN156" s="122">
        <v>3.39</v>
      </c>
      <c r="AO156" s="12">
        <v>7</v>
      </c>
      <c r="AP156" s="121">
        <v>3.15</v>
      </c>
      <c r="AQ156" s="121">
        <v>15.95</v>
      </c>
      <c r="AR156" s="121">
        <v>3</v>
      </c>
      <c r="AS156" s="121">
        <v>0.5</v>
      </c>
      <c r="AT156" s="121">
        <v>1.3</v>
      </c>
      <c r="AU156" s="121">
        <v>0.4</v>
      </c>
      <c r="AV156" s="121">
        <v>0.2</v>
      </c>
      <c r="AW156" s="121">
        <v>100</v>
      </c>
      <c r="AX156" s="121">
        <v>1000.95</v>
      </c>
      <c r="AY156" s="121">
        <v>100.1</v>
      </c>
      <c r="AZ156" s="121">
        <v>0.05</v>
      </c>
      <c r="BA156" s="121">
        <v>1</v>
      </c>
      <c r="BB156" s="121">
        <v>0.01</v>
      </c>
      <c r="BC156" s="121">
        <v>0.1</v>
      </c>
      <c r="BD156" s="121">
        <v>0</v>
      </c>
      <c r="BE156" s="121">
        <v>0</v>
      </c>
      <c r="BF156" s="121">
        <v>0</v>
      </c>
      <c r="BG156" s="12" t="s">
        <v>2381</v>
      </c>
    </row>
    <row r="157" spans="1:59" s="12" customFormat="1" x14ac:dyDescent="0.25">
      <c r="A157" s="12">
        <v>154</v>
      </c>
      <c r="B157" s="12" t="s">
        <v>2382</v>
      </c>
      <c r="C157" s="121">
        <v>15</v>
      </c>
      <c r="D157" s="121">
        <v>0.1</v>
      </c>
      <c r="E157" s="121">
        <v>20</v>
      </c>
      <c r="F157" s="121">
        <v>7</v>
      </c>
      <c r="G157" s="121">
        <v>4</v>
      </c>
      <c r="H157" s="121">
        <v>0.99</v>
      </c>
      <c r="I157" s="121">
        <v>10.15</v>
      </c>
      <c r="J157" s="121">
        <v>50.75</v>
      </c>
      <c r="K157" s="121">
        <v>1</v>
      </c>
      <c r="L157" s="121">
        <v>1</v>
      </c>
      <c r="M157" s="146">
        <v>5</v>
      </c>
      <c r="N157" s="121">
        <v>7.1000000000000004E-3</v>
      </c>
      <c r="O157" s="121">
        <v>0.85</v>
      </c>
      <c r="P157" s="121">
        <v>80</v>
      </c>
      <c r="Q157" s="121">
        <v>3.5</v>
      </c>
      <c r="R157" s="121">
        <v>2</v>
      </c>
      <c r="S157" s="122">
        <v>660.2</v>
      </c>
      <c r="T157" s="122">
        <v>1.9E-3</v>
      </c>
      <c r="U157" s="122">
        <v>4.0000000000000002E-4</v>
      </c>
      <c r="V157" s="122">
        <v>0</v>
      </c>
      <c r="W157" s="122">
        <v>0.05</v>
      </c>
      <c r="X157" s="122">
        <v>0.6</v>
      </c>
      <c r="Y157" s="122">
        <v>1</v>
      </c>
      <c r="Z157" s="122">
        <v>1000</v>
      </c>
      <c r="AA157" s="122">
        <v>5</v>
      </c>
      <c r="AB157" s="122">
        <v>0.01</v>
      </c>
      <c r="AC157" s="122">
        <v>6.0000000000000001E-3</v>
      </c>
      <c r="AD157" s="122">
        <v>2E-3</v>
      </c>
      <c r="AE157" s="122">
        <v>1.5E-3</v>
      </c>
      <c r="AF157" s="122">
        <v>6.9999999999999999E-4</v>
      </c>
      <c r="AG157" s="122">
        <v>4.0000000000000002E-4</v>
      </c>
      <c r="AH157" s="122">
        <v>2.9999999999999997E-4</v>
      </c>
      <c r="AI157" s="122">
        <v>0</v>
      </c>
      <c r="AJ157" s="122">
        <v>0</v>
      </c>
      <c r="AK157" s="122">
        <v>0</v>
      </c>
      <c r="AL157" s="122">
        <v>3.39</v>
      </c>
      <c r="AM157" s="122">
        <v>3.39</v>
      </c>
      <c r="AN157" s="122">
        <v>3.39</v>
      </c>
      <c r="AO157" s="12">
        <v>8</v>
      </c>
      <c r="AP157" s="121">
        <v>5.15</v>
      </c>
      <c r="AQ157" s="121">
        <v>15.95</v>
      </c>
      <c r="AR157" s="121">
        <v>3</v>
      </c>
      <c r="AS157" s="121">
        <v>1</v>
      </c>
      <c r="AT157" s="121">
        <v>4.75</v>
      </c>
      <c r="AU157" s="121">
        <v>0.4</v>
      </c>
      <c r="AV157" s="121">
        <v>0.2</v>
      </c>
      <c r="AW157" s="121">
        <v>100</v>
      </c>
      <c r="AX157" s="121">
        <v>1000.95</v>
      </c>
      <c r="AY157" s="121">
        <v>100.05</v>
      </c>
      <c r="AZ157" s="121">
        <v>0.05</v>
      </c>
      <c r="BA157" s="121">
        <v>1</v>
      </c>
      <c r="BB157" s="121">
        <v>0.01</v>
      </c>
      <c r="BC157" s="121">
        <v>0.1</v>
      </c>
      <c r="BD157" s="121">
        <v>0</v>
      </c>
      <c r="BE157" s="121">
        <v>0</v>
      </c>
      <c r="BF157" s="121">
        <v>0</v>
      </c>
      <c r="BG157" s="12" t="s">
        <v>2383</v>
      </c>
    </row>
    <row r="158" spans="1:59" s="12" customFormat="1" x14ac:dyDescent="0.25">
      <c r="A158" s="12">
        <v>155</v>
      </c>
      <c r="B158" s="12" t="s">
        <v>2384</v>
      </c>
      <c r="C158" s="121">
        <v>30</v>
      </c>
      <c r="D158" s="121">
        <v>0.44</v>
      </c>
      <c r="E158" s="121">
        <v>30</v>
      </c>
      <c r="F158" s="121">
        <v>10</v>
      </c>
      <c r="G158" s="121">
        <v>4.5</v>
      </c>
      <c r="H158" s="121">
        <v>0.99</v>
      </c>
      <c r="I158" s="121">
        <v>5.05</v>
      </c>
      <c r="J158" s="121">
        <v>40.950000000000003</v>
      </c>
      <c r="K158" s="121">
        <v>0.5</v>
      </c>
      <c r="L158" s="121">
        <v>1</v>
      </c>
      <c r="M158" s="146">
        <v>1</v>
      </c>
      <c r="N158" s="121">
        <v>3.5999999999999999E-3</v>
      </c>
      <c r="O158" s="121">
        <v>0.85</v>
      </c>
      <c r="P158" s="121">
        <v>80</v>
      </c>
      <c r="Q158" s="121">
        <v>7.5</v>
      </c>
      <c r="R158" s="121">
        <v>3.5</v>
      </c>
      <c r="S158" s="122">
        <v>660.31</v>
      </c>
      <c r="T158" s="122">
        <v>0.5</v>
      </c>
      <c r="U158" s="122">
        <v>8.0000000000000004E-4</v>
      </c>
      <c r="V158" s="122">
        <v>0</v>
      </c>
      <c r="W158" s="122">
        <v>0.01</v>
      </c>
      <c r="X158" s="122">
        <v>0.6</v>
      </c>
      <c r="Y158" s="122">
        <v>1</v>
      </c>
      <c r="Z158" s="122">
        <v>1000</v>
      </c>
      <c r="AA158" s="122">
        <v>5</v>
      </c>
      <c r="AB158" s="122">
        <v>0.01</v>
      </c>
      <c r="AC158" s="122">
        <v>0.06</v>
      </c>
      <c r="AD158" s="122">
        <v>3.2000000000000001E-2</v>
      </c>
      <c r="AE158" s="122">
        <v>1.6E-2</v>
      </c>
      <c r="AF158" s="122">
        <v>3.0000000000000001E-3</v>
      </c>
      <c r="AG158" s="122">
        <v>2E-3</v>
      </c>
      <c r="AH158" s="122">
        <v>1E-3</v>
      </c>
      <c r="AI158" s="122">
        <v>0</v>
      </c>
      <c r="AJ158" s="122">
        <v>0</v>
      </c>
      <c r="AK158" s="122">
        <v>0</v>
      </c>
      <c r="AL158" s="122">
        <v>3.39</v>
      </c>
      <c r="AM158" s="122">
        <v>3.39</v>
      </c>
      <c r="AN158" s="122">
        <v>3.39</v>
      </c>
      <c r="AO158" s="12">
        <v>7</v>
      </c>
      <c r="AP158" s="121">
        <v>5.15</v>
      </c>
      <c r="AQ158" s="121">
        <v>15.95</v>
      </c>
      <c r="AR158" s="121">
        <v>8</v>
      </c>
      <c r="AS158" s="121">
        <v>0.5</v>
      </c>
      <c r="AT158" s="121">
        <v>4.75</v>
      </c>
      <c r="AU158" s="121">
        <v>0.4</v>
      </c>
      <c r="AV158" s="121">
        <v>0.2</v>
      </c>
      <c r="AW158" s="121">
        <v>100</v>
      </c>
      <c r="AX158" s="121">
        <v>1000.95</v>
      </c>
      <c r="AY158" s="121">
        <v>100.1</v>
      </c>
      <c r="AZ158" s="121">
        <v>0.05</v>
      </c>
      <c r="BA158" s="121">
        <v>1</v>
      </c>
      <c r="BB158" s="121">
        <v>0.01</v>
      </c>
      <c r="BC158" s="121">
        <v>0.1</v>
      </c>
      <c r="BD158" s="121">
        <v>0</v>
      </c>
      <c r="BE158" s="121">
        <v>0</v>
      </c>
      <c r="BF158" s="121">
        <v>0</v>
      </c>
      <c r="BG158" s="12" t="s">
        <v>2385</v>
      </c>
    </row>
    <row r="159" spans="1:59" s="12" customFormat="1" x14ac:dyDescent="0.25">
      <c r="A159" s="12">
        <v>156</v>
      </c>
      <c r="B159" s="12" t="s">
        <v>2386</v>
      </c>
      <c r="C159" s="121">
        <v>15</v>
      </c>
      <c r="D159" s="121">
        <v>0.75</v>
      </c>
      <c r="E159" s="121">
        <v>30</v>
      </c>
      <c r="F159" s="121">
        <v>10</v>
      </c>
      <c r="G159" s="121">
        <v>5</v>
      </c>
      <c r="H159" s="121">
        <v>0.99</v>
      </c>
      <c r="I159" s="121">
        <v>5.05</v>
      </c>
      <c r="J159" s="121">
        <v>40.950000000000003</v>
      </c>
      <c r="K159" s="121">
        <v>1</v>
      </c>
      <c r="L159" s="121">
        <v>1</v>
      </c>
      <c r="M159" s="146">
        <v>5</v>
      </c>
      <c r="N159" s="121">
        <v>5.0000000000000001E-3</v>
      </c>
      <c r="O159" s="121">
        <v>0.85</v>
      </c>
      <c r="P159" s="121">
        <v>80</v>
      </c>
      <c r="Q159" s="121">
        <v>6</v>
      </c>
      <c r="R159" s="121">
        <v>3.5</v>
      </c>
      <c r="S159" s="122">
        <v>660.15</v>
      </c>
      <c r="T159" s="122">
        <v>1.5E-3</v>
      </c>
      <c r="U159" s="122">
        <v>2.9999999999999997E-4</v>
      </c>
      <c r="V159" s="122">
        <v>2E-3</v>
      </c>
      <c r="W159" s="122">
        <v>0.05</v>
      </c>
      <c r="X159" s="122">
        <v>0.6</v>
      </c>
      <c r="Y159" s="122">
        <v>3</v>
      </c>
      <c r="Z159" s="122">
        <v>0</v>
      </c>
      <c r="AA159" s="122">
        <v>100</v>
      </c>
      <c r="AB159" s="122">
        <v>0.01</v>
      </c>
      <c r="AC159" s="122">
        <v>6.0000000000000001E-3</v>
      </c>
      <c r="AD159" s="122">
        <v>2E-3</v>
      </c>
      <c r="AE159" s="122">
        <v>1.5E-3</v>
      </c>
      <c r="AF159" s="122">
        <v>6.9999999999999999E-4</v>
      </c>
      <c r="AG159" s="122">
        <v>4.0000000000000002E-4</v>
      </c>
      <c r="AH159" s="122">
        <v>2.9999999999999997E-4</v>
      </c>
      <c r="AI159" s="122">
        <v>6.0000000000000001E-3</v>
      </c>
      <c r="AJ159" s="122">
        <v>3.0000000000000001E-3</v>
      </c>
      <c r="AK159" s="122">
        <v>2E-3</v>
      </c>
      <c r="AL159" s="122">
        <v>3.39</v>
      </c>
      <c r="AM159" s="122">
        <v>3.39</v>
      </c>
      <c r="AN159" s="122">
        <v>3.39</v>
      </c>
      <c r="AO159" s="12">
        <v>8</v>
      </c>
      <c r="AP159" s="121">
        <v>5.0999999999999996</v>
      </c>
      <c r="AQ159" s="121">
        <v>15.5</v>
      </c>
      <c r="AR159" s="121">
        <v>8</v>
      </c>
      <c r="AS159" s="121">
        <v>1</v>
      </c>
      <c r="AT159" s="121">
        <v>4.75</v>
      </c>
      <c r="AU159" s="121">
        <v>0.4</v>
      </c>
      <c r="AV159" s="121">
        <v>0.2</v>
      </c>
      <c r="AW159" s="121">
        <v>100</v>
      </c>
      <c r="AX159" s="121">
        <v>1000.95</v>
      </c>
      <c r="AY159" s="121">
        <v>100.05</v>
      </c>
      <c r="AZ159" s="121">
        <v>0.05</v>
      </c>
      <c r="BA159" s="121">
        <v>1</v>
      </c>
      <c r="BB159" s="121">
        <v>0.01</v>
      </c>
      <c r="BC159" s="121">
        <v>0.1</v>
      </c>
      <c r="BD159" s="121">
        <v>0</v>
      </c>
      <c r="BE159" s="121">
        <v>0</v>
      </c>
      <c r="BF159" s="121">
        <v>0</v>
      </c>
      <c r="BG159" s="12" t="s">
        <v>2387</v>
      </c>
    </row>
    <row r="160" spans="1:59" s="12" customFormat="1" x14ac:dyDescent="0.25">
      <c r="A160" s="12">
        <v>157</v>
      </c>
      <c r="B160" s="12" t="s">
        <v>2388</v>
      </c>
      <c r="C160" s="121">
        <v>30</v>
      </c>
      <c r="D160" s="121">
        <v>0.7</v>
      </c>
      <c r="E160" s="121">
        <v>30</v>
      </c>
      <c r="F160" s="121">
        <v>10</v>
      </c>
      <c r="G160" s="121">
        <v>4</v>
      </c>
      <c r="H160" s="121">
        <v>0.99</v>
      </c>
      <c r="I160" s="121">
        <v>5.05</v>
      </c>
      <c r="J160" s="121">
        <v>40.950000000000003</v>
      </c>
      <c r="K160" s="121">
        <v>0.5</v>
      </c>
      <c r="L160" s="121">
        <v>1</v>
      </c>
      <c r="M160" s="146">
        <v>1</v>
      </c>
      <c r="N160" s="121">
        <v>3.5999999999999999E-3</v>
      </c>
      <c r="O160" s="121">
        <v>0.85</v>
      </c>
      <c r="P160" s="121">
        <v>80</v>
      </c>
      <c r="Q160" s="121">
        <v>1</v>
      </c>
      <c r="R160" s="121">
        <v>3.5</v>
      </c>
      <c r="S160" s="122">
        <v>660.31</v>
      </c>
      <c r="T160" s="122">
        <v>6.4000000000000003E-3</v>
      </c>
      <c r="U160" s="122">
        <v>8.0000000000000004E-4</v>
      </c>
      <c r="V160" s="122">
        <v>0</v>
      </c>
      <c r="W160" s="122">
        <v>0.01</v>
      </c>
      <c r="X160" s="122">
        <v>0.6</v>
      </c>
      <c r="Y160" s="122">
        <v>1</v>
      </c>
      <c r="Z160" s="122">
        <v>1000</v>
      </c>
      <c r="AA160" s="122">
        <v>5</v>
      </c>
      <c r="AB160" s="122">
        <v>0.01</v>
      </c>
      <c r="AC160" s="122">
        <v>0.06</v>
      </c>
      <c r="AD160" s="122">
        <v>3.2000000000000001E-2</v>
      </c>
      <c r="AE160" s="122">
        <v>1.6E-2</v>
      </c>
      <c r="AF160" s="122">
        <v>3.0000000000000001E-3</v>
      </c>
      <c r="AG160" s="122">
        <v>2E-3</v>
      </c>
      <c r="AH160" s="122">
        <v>1E-3</v>
      </c>
      <c r="AI160" s="122">
        <v>0</v>
      </c>
      <c r="AJ160" s="122">
        <v>0</v>
      </c>
      <c r="AK160" s="122">
        <v>0</v>
      </c>
      <c r="AL160" s="122">
        <v>3.39</v>
      </c>
      <c r="AM160" s="122">
        <v>3.39</v>
      </c>
      <c r="AN160" s="122">
        <v>3.39</v>
      </c>
      <c r="AO160" s="12">
        <v>7</v>
      </c>
      <c r="AP160" s="121">
        <v>5.15</v>
      </c>
      <c r="AQ160" s="121">
        <v>15.95</v>
      </c>
      <c r="AR160" s="121">
        <v>8</v>
      </c>
      <c r="AS160" s="121">
        <v>0.5</v>
      </c>
      <c r="AT160" s="121">
        <v>4.75</v>
      </c>
      <c r="AU160" s="121">
        <v>0.4</v>
      </c>
      <c r="AV160" s="121">
        <v>0.2</v>
      </c>
      <c r="AW160" s="121">
        <v>100</v>
      </c>
      <c r="AX160" s="121">
        <v>1000.95</v>
      </c>
      <c r="AY160" s="121">
        <v>100.1</v>
      </c>
      <c r="AZ160" s="121">
        <v>0.05</v>
      </c>
      <c r="BA160" s="121">
        <v>1</v>
      </c>
      <c r="BB160" s="121">
        <v>0.01</v>
      </c>
      <c r="BC160" s="121">
        <v>0.1</v>
      </c>
      <c r="BD160" s="121">
        <v>0</v>
      </c>
      <c r="BE160" s="121">
        <v>0</v>
      </c>
      <c r="BF160" s="121">
        <v>0</v>
      </c>
      <c r="BG160" s="12" t="s">
        <v>2389</v>
      </c>
    </row>
    <row r="161" spans="1:59" s="12" customFormat="1" x14ac:dyDescent="0.25">
      <c r="A161" s="12">
        <v>158</v>
      </c>
      <c r="B161" s="12" t="s">
        <v>2390</v>
      </c>
      <c r="C161" s="121">
        <v>25</v>
      </c>
      <c r="D161" s="121">
        <v>0.3</v>
      </c>
      <c r="E161" s="121">
        <v>27</v>
      </c>
      <c r="F161" s="121">
        <v>10</v>
      </c>
      <c r="G161" s="121">
        <v>1.5</v>
      </c>
      <c r="H161" s="121">
        <v>0.9</v>
      </c>
      <c r="I161" s="121">
        <v>10.050000000000001</v>
      </c>
      <c r="J161" s="121">
        <v>80.95</v>
      </c>
      <c r="K161" s="121">
        <v>1</v>
      </c>
      <c r="L161" s="121">
        <v>1</v>
      </c>
      <c r="M161" s="146">
        <v>3</v>
      </c>
      <c r="N161" s="121">
        <v>0.01</v>
      </c>
      <c r="O161" s="121">
        <v>0.85</v>
      </c>
      <c r="P161" s="121">
        <v>35</v>
      </c>
      <c r="Q161" s="121">
        <v>0.6</v>
      </c>
      <c r="R161" s="121">
        <v>1.1000000000000001</v>
      </c>
      <c r="S161" s="122">
        <v>660.34</v>
      </c>
      <c r="T161" s="122">
        <v>3.7499999999999999E-2</v>
      </c>
      <c r="U161" s="122">
        <v>4.7000000000000002E-3</v>
      </c>
      <c r="V161" s="122">
        <v>1.49E-2</v>
      </c>
      <c r="W161" s="122">
        <v>0.15</v>
      </c>
      <c r="X161" s="122">
        <v>0.6</v>
      </c>
      <c r="Y161" s="122">
        <v>2.2050000000000001</v>
      </c>
      <c r="Z161" s="122">
        <v>494</v>
      </c>
      <c r="AA161" s="122">
        <v>0</v>
      </c>
      <c r="AB161" s="122">
        <v>0.11</v>
      </c>
      <c r="AC161" s="122">
        <v>4.4999999999999998E-2</v>
      </c>
      <c r="AD161" s="122">
        <v>0.03</v>
      </c>
      <c r="AE161" s="122">
        <v>2.5000000000000001E-2</v>
      </c>
      <c r="AF161" s="122">
        <v>4.4999999999999997E-3</v>
      </c>
      <c r="AG161" s="122">
        <v>3.0000000000000001E-3</v>
      </c>
      <c r="AH161" s="122">
        <v>2.5000000000000001E-3</v>
      </c>
      <c r="AI161" s="122">
        <v>9.1000000000000004E-3</v>
      </c>
      <c r="AJ161" s="122">
        <v>7.6E-3</v>
      </c>
      <c r="AK161" s="122">
        <v>6.9999999999999999E-4</v>
      </c>
      <c r="AL161" s="122">
        <v>1.266</v>
      </c>
      <c r="AM161" s="122">
        <v>0.63300000000000001</v>
      </c>
      <c r="AN161" s="122">
        <v>0.72899999999999998</v>
      </c>
      <c r="AO161" s="12">
        <v>1</v>
      </c>
      <c r="AP161" s="121">
        <v>5.15</v>
      </c>
      <c r="AQ161" s="121">
        <v>15.95</v>
      </c>
      <c r="AR161" s="121">
        <v>5</v>
      </c>
      <c r="AS161" s="121">
        <v>0.5</v>
      </c>
      <c r="AT161" s="121">
        <v>4.75</v>
      </c>
      <c r="AU161" s="121">
        <v>0.4</v>
      </c>
      <c r="AV161" s="121">
        <v>0.2</v>
      </c>
      <c r="AW161" s="121">
        <v>100</v>
      </c>
      <c r="AX161" s="121">
        <v>30.43</v>
      </c>
      <c r="AY161" s="121">
        <v>50.71</v>
      </c>
      <c r="AZ161" s="121">
        <v>0</v>
      </c>
      <c r="BA161" s="121">
        <v>0</v>
      </c>
      <c r="BB161" s="121">
        <v>0.01</v>
      </c>
      <c r="BC161" s="121">
        <v>0.1</v>
      </c>
      <c r="BD161" s="121">
        <v>0</v>
      </c>
      <c r="BE161" s="121">
        <v>0</v>
      </c>
      <c r="BF161" s="121">
        <v>0</v>
      </c>
      <c r="BG161" s="12" t="s">
        <v>2391</v>
      </c>
    </row>
    <row r="162" spans="1:59" s="12" customFormat="1" x14ac:dyDescent="0.25">
      <c r="A162" s="12">
        <v>159</v>
      </c>
      <c r="B162" s="12" t="s">
        <v>2392</v>
      </c>
      <c r="C162" s="121">
        <v>15</v>
      </c>
      <c r="D162" s="121">
        <v>0.75</v>
      </c>
      <c r="E162" s="121">
        <v>30</v>
      </c>
      <c r="F162" s="121">
        <v>10</v>
      </c>
      <c r="G162" s="121">
        <v>5</v>
      </c>
      <c r="H162" s="121">
        <v>0.99</v>
      </c>
      <c r="I162" s="121">
        <v>5.05</v>
      </c>
      <c r="J162" s="121">
        <v>40.950000000000003</v>
      </c>
      <c r="K162" s="121">
        <v>1</v>
      </c>
      <c r="L162" s="121">
        <v>1</v>
      </c>
      <c r="M162" s="146">
        <v>5</v>
      </c>
      <c r="N162" s="121">
        <v>5.0000000000000001E-3</v>
      </c>
      <c r="O162" s="121">
        <v>0.85</v>
      </c>
      <c r="P162" s="121">
        <v>80</v>
      </c>
      <c r="Q162" s="121">
        <v>6</v>
      </c>
      <c r="R162" s="121">
        <v>3.5</v>
      </c>
      <c r="S162" s="122">
        <v>660.15</v>
      </c>
      <c r="T162" s="122">
        <v>1.5E-3</v>
      </c>
      <c r="U162" s="122">
        <v>2.9999999999999997E-4</v>
      </c>
      <c r="V162" s="122">
        <v>2E-3</v>
      </c>
      <c r="W162" s="122">
        <v>0.05</v>
      </c>
      <c r="X162" s="122">
        <v>0.6</v>
      </c>
      <c r="Y162" s="122">
        <v>3</v>
      </c>
      <c r="Z162" s="122">
        <v>0</v>
      </c>
      <c r="AA162" s="122">
        <v>100</v>
      </c>
      <c r="AB162" s="122">
        <v>0.01</v>
      </c>
      <c r="AC162" s="122">
        <v>6.0000000000000001E-3</v>
      </c>
      <c r="AD162" s="122">
        <v>2E-3</v>
      </c>
      <c r="AE162" s="122">
        <v>1.5E-3</v>
      </c>
      <c r="AF162" s="122">
        <v>6.9999999999999999E-4</v>
      </c>
      <c r="AG162" s="122">
        <v>4.0000000000000002E-4</v>
      </c>
      <c r="AH162" s="122">
        <v>2.9999999999999997E-4</v>
      </c>
      <c r="AI162" s="122">
        <v>6.0000000000000001E-3</v>
      </c>
      <c r="AJ162" s="122">
        <v>3.0000000000000001E-3</v>
      </c>
      <c r="AK162" s="122">
        <v>2E-3</v>
      </c>
      <c r="AL162" s="122">
        <v>3.39</v>
      </c>
      <c r="AM162" s="122">
        <v>3.39</v>
      </c>
      <c r="AN162" s="122">
        <v>3.39</v>
      </c>
      <c r="AO162" s="12">
        <v>8</v>
      </c>
      <c r="AP162" s="121">
        <v>5.0999999999999996</v>
      </c>
      <c r="AQ162" s="121">
        <v>15.5</v>
      </c>
      <c r="AR162" s="121">
        <v>8</v>
      </c>
      <c r="AS162" s="121">
        <v>1</v>
      </c>
      <c r="AT162" s="121">
        <v>4.75</v>
      </c>
      <c r="AU162" s="121">
        <v>0.4</v>
      </c>
      <c r="AV162" s="121">
        <v>0.2</v>
      </c>
      <c r="AW162" s="121">
        <v>100</v>
      </c>
      <c r="AX162" s="121">
        <v>1000.95</v>
      </c>
      <c r="AY162" s="121">
        <v>100.05</v>
      </c>
      <c r="AZ162" s="121">
        <v>0.05</v>
      </c>
      <c r="BA162" s="121">
        <v>1</v>
      </c>
      <c r="BB162" s="121">
        <v>0.01</v>
      </c>
      <c r="BC162" s="121">
        <v>0.1</v>
      </c>
      <c r="BD162" s="121">
        <v>0</v>
      </c>
      <c r="BE162" s="121">
        <v>0</v>
      </c>
      <c r="BF162" s="121">
        <v>0</v>
      </c>
      <c r="BG162" s="12" t="s">
        <v>2393</v>
      </c>
    </row>
    <row r="163" spans="1:59" s="12" customFormat="1" x14ac:dyDescent="0.25">
      <c r="A163" s="12">
        <v>160</v>
      </c>
      <c r="B163" s="12" t="s">
        <v>2394</v>
      </c>
      <c r="C163" s="121">
        <v>30</v>
      </c>
      <c r="D163" s="121">
        <v>0.44</v>
      </c>
      <c r="E163" s="121">
        <v>30</v>
      </c>
      <c r="F163" s="121">
        <v>10</v>
      </c>
      <c r="G163" s="121">
        <v>4.5</v>
      </c>
      <c r="H163" s="121">
        <v>0.99</v>
      </c>
      <c r="I163" s="121">
        <v>5.05</v>
      </c>
      <c r="J163" s="121">
        <v>40.950000000000003</v>
      </c>
      <c r="K163" s="121">
        <v>0.5</v>
      </c>
      <c r="L163" s="121">
        <v>1</v>
      </c>
      <c r="M163" s="146">
        <v>1</v>
      </c>
      <c r="N163" s="121">
        <v>3.5999999999999999E-3</v>
      </c>
      <c r="O163" s="121">
        <v>0.85</v>
      </c>
      <c r="P163" s="121">
        <v>80</v>
      </c>
      <c r="Q163" s="121">
        <v>7.5</v>
      </c>
      <c r="R163" s="121">
        <v>3.5</v>
      </c>
      <c r="S163" s="122">
        <v>660.31</v>
      </c>
      <c r="T163" s="122">
        <v>6.4000000000000003E-3</v>
      </c>
      <c r="U163" s="122">
        <v>8.0000000000000004E-4</v>
      </c>
      <c r="V163" s="122">
        <v>0</v>
      </c>
      <c r="W163" s="122">
        <v>0.01</v>
      </c>
      <c r="X163" s="122">
        <v>0.6</v>
      </c>
      <c r="Y163" s="122">
        <v>1</v>
      </c>
      <c r="Z163" s="122">
        <v>1000</v>
      </c>
      <c r="AA163" s="122">
        <v>5</v>
      </c>
      <c r="AB163" s="122">
        <v>0.01</v>
      </c>
      <c r="AC163" s="122">
        <v>0.06</v>
      </c>
      <c r="AD163" s="122">
        <v>3.2000000000000001E-2</v>
      </c>
      <c r="AE163" s="122">
        <v>1.6E-2</v>
      </c>
      <c r="AF163" s="122">
        <v>3.0000000000000001E-3</v>
      </c>
      <c r="AG163" s="122">
        <v>2E-3</v>
      </c>
      <c r="AH163" s="122">
        <v>1E-3</v>
      </c>
      <c r="AI163" s="122">
        <v>0</v>
      </c>
      <c r="AJ163" s="122">
        <v>0</v>
      </c>
      <c r="AK163" s="122">
        <v>0</v>
      </c>
      <c r="AL163" s="122">
        <v>3.39</v>
      </c>
      <c r="AM163" s="122">
        <v>3.39</v>
      </c>
      <c r="AN163" s="122">
        <v>3.39</v>
      </c>
      <c r="AO163" s="12">
        <v>7</v>
      </c>
      <c r="AP163" s="121">
        <v>5.15</v>
      </c>
      <c r="AQ163" s="121">
        <v>15.95</v>
      </c>
      <c r="AR163" s="121">
        <v>8</v>
      </c>
      <c r="AS163" s="121">
        <v>0.5</v>
      </c>
      <c r="AT163" s="121">
        <v>4.75</v>
      </c>
      <c r="AU163" s="121">
        <v>0.4</v>
      </c>
      <c r="AV163" s="121">
        <v>0.2</v>
      </c>
      <c r="AW163" s="121">
        <v>100</v>
      </c>
      <c r="AX163" s="121">
        <v>1000.95</v>
      </c>
      <c r="AY163" s="121">
        <v>100.1</v>
      </c>
      <c r="AZ163" s="121">
        <v>0.05</v>
      </c>
      <c r="BA163" s="121">
        <v>1</v>
      </c>
      <c r="BB163" s="121">
        <v>0.01</v>
      </c>
      <c r="BC163" s="121">
        <v>0.1</v>
      </c>
      <c r="BD163" s="121">
        <v>0</v>
      </c>
      <c r="BE163" s="121">
        <v>0</v>
      </c>
      <c r="BF163" s="121">
        <v>0</v>
      </c>
      <c r="BG163" s="12" t="s">
        <v>2395</v>
      </c>
    </row>
    <row r="164" spans="1:59" s="12" customFormat="1" x14ac:dyDescent="0.25">
      <c r="A164" s="12">
        <v>161</v>
      </c>
      <c r="B164" s="12" t="s">
        <v>2396</v>
      </c>
      <c r="C164" s="121">
        <v>30</v>
      </c>
      <c r="D164" s="121">
        <v>0.5</v>
      </c>
      <c r="E164" s="121">
        <v>35</v>
      </c>
      <c r="F164" s="121">
        <v>18</v>
      </c>
      <c r="G164" s="121">
        <v>1.5</v>
      </c>
      <c r="H164" s="121">
        <v>0.6</v>
      </c>
      <c r="I164" s="121">
        <v>15.05</v>
      </c>
      <c r="J164" s="121">
        <v>50.95</v>
      </c>
      <c r="K164" s="121">
        <v>1</v>
      </c>
      <c r="L164" s="121">
        <v>1</v>
      </c>
      <c r="M164" s="146">
        <v>2</v>
      </c>
      <c r="N164" s="121">
        <v>7.0000000000000001E-3</v>
      </c>
      <c r="O164" s="121">
        <v>0.85</v>
      </c>
      <c r="P164" s="121">
        <v>90</v>
      </c>
      <c r="Q164" s="121">
        <v>0.8</v>
      </c>
      <c r="R164" s="121">
        <v>1.1000000000000001</v>
      </c>
      <c r="S164" s="122">
        <v>660.41</v>
      </c>
      <c r="T164" s="122">
        <v>1.17E-2</v>
      </c>
      <c r="U164" s="122">
        <v>1.1000000000000001E-3</v>
      </c>
      <c r="V164" s="122">
        <v>1.37E-2</v>
      </c>
      <c r="W164" s="122">
        <v>0.25</v>
      </c>
      <c r="X164" s="122">
        <v>0.6</v>
      </c>
      <c r="Y164" s="122">
        <v>493.98200000000003</v>
      </c>
      <c r="Z164" s="122">
        <v>220</v>
      </c>
      <c r="AA164" s="122">
        <v>5</v>
      </c>
      <c r="AB164" s="122">
        <v>0.92</v>
      </c>
      <c r="AC164" s="122">
        <v>2.5000000000000001E-2</v>
      </c>
      <c r="AD164" s="122">
        <v>1.4999999999999999E-2</v>
      </c>
      <c r="AE164" s="122">
        <v>0.01</v>
      </c>
      <c r="AF164" s="122">
        <v>5.3E-3</v>
      </c>
      <c r="AG164" s="122">
        <v>2.5000000000000001E-3</v>
      </c>
      <c r="AH164" s="122">
        <v>1.1999999999999999E-3</v>
      </c>
      <c r="AI164" s="122">
        <v>0.01</v>
      </c>
      <c r="AJ164" s="122">
        <v>0.01</v>
      </c>
      <c r="AK164" s="122">
        <v>0.01</v>
      </c>
      <c r="AL164" s="122">
        <v>1.266</v>
      </c>
      <c r="AM164" s="122">
        <v>0.63300000000000001</v>
      </c>
      <c r="AN164" s="122">
        <v>0.72899999999999998</v>
      </c>
      <c r="AO164" s="12">
        <v>4</v>
      </c>
      <c r="AP164" s="121">
        <v>5.15</v>
      </c>
      <c r="AQ164" s="121">
        <v>15.95</v>
      </c>
      <c r="AR164" s="121">
        <v>8</v>
      </c>
      <c r="AS164" s="121">
        <v>0.5</v>
      </c>
      <c r="AT164" s="121">
        <v>4.75</v>
      </c>
      <c r="AU164" s="121">
        <v>0.4</v>
      </c>
      <c r="AV164" s="121">
        <v>0.2</v>
      </c>
      <c r="AW164" s="121">
        <v>100</v>
      </c>
      <c r="AX164" s="121">
        <v>4.4000000000000004</v>
      </c>
      <c r="AY164" s="121">
        <v>7.9</v>
      </c>
      <c r="AZ164" s="121">
        <v>0.19</v>
      </c>
      <c r="BA164" s="121">
        <v>1</v>
      </c>
      <c r="BB164" s="121">
        <v>0.01</v>
      </c>
      <c r="BC164" s="121">
        <v>0.1</v>
      </c>
      <c r="BD164" s="121">
        <v>0</v>
      </c>
      <c r="BE164" s="121">
        <v>0</v>
      </c>
      <c r="BF164" s="121">
        <v>0</v>
      </c>
      <c r="BG164" s="12" t="s">
        <v>2397</v>
      </c>
    </row>
    <row r="165" spans="1:59" s="12" customFormat="1" x14ac:dyDescent="0.25">
      <c r="A165" s="12">
        <v>162</v>
      </c>
      <c r="B165" s="12" t="s">
        <v>2398</v>
      </c>
      <c r="C165" s="121">
        <v>5</v>
      </c>
      <c r="D165" s="121">
        <v>1.1200000000000001</v>
      </c>
      <c r="E165" s="121">
        <v>24</v>
      </c>
      <c r="F165" s="121">
        <v>7</v>
      </c>
      <c r="G165" s="121">
        <v>3.5</v>
      </c>
      <c r="H165" s="121">
        <v>0.6</v>
      </c>
      <c r="I165" s="121">
        <v>15.01</v>
      </c>
      <c r="J165" s="121">
        <v>50.95</v>
      </c>
      <c r="K165" s="121">
        <v>2</v>
      </c>
      <c r="L165" s="121">
        <v>10</v>
      </c>
      <c r="M165" s="146">
        <v>3</v>
      </c>
      <c r="N165" s="121">
        <v>7.0000000000000001E-3</v>
      </c>
      <c r="O165" s="121">
        <v>0.85</v>
      </c>
      <c r="P165" s="121">
        <v>35</v>
      </c>
      <c r="Q165" s="121">
        <v>0.3</v>
      </c>
      <c r="R165" s="121">
        <v>1.1000000000000001</v>
      </c>
      <c r="S165" s="122">
        <v>660.41</v>
      </c>
      <c r="T165" s="122">
        <v>1.35E-2</v>
      </c>
      <c r="U165" s="122">
        <v>3.5999999999999999E-3</v>
      </c>
      <c r="V165" s="122">
        <v>2.6499999999999999E-2</v>
      </c>
      <c r="W165" s="122">
        <v>0.75</v>
      </c>
      <c r="X165" s="122">
        <v>0.6</v>
      </c>
      <c r="Y165" s="122">
        <v>169.18600000000001</v>
      </c>
      <c r="Z165" s="122">
        <v>575</v>
      </c>
      <c r="AA165" s="122">
        <v>348.39</v>
      </c>
      <c r="AB165" s="122">
        <v>0.88</v>
      </c>
      <c r="AC165" s="122">
        <v>5.5E-2</v>
      </c>
      <c r="AD165" s="122">
        <v>1.4E-2</v>
      </c>
      <c r="AE165" s="122">
        <v>1.2E-2</v>
      </c>
      <c r="AF165" s="122">
        <v>6.0000000000000001E-3</v>
      </c>
      <c r="AG165" s="122">
        <v>3.0000000000000001E-3</v>
      </c>
      <c r="AH165" s="122">
        <v>2E-3</v>
      </c>
      <c r="AI165" s="122">
        <v>3.4000000000000002E-2</v>
      </c>
      <c r="AJ165" s="122">
        <v>3.4000000000000002E-2</v>
      </c>
      <c r="AK165" s="122">
        <v>3.4000000000000002E-2</v>
      </c>
      <c r="AL165" s="122">
        <v>1.266</v>
      </c>
      <c r="AM165" s="122">
        <v>0.63300000000000001</v>
      </c>
      <c r="AN165" s="122">
        <v>0.72899999999999998</v>
      </c>
      <c r="AO165" s="12">
        <v>5</v>
      </c>
      <c r="AP165" s="121">
        <v>5.01</v>
      </c>
      <c r="AQ165" s="121">
        <v>15.95</v>
      </c>
      <c r="AR165" s="121">
        <v>10</v>
      </c>
      <c r="AS165" s="121">
        <v>1</v>
      </c>
      <c r="AT165" s="121">
        <v>4.75</v>
      </c>
      <c r="AU165" s="121">
        <v>0.4</v>
      </c>
      <c r="AV165" s="121">
        <v>0.6</v>
      </c>
      <c r="AW165" s="121">
        <v>100</v>
      </c>
      <c r="AX165" s="121">
        <v>10.199999999999999</v>
      </c>
      <c r="AY165" s="121">
        <v>50.9</v>
      </c>
      <c r="AZ165" s="121">
        <v>0.12</v>
      </c>
      <c r="BA165" s="121">
        <v>1.7</v>
      </c>
      <c r="BB165" s="121">
        <v>0.01</v>
      </c>
      <c r="BC165" s="121">
        <v>0.1</v>
      </c>
      <c r="BD165" s="121">
        <v>0</v>
      </c>
      <c r="BE165" s="121">
        <v>0</v>
      </c>
      <c r="BF165" s="121">
        <v>0</v>
      </c>
      <c r="BG165" s="12" t="s">
        <v>2399</v>
      </c>
    </row>
    <row r="166" spans="1:59" s="12" customFormat="1" x14ac:dyDescent="0.25">
      <c r="A166" s="12">
        <v>163</v>
      </c>
      <c r="B166" s="12" t="s">
        <v>2400</v>
      </c>
      <c r="C166" s="121">
        <v>34</v>
      </c>
      <c r="D166" s="121">
        <v>0.9</v>
      </c>
      <c r="E166" s="121">
        <v>25</v>
      </c>
      <c r="F166" s="121">
        <v>12</v>
      </c>
      <c r="G166" s="121">
        <v>1.5</v>
      </c>
      <c r="H166" s="121">
        <v>0.8</v>
      </c>
      <c r="I166" s="121">
        <v>5.0999999999999996</v>
      </c>
      <c r="J166" s="121">
        <v>25.7</v>
      </c>
      <c r="K166" s="121">
        <v>1</v>
      </c>
      <c r="L166" s="121">
        <v>1</v>
      </c>
      <c r="M166" s="146">
        <v>4</v>
      </c>
      <c r="N166" s="121">
        <v>5.4999999999999997E-3</v>
      </c>
      <c r="O166" s="121">
        <v>0.85</v>
      </c>
      <c r="P166" s="121">
        <v>5</v>
      </c>
      <c r="Q166" s="121">
        <v>1</v>
      </c>
      <c r="R166" s="121">
        <v>2</v>
      </c>
      <c r="S166" s="122">
        <v>660.39</v>
      </c>
      <c r="T166" s="122">
        <v>1.6E-2</v>
      </c>
      <c r="U166" s="122">
        <v>2.2000000000000001E-3</v>
      </c>
      <c r="V166" s="122">
        <v>0</v>
      </c>
      <c r="W166" s="122">
        <v>0.9</v>
      </c>
      <c r="X166" s="122">
        <v>0.6</v>
      </c>
      <c r="Y166" s="122">
        <v>1</v>
      </c>
      <c r="Z166" s="122">
        <v>120</v>
      </c>
      <c r="AA166" s="122">
        <v>5</v>
      </c>
      <c r="AB166" s="122">
        <v>0.1</v>
      </c>
      <c r="AC166" s="122">
        <v>0.02</v>
      </c>
      <c r="AD166" s="122">
        <v>1.2E-2</v>
      </c>
      <c r="AE166" s="122">
        <v>5.0000000000000001E-3</v>
      </c>
      <c r="AF166" s="122">
        <v>1.4E-3</v>
      </c>
      <c r="AG166" s="122">
        <v>1E-3</v>
      </c>
      <c r="AH166" s="122">
        <v>6.9999999999999999E-4</v>
      </c>
      <c r="AI166" s="122">
        <v>0</v>
      </c>
      <c r="AJ166" s="122">
        <v>0</v>
      </c>
      <c r="AK166" s="122">
        <v>0</v>
      </c>
      <c r="AL166" s="122">
        <v>3.39</v>
      </c>
      <c r="AM166" s="122">
        <v>3.39</v>
      </c>
      <c r="AN166" s="122">
        <v>3.39</v>
      </c>
      <c r="AO166" s="12">
        <v>6</v>
      </c>
      <c r="AP166" s="121">
        <v>5.01</v>
      </c>
      <c r="AQ166" s="121">
        <v>15.95</v>
      </c>
      <c r="AR166" s="121">
        <v>10</v>
      </c>
      <c r="AS166" s="121">
        <v>0.5</v>
      </c>
      <c r="AT166" s="121">
        <v>4.75</v>
      </c>
      <c r="AU166" s="121">
        <v>0.4</v>
      </c>
      <c r="AV166" s="121">
        <v>0.2</v>
      </c>
      <c r="AW166" s="121">
        <v>100</v>
      </c>
      <c r="AX166" s="121">
        <v>22.5</v>
      </c>
      <c r="AY166" s="121">
        <v>40.71</v>
      </c>
      <c r="AZ166" s="121">
        <v>0.09</v>
      </c>
      <c r="BA166" s="121">
        <v>2</v>
      </c>
      <c r="BB166" s="121">
        <v>0.01</v>
      </c>
      <c r="BC166" s="121">
        <v>0.1</v>
      </c>
      <c r="BD166" s="121">
        <v>0</v>
      </c>
      <c r="BE166" s="121">
        <v>0</v>
      </c>
      <c r="BF166" s="121">
        <v>0</v>
      </c>
      <c r="BG166" s="12" t="s">
        <v>2401</v>
      </c>
    </row>
    <row r="167" spans="1:59" s="12" customFormat="1" x14ac:dyDescent="0.25">
      <c r="A167" s="12">
        <v>164</v>
      </c>
      <c r="B167" s="12" t="s">
        <v>2402</v>
      </c>
      <c r="C167" s="121">
        <v>34</v>
      </c>
      <c r="D167" s="121">
        <v>0.9</v>
      </c>
      <c r="E167" s="121">
        <v>25</v>
      </c>
      <c r="F167" s="121">
        <v>12</v>
      </c>
      <c r="G167" s="121">
        <v>2</v>
      </c>
      <c r="H167" s="121">
        <v>0.8</v>
      </c>
      <c r="I167" s="121">
        <v>5.0999999999999996</v>
      </c>
      <c r="J167" s="121">
        <v>25.7</v>
      </c>
      <c r="K167" s="121">
        <v>1</v>
      </c>
      <c r="L167" s="121">
        <v>1</v>
      </c>
      <c r="M167" s="146">
        <v>5</v>
      </c>
      <c r="N167" s="121">
        <v>5.4999999999999997E-3</v>
      </c>
      <c r="O167" s="121">
        <v>0.85</v>
      </c>
      <c r="P167" s="121">
        <v>80</v>
      </c>
      <c r="Q167" s="121">
        <v>1</v>
      </c>
      <c r="R167" s="121">
        <v>2</v>
      </c>
      <c r="S167" s="122">
        <v>660.39</v>
      </c>
      <c r="T167" s="122">
        <v>1.6E-2</v>
      </c>
      <c r="U167" s="122">
        <v>2.2000000000000001E-3</v>
      </c>
      <c r="V167" s="122">
        <v>0</v>
      </c>
      <c r="W167" s="122">
        <v>0.9</v>
      </c>
      <c r="X167" s="122">
        <v>0.6</v>
      </c>
      <c r="Y167" s="122">
        <v>1</v>
      </c>
      <c r="Z167" s="122">
        <v>1000</v>
      </c>
      <c r="AA167" s="122">
        <v>5</v>
      </c>
      <c r="AB167" s="122">
        <v>0.01</v>
      </c>
      <c r="AC167" s="122">
        <v>0.02</v>
      </c>
      <c r="AD167" s="122">
        <v>1.2E-2</v>
      </c>
      <c r="AE167" s="122">
        <v>5.0000000000000001E-3</v>
      </c>
      <c r="AF167" s="122">
        <v>1.4E-3</v>
      </c>
      <c r="AG167" s="122">
        <v>1E-3</v>
      </c>
      <c r="AH167" s="122">
        <v>6.9999999999999999E-4</v>
      </c>
      <c r="AI167" s="122">
        <v>0</v>
      </c>
      <c r="AJ167" s="122">
        <v>0</v>
      </c>
      <c r="AK167" s="122">
        <v>0</v>
      </c>
      <c r="AL167" s="122">
        <v>3.39</v>
      </c>
      <c r="AM167" s="122">
        <v>3.39</v>
      </c>
      <c r="AN167" s="122">
        <v>3.39</v>
      </c>
      <c r="AO167" s="12">
        <v>8</v>
      </c>
      <c r="AP167" s="121">
        <v>5.15</v>
      </c>
      <c r="AQ167" s="121">
        <v>15.95</v>
      </c>
      <c r="AR167" s="121">
        <v>10</v>
      </c>
      <c r="AS167" s="121">
        <v>1</v>
      </c>
      <c r="AT167" s="121">
        <v>4.75</v>
      </c>
      <c r="AU167" s="121">
        <v>0.4</v>
      </c>
      <c r="AV167" s="121">
        <v>0.2</v>
      </c>
      <c r="AW167" s="121">
        <v>100</v>
      </c>
      <c r="AX167" s="121">
        <v>68.989999999999995</v>
      </c>
      <c r="AY167" s="121">
        <v>20.350000000000001</v>
      </c>
      <c r="AZ167" s="121">
        <v>0.05</v>
      </c>
      <c r="BA167" s="121">
        <v>1</v>
      </c>
      <c r="BB167" s="121">
        <v>0.01</v>
      </c>
      <c r="BC167" s="121">
        <v>0.1</v>
      </c>
      <c r="BD167" s="121">
        <v>0</v>
      </c>
      <c r="BE167" s="121">
        <v>0</v>
      </c>
      <c r="BF167" s="121">
        <v>0</v>
      </c>
      <c r="BG167" s="12" t="s">
        <v>2403</v>
      </c>
    </row>
    <row r="168" spans="1:59" s="12" customFormat="1" x14ac:dyDescent="0.25">
      <c r="A168" s="12">
        <v>165</v>
      </c>
      <c r="B168" s="12" t="s">
        <v>2404</v>
      </c>
      <c r="C168" s="121">
        <v>34</v>
      </c>
      <c r="D168" s="121">
        <v>0.9</v>
      </c>
      <c r="E168" s="121">
        <v>25</v>
      </c>
      <c r="F168" s="121">
        <v>12</v>
      </c>
      <c r="G168" s="121">
        <v>2.5</v>
      </c>
      <c r="H168" s="121">
        <v>0.8</v>
      </c>
      <c r="I168" s="121">
        <v>5.0999999999999996</v>
      </c>
      <c r="J168" s="121">
        <v>25.7</v>
      </c>
      <c r="K168" s="121">
        <v>1</v>
      </c>
      <c r="L168" s="121">
        <v>1</v>
      </c>
      <c r="M168" s="146">
        <v>4</v>
      </c>
      <c r="N168" s="121">
        <v>5.4999999999999997E-3</v>
      </c>
      <c r="O168" s="121">
        <v>0.85</v>
      </c>
      <c r="P168" s="121">
        <v>5</v>
      </c>
      <c r="Q168" s="121">
        <v>1</v>
      </c>
      <c r="R168" s="121">
        <v>2</v>
      </c>
      <c r="S168" s="122">
        <v>660.39</v>
      </c>
      <c r="T168" s="122">
        <v>1.6E-2</v>
      </c>
      <c r="U168" s="122">
        <v>2.2000000000000001E-3</v>
      </c>
      <c r="V168" s="122">
        <v>0</v>
      </c>
      <c r="W168" s="122">
        <v>0.9</v>
      </c>
      <c r="X168" s="122">
        <v>0.6</v>
      </c>
      <c r="Y168" s="122">
        <v>1</v>
      </c>
      <c r="Z168" s="122">
        <v>120</v>
      </c>
      <c r="AA168" s="122">
        <v>5</v>
      </c>
      <c r="AB168" s="122">
        <v>0.1</v>
      </c>
      <c r="AC168" s="122">
        <v>0.02</v>
      </c>
      <c r="AD168" s="122">
        <v>1.2E-2</v>
      </c>
      <c r="AE168" s="122">
        <v>5.0000000000000001E-3</v>
      </c>
      <c r="AF168" s="122">
        <v>1.4E-3</v>
      </c>
      <c r="AG168" s="122">
        <v>1E-3</v>
      </c>
      <c r="AH168" s="122">
        <v>6.9999999999999999E-4</v>
      </c>
      <c r="AI168" s="122">
        <v>0</v>
      </c>
      <c r="AJ168" s="122">
        <v>0</v>
      </c>
      <c r="AK168" s="122">
        <v>0</v>
      </c>
      <c r="AL168" s="122">
        <v>3.39</v>
      </c>
      <c r="AM168" s="122">
        <v>3.39</v>
      </c>
      <c r="AN168" s="122">
        <v>3.39</v>
      </c>
      <c r="AO168" s="12">
        <v>6</v>
      </c>
      <c r="AP168" s="121">
        <v>5.01</v>
      </c>
      <c r="AQ168" s="121">
        <v>15.95</v>
      </c>
      <c r="AR168" s="121">
        <v>10</v>
      </c>
      <c r="AS168" s="121">
        <v>0.5</v>
      </c>
      <c r="AT168" s="121">
        <v>4.75</v>
      </c>
      <c r="AU168" s="121">
        <v>0.4</v>
      </c>
      <c r="AV168" s="121">
        <v>0.2</v>
      </c>
      <c r="AW168" s="121">
        <v>100</v>
      </c>
      <c r="AX168" s="121">
        <v>22.5</v>
      </c>
      <c r="AY168" s="121">
        <v>40.71</v>
      </c>
      <c r="AZ168" s="121">
        <v>0.09</v>
      </c>
      <c r="BA168" s="121">
        <v>2</v>
      </c>
      <c r="BB168" s="121">
        <v>0.01</v>
      </c>
      <c r="BC168" s="121">
        <v>0.1</v>
      </c>
      <c r="BD168" s="121">
        <v>0</v>
      </c>
      <c r="BE168" s="121">
        <v>0</v>
      </c>
      <c r="BF168" s="121">
        <v>0</v>
      </c>
      <c r="BG168" s="12" t="s">
        <v>2405</v>
      </c>
    </row>
    <row r="169" spans="1:59" s="12" customFormat="1" x14ac:dyDescent="0.25">
      <c r="A169" s="12">
        <v>166</v>
      </c>
      <c r="B169" s="12" t="s">
        <v>2406</v>
      </c>
      <c r="C169" s="121">
        <v>31</v>
      </c>
      <c r="D169" s="121">
        <v>0.5</v>
      </c>
      <c r="E169" s="121">
        <v>22</v>
      </c>
      <c r="F169" s="121">
        <v>4</v>
      </c>
      <c r="G169" s="121">
        <v>4.0999999999999996</v>
      </c>
      <c r="H169" s="121">
        <v>0.8</v>
      </c>
      <c r="I169" s="121">
        <v>5.01</v>
      </c>
      <c r="J169" s="121">
        <v>50.95</v>
      </c>
      <c r="K169" s="121">
        <v>1</v>
      </c>
      <c r="L169" s="121">
        <v>1</v>
      </c>
      <c r="M169" s="146">
        <v>3</v>
      </c>
      <c r="N169" s="121">
        <v>7.0000000000000001E-3</v>
      </c>
      <c r="O169" s="121">
        <v>0.85</v>
      </c>
      <c r="P169" s="121">
        <v>200</v>
      </c>
      <c r="Q169" s="121">
        <v>0.5</v>
      </c>
      <c r="R169" s="121">
        <v>1</v>
      </c>
      <c r="S169" s="122">
        <v>660.35</v>
      </c>
      <c r="T169" s="122">
        <v>2.3999999999999998E-3</v>
      </c>
      <c r="U169" s="122">
        <v>4.8000000000000001E-2</v>
      </c>
      <c r="V169" s="122">
        <v>2.5999999999999999E-2</v>
      </c>
      <c r="W169" s="122">
        <v>0.3</v>
      </c>
      <c r="X169" s="122">
        <v>0.6</v>
      </c>
      <c r="Y169" s="122">
        <v>1.1559999999999999</v>
      </c>
      <c r="Z169" s="122">
        <v>110</v>
      </c>
      <c r="AA169" s="122">
        <v>35</v>
      </c>
      <c r="AB169" s="122">
        <v>0.83599999999999997</v>
      </c>
      <c r="AC169" s="122">
        <v>5.5E-2</v>
      </c>
      <c r="AD169" s="122">
        <v>0.02</v>
      </c>
      <c r="AE169" s="122">
        <v>1.2E-2</v>
      </c>
      <c r="AF169" s="122">
        <v>6.0000000000000001E-3</v>
      </c>
      <c r="AG169" s="122">
        <v>2E-3</v>
      </c>
      <c r="AH169" s="122">
        <v>2E-3</v>
      </c>
      <c r="AI169" s="122">
        <v>0.1</v>
      </c>
      <c r="AJ169" s="122">
        <v>0.04</v>
      </c>
      <c r="AK169" s="122">
        <v>2.4E-2</v>
      </c>
      <c r="AL169" s="122">
        <v>1.1379999999999999</v>
      </c>
      <c r="AM169" s="122">
        <v>0.60299999999999998</v>
      </c>
      <c r="AN169" s="122">
        <v>0.33200000000000002</v>
      </c>
      <c r="AO169" s="12">
        <v>4</v>
      </c>
      <c r="AP169" s="121">
        <v>5.01</v>
      </c>
      <c r="AQ169" s="121">
        <v>15.95</v>
      </c>
      <c r="AR169" s="121">
        <v>10</v>
      </c>
      <c r="AS169" s="121">
        <v>1</v>
      </c>
      <c r="AT169" s="121">
        <v>4.75</v>
      </c>
      <c r="AU169" s="121">
        <v>0.4</v>
      </c>
      <c r="AV169" s="121">
        <v>0.6</v>
      </c>
      <c r="AW169" s="121">
        <v>0</v>
      </c>
      <c r="AX169" s="121">
        <v>15.5</v>
      </c>
      <c r="AY169" s="121">
        <v>30.9</v>
      </c>
      <c r="AZ169" s="121">
        <v>5.8999999999999997E-2</v>
      </c>
      <c r="BA169" s="121">
        <v>7</v>
      </c>
      <c r="BB169" s="121">
        <v>0.01</v>
      </c>
      <c r="BC169" s="121">
        <v>0.1</v>
      </c>
      <c r="BD169" s="121">
        <v>0</v>
      </c>
      <c r="BE169" s="121">
        <v>0</v>
      </c>
      <c r="BF169" s="121">
        <v>0</v>
      </c>
      <c r="BG169" s="12" t="s">
        <v>2407</v>
      </c>
    </row>
    <row r="170" spans="1:59" s="12" customFormat="1" x14ac:dyDescent="0.25">
      <c r="A170" s="12">
        <v>167</v>
      </c>
      <c r="B170" s="12" t="s">
        <v>2408</v>
      </c>
      <c r="C170" s="121">
        <v>5.6</v>
      </c>
      <c r="D170" s="121">
        <v>0.9</v>
      </c>
      <c r="E170" s="121">
        <v>20</v>
      </c>
      <c r="F170" s="121">
        <v>7</v>
      </c>
      <c r="G170" s="121">
        <v>4.5</v>
      </c>
      <c r="H170" s="121">
        <v>0.99</v>
      </c>
      <c r="I170" s="121">
        <v>10.15</v>
      </c>
      <c r="J170" s="121">
        <v>50.75</v>
      </c>
      <c r="K170" s="121">
        <v>0.5</v>
      </c>
      <c r="L170" s="121">
        <v>1</v>
      </c>
      <c r="M170" s="146">
        <v>1</v>
      </c>
      <c r="N170" s="121">
        <v>7.1000000000000004E-3</v>
      </c>
      <c r="O170" s="121">
        <v>0.85</v>
      </c>
      <c r="P170" s="121">
        <v>80</v>
      </c>
      <c r="Q170" s="121">
        <v>3.5</v>
      </c>
      <c r="R170" s="121">
        <v>2</v>
      </c>
      <c r="S170" s="122">
        <v>660.2</v>
      </c>
      <c r="T170" s="122">
        <v>1.9E-3</v>
      </c>
      <c r="U170" s="122">
        <v>4.0000000000000002E-4</v>
      </c>
      <c r="V170" s="122">
        <v>0</v>
      </c>
      <c r="W170" s="122">
        <v>0.05</v>
      </c>
      <c r="X170" s="122">
        <v>0.6</v>
      </c>
      <c r="Y170" s="122">
        <v>1</v>
      </c>
      <c r="Z170" s="122">
        <v>1000</v>
      </c>
      <c r="AA170" s="122">
        <v>5</v>
      </c>
      <c r="AB170" s="122">
        <v>0.01</v>
      </c>
      <c r="AC170" s="122">
        <v>6.0000000000000001E-3</v>
      </c>
      <c r="AD170" s="122">
        <v>2E-3</v>
      </c>
      <c r="AE170" s="122">
        <v>1.5E-3</v>
      </c>
      <c r="AF170" s="122">
        <v>6.9999999999999999E-4</v>
      </c>
      <c r="AG170" s="122">
        <v>4.0000000000000002E-4</v>
      </c>
      <c r="AH170" s="122">
        <v>2.9999999999999997E-4</v>
      </c>
      <c r="AI170" s="122">
        <v>0</v>
      </c>
      <c r="AJ170" s="122">
        <v>0</v>
      </c>
      <c r="AK170" s="122">
        <v>0</v>
      </c>
      <c r="AL170" s="122">
        <v>3.39</v>
      </c>
      <c r="AM170" s="122">
        <v>3.39</v>
      </c>
      <c r="AN170" s="122">
        <v>3.39</v>
      </c>
      <c r="AO170" s="12">
        <v>7</v>
      </c>
      <c r="AP170" s="121">
        <v>5.15</v>
      </c>
      <c r="AQ170" s="121">
        <v>15.95</v>
      </c>
      <c r="AR170" s="121">
        <v>3</v>
      </c>
      <c r="AS170" s="121">
        <v>0.5</v>
      </c>
      <c r="AT170" s="121">
        <v>4.75</v>
      </c>
      <c r="AU170" s="121">
        <v>0.4</v>
      </c>
      <c r="AV170" s="121">
        <v>0.2</v>
      </c>
      <c r="AW170" s="121">
        <v>100</v>
      </c>
      <c r="AX170" s="121">
        <v>1000.95</v>
      </c>
      <c r="AY170" s="121">
        <v>100.1</v>
      </c>
      <c r="AZ170" s="121">
        <v>0.05</v>
      </c>
      <c r="BA170" s="121">
        <v>1</v>
      </c>
      <c r="BB170" s="121">
        <v>0.01</v>
      </c>
      <c r="BC170" s="121">
        <v>0.1</v>
      </c>
      <c r="BD170" s="121">
        <v>0</v>
      </c>
      <c r="BE170" s="121">
        <v>0</v>
      </c>
      <c r="BF170" s="121">
        <v>0</v>
      </c>
      <c r="BG170" s="12" t="s">
        <v>2409</v>
      </c>
    </row>
    <row r="171" spans="1:59" s="12" customFormat="1" x14ac:dyDescent="0.25">
      <c r="A171" s="12">
        <v>168</v>
      </c>
      <c r="B171" s="12" t="s">
        <v>2410</v>
      </c>
      <c r="C171" s="121">
        <v>30</v>
      </c>
      <c r="D171" s="121">
        <v>0.9</v>
      </c>
      <c r="E171" s="121">
        <v>18</v>
      </c>
      <c r="F171" s="121">
        <v>0</v>
      </c>
      <c r="G171" s="121">
        <v>4</v>
      </c>
      <c r="H171" s="121">
        <v>0.8</v>
      </c>
      <c r="I171" s="121">
        <v>20.32</v>
      </c>
      <c r="J171" s="121">
        <v>45.95</v>
      </c>
      <c r="K171" s="121">
        <v>1</v>
      </c>
      <c r="L171" s="121">
        <v>1</v>
      </c>
      <c r="M171" s="146">
        <v>2</v>
      </c>
      <c r="N171" s="121">
        <v>5.4999999999999997E-3</v>
      </c>
      <c r="O171" s="121">
        <v>0.85</v>
      </c>
      <c r="P171" s="121">
        <v>90</v>
      </c>
      <c r="Q171" s="121">
        <v>0.8</v>
      </c>
      <c r="R171" s="121">
        <v>1.3</v>
      </c>
      <c r="S171" s="122">
        <v>660.39</v>
      </c>
      <c r="T171" s="122">
        <v>2.1999999999999999E-2</v>
      </c>
      <c r="U171" s="122">
        <v>2.8E-3</v>
      </c>
      <c r="V171" s="122">
        <v>0</v>
      </c>
      <c r="W171" s="122">
        <v>0.9</v>
      </c>
      <c r="X171" s="122">
        <v>0.6</v>
      </c>
      <c r="Y171" s="122">
        <v>1</v>
      </c>
      <c r="Z171" s="122">
        <v>98</v>
      </c>
      <c r="AA171" s="122">
        <v>75</v>
      </c>
      <c r="AB171" s="122">
        <v>0.12</v>
      </c>
      <c r="AC171" s="122">
        <v>6.6000000000000003E-2</v>
      </c>
      <c r="AD171" s="122">
        <v>2.5399999999999999E-2</v>
      </c>
      <c r="AE171" s="122">
        <v>1.47E-2</v>
      </c>
      <c r="AF171" s="122">
        <v>1.0500000000000001E-2</v>
      </c>
      <c r="AG171" s="122">
        <v>4.0000000000000001E-3</v>
      </c>
      <c r="AH171" s="122">
        <v>2.3999999999999998E-3</v>
      </c>
      <c r="AI171" s="122">
        <v>0</v>
      </c>
      <c r="AJ171" s="122">
        <v>0</v>
      </c>
      <c r="AK171" s="122">
        <v>0</v>
      </c>
      <c r="AL171" s="122">
        <v>3.39</v>
      </c>
      <c r="AM171" s="122">
        <v>3.39</v>
      </c>
      <c r="AN171" s="122">
        <v>1.61</v>
      </c>
      <c r="AO171" s="12">
        <v>5</v>
      </c>
      <c r="AP171" s="121">
        <v>5.01</v>
      </c>
      <c r="AQ171" s="121">
        <v>15.1</v>
      </c>
      <c r="AR171" s="121">
        <v>6</v>
      </c>
      <c r="AS171" s="121">
        <v>0.5</v>
      </c>
      <c r="AT171" s="121">
        <v>4.75</v>
      </c>
      <c r="AU171" s="121">
        <v>0.4</v>
      </c>
      <c r="AV171" s="121">
        <v>0.2</v>
      </c>
      <c r="AW171" s="121">
        <v>100</v>
      </c>
      <c r="AX171" s="121">
        <v>125.6</v>
      </c>
      <c r="AY171" s="121">
        <v>250.95</v>
      </c>
      <c r="AZ171" s="121">
        <v>0.08</v>
      </c>
      <c r="BA171" s="121">
        <v>5.6</v>
      </c>
      <c r="BB171" s="121">
        <v>0.01</v>
      </c>
      <c r="BC171" s="121">
        <v>0.1</v>
      </c>
      <c r="BD171" s="121">
        <v>0</v>
      </c>
      <c r="BE171" s="121">
        <v>0</v>
      </c>
      <c r="BF171" s="121">
        <v>0</v>
      </c>
      <c r="BG171" s="12" t="s">
        <v>2411</v>
      </c>
    </row>
    <row r="172" spans="1:59" s="12" customFormat="1" x14ac:dyDescent="0.25">
      <c r="A172" s="12">
        <v>169</v>
      </c>
      <c r="B172" s="12" t="s">
        <v>2412</v>
      </c>
      <c r="C172" s="121">
        <v>35</v>
      </c>
      <c r="D172" s="121">
        <v>0.8</v>
      </c>
      <c r="E172" s="121">
        <v>18.2</v>
      </c>
      <c r="F172" s="121">
        <v>0</v>
      </c>
      <c r="G172" s="121">
        <v>4.2</v>
      </c>
      <c r="H172" s="121">
        <v>1</v>
      </c>
      <c r="I172" s="121">
        <v>25.23</v>
      </c>
      <c r="J172" s="121">
        <v>40.86</v>
      </c>
      <c r="K172" s="121">
        <v>0.1</v>
      </c>
      <c r="L172" s="121">
        <v>0.5</v>
      </c>
      <c r="M172" s="146">
        <v>2</v>
      </c>
      <c r="N172" s="121">
        <v>1.2200000000000001E-2</v>
      </c>
      <c r="O172" s="121">
        <v>0.86</v>
      </c>
      <c r="P172" s="121">
        <v>2.5</v>
      </c>
      <c r="Q172" s="121">
        <v>0.75</v>
      </c>
      <c r="R172" s="121">
        <v>0.8</v>
      </c>
      <c r="S172" s="122">
        <v>660.26</v>
      </c>
      <c r="T172" s="122">
        <v>3.4700000000000002E-2</v>
      </c>
      <c r="U172" s="122">
        <v>4.1999999999999997E-3</v>
      </c>
      <c r="V172" s="122">
        <v>4.3999999999999997E-2</v>
      </c>
      <c r="W172" s="122">
        <v>0.8</v>
      </c>
      <c r="X172" s="122">
        <v>0.6</v>
      </c>
      <c r="Y172" s="122">
        <v>136.09700000000001</v>
      </c>
      <c r="Z172" s="122">
        <v>4500</v>
      </c>
      <c r="AA172" s="122">
        <v>5</v>
      </c>
      <c r="AB172" s="122">
        <v>0.94</v>
      </c>
      <c r="AC172" s="122">
        <v>0.05</v>
      </c>
      <c r="AD172" s="122">
        <v>2.5000000000000001E-2</v>
      </c>
      <c r="AE172" s="122">
        <v>2.1000000000000001E-2</v>
      </c>
      <c r="AF172" s="122">
        <v>8.3999999999999995E-3</v>
      </c>
      <c r="AG172" s="122">
        <v>3.2000000000000002E-3</v>
      </c>
      <c r="AH172" s="122">
        <v>1.9E-3</v>
      </c>
      <c r="AI172" s="122">
        <v>4.3999999999999997E-2</v>
      </c>
      <c r="AJ172" s="122">
        <v>4.3999999999999997E-2</v>
      </c>
      <c r="AK172" s="122">
        <v>4.3999999999999997E-2</v>
      </c>
      <c r="AL172" s="122">
        <v>1.266</v>
      </c>
      <c r="AM172" s="122">
        <v>0.63300000000000001</v>
      </c>
      <c r="AN172" s="122">
        <v>0.72899999999999998</v>
      </c>
      <c r="AO172" s="12">
        <v>5</v>
      </c>
      <c r="AP172" s="121">
        <v>5.01</v>
      </c>
      <c r="AQ172" s="121">
        <v>15.1</v>
      </c>
      <c r="AR172" s="121">
        <v>8</v>
      </c>
      <c r="AS172" s="121">
        <v>0.5</v>
      </c>
      <c r="AT172" s="121">
        <v>4.3</v>
      </c>
      <c r="AU172" s="121">
        <v>0.4</v>
      </c>
      <c r="AV172" s="121">
        <v>0.2</v>
      </c>
      <c r="AW172" s="121">
        <v>100</v>
      </c>
      <c r="AX172" s="121">
        <v>10.199999999999999</v>
      </c>
      <c r="AY172" s="121">
        <v>50.9</v>
      </c>
      <c r="AZ172" s="121">
        <v>0.12</v>
      </c>
      <c r="BA172" s="121">
        <v>1.7</v>
      </c>
      <c r="BB172" s="121">
        <v>0.01</v>
      </c>
      <c r="BC172" s="121">
        <v>0.1</v>
      </c>
      <c r="BD172" s="121">
        <v>0</v>
      </c>
      <c r="BE172" s="121">
        <v>0</v>
      </c>
      <c r="BF172" s="121">
        <v>0</v>
      </c>
      <c r="BG172" s="12" t="s">
        <v>2413</v>
      </c>
    </row>
    <row r="173" spans="1:59" s="12" customFormat="1" x14ac:dyDescent="0.25">
      <c r="A173" s="12">
        <v>170</v>
      </c>
      <c r="B173" s="12" t="s">
        <v>2414</v>
      </c>
      <c r="C173" s="121">
        <v>30</v>
      </c>
      <c r="D173" s="121">
        <v>0.9</v>
      </c>
      <c r="E173" s="121">
        <v>15</v>
      </c>
      <c r="F173" s="121">
        <v>0</v>
      </c>
      <c r="G173" s="121">
        <v>4</v>
      </c>
      <c r="H173" s="121">
        <v>0.8</v>
      </c>
      <c r="I173" s="121">
        <v>15.01</v>
      </c>
      <c r="J173" s="121">
        <v>50.95</v>
      </c>
      <c r="K173" s="121">
        <v>1</v>
      </c>
      <c r="L173" s="121">
        <v>1</v>
      </c>
      <c r="M173" s="146">
        <v>2</v>
      </c>
      <c r="N173" s="121">
        <v>5.4999999999999997E-3</v>
      </c>
      <c r="O173" s="121">
        <v>0.85</v>
      </c>
      <c r="P173" s="121">
        <v>90</v>
      </c>
      <c r="Q173" s="121">
        <v>1.5</v>
      </c>
      <c r="R173" s="121">
        <v>2</v>
      </c>
      <c r="S173" s="122">
        <v>660.39</v>
      </c>
      <c r="T173" s="122">
        <v>2.3400000000000001E-2</v>
      </c>
      <c r="U173" s="122">
        <v>3.3E-3</v>
      </c>
      <c r="V173" s="122">
        <v>0</v>
      </c>
      <c r="W173" s="122">
        <v>0.9</v>
      </c>
      <c r="X173" s="122">
        <v>0.6</v>
      </c>
      <c r="Y173" s="122">
        <v>1</v>
      </c>
      <c r="Z173" s="122">
        <v>120</v>
      </c>
      <c r="AA173" s="122">
        <v>5</v>
      </c>
      <c r="AB173" s="122">
        <v>0.1</v>
      </c>
      <c r="AC173" s="122">
        <v>5.6000000000000001E-2</v>
      </c>
      <c r="AD173" s="122">
        <v>2.1000000000000001E-2</v>
      </c>
      <c r="AE173" s="122">
        <v>1.2E-2</v>
      </c>
      <c r="AF173" s="122">
        <v>9.9000000000000008E-3</v>
      </c>
      <c r="AG173" s="122">
        <v>2.2000000000000001E-3</v>
      </c>
      <c r="AH173" s="122">
        <v>1.9E-3</v>
      </c>
      <c r="AI173" s="122">
        <v>0</v>
      </c>
      <c r="AJ173" s="122">
        <v>0</v>
      </c>
      <c r="AK173" s="122">
        <v>0</v>
      </c>
      <c r="AL173" s="122">
        <v>3.39</v>
      </c>
      <c r="AM173" s="122">
        <v>3.39</v>
      </c>
      <c r="AN173" s="122">
        <v>3.39</v>
      </c>
      <c r="AO173" s="12">
        <v>6</v>
      </c>
      <c r="AP173" s="121">
        <v>5.01</v>
      </c>
      <c r="AQ173" s="121">
        <v>15.1</v>
      </c>
      <c r="AR173" s="121">
        <v>8</v>
      </c>
      <c r="AS173" s="121">
        <v>0.5</v>
      </c>
      <c r="AT173" s="121">
        <v>4.75</v>
      </c>
      <c r="AU173" s="121">
        <v>0.4</v>
      </c>
      <c r="AV173" s="121">
        <v>0.2</v>
      </c>
      <c r="AW173" s="121">
        <v>100</v>
      </c>
      <c r="AX173" s="121">
        <v>22.5</v>
      </c>
      <c r="AY173" s="121">
        <v>40.71</v>
      </c>
      <c r="AZ173" s="121">
        <v>0.05</v>
      </c>
      <c r="BA173" s="121">
        <v>3.9</v>
      </c>
      <c r="BB173" s="121">
        <v>0.01</v>
      </c>
      <c r="BC173" s="121">
        <v>0.1</v>
      </c>
      <c r="BD173" s="121">
        <v>0</v>
      </c>
      <c r="BE173" s="121">
        <v>0</v>
      </c>
      <c r="BF173" s="121">
        <v>0</v>
      </c>
      <c r="BG173" s="12" t="s">
        <v>2415</v>
      </c>
    </row>
    <row r="174" spans="1:59" s="12" customFormat="1" x14ac:dyDescent="0.25">
      <c r="A174" s="12">
        <v>171</v>
      </c>
      <c r="B174" s="12" t="s">
        <v>2416</v>
      </c>
      <c r="C174" s="121">
        <v>31</v>
      </c>
      <c r="D174" s="121">
        <v>0.55000000000000004</v>
      </c>
      <c r="E174" s="121">
        <v>27.5</v>
      </c>
      <c r="F174" s="121">
        <v>10</v>
      </c>
      <c r="G174" s="121">
        <v>8</v>
      </c>
      <c r="H174" s="121">
        <v>0.7</v>
      </c>
      <c r="I174" s="121">
        <v>15.01</v>
      </c>
      <c r="J174" s="121">
        <v>60.95</v>
      </c>
      <c r="K174" s="121">
        <v>0.5</v>
      </c>
      <c r="L174" s="121">
        <v>0.5</v>
      </c>
      <c r="M174" s="146">
        <v>2</v>
      </c>
      <c r="N174" s="121">
        <v>7.0000000000000001E-3</v>
      </c>
      <c r="O174" s="121">
        <v>0.85</v>
      </c>
      <c r="P174" s="121">
        <v>5</v>
      </c>
      <c r="Q174" s="121">
        <v>1</v>
      </c>
      <c r="R174" s="121">
        <v>1.7</v>
      </c>
      <c r="S174" s="122">
        <v>660.35699999999997</v>
      </c>
      <c r="T174" s="122">
        <v>1.9900000000000001E-2</v>
      </c>
      <c r="U174" s="122">
        <v>3.2000000000000002E-3</v>
      </c>
      <c r="V174" s="122">
        <v>3.8999999999999998E-3</v>
      </c>
      <c r="W174" s="122">
        <v>0.05</v>
      </c>
      <c r="X174" s="122">
        <v>0.6</v>
      </c>
      <c r="Y174" s="122">
        <v>3.6619999999999999</v>
      </c>
      <c r="Z174" s="122">
        <v>92.83</v>
      </c>
      <c r="AA174" s="122">
        <v>75</v>
      </c>
      <c r="AB174" s="122">
        <v>0.13</v>
      </c>
      <c r="AC174" s="122">
        <v>0.04</v>
      </c>
      <c r="AD174" s="122">
        <v>1.6400000000000001E-2</v>
      </c>
      <c r="AE174" s="122">
        <v>1.2800000000000001E-2</v>
      </c>
      <c r="AF174" s="122">
        <v>6.0000000000000001E-3</v>
      </c>
      <c r="AG174" s="122">
        <v>2.2000000000000001E-3</v>
      </c>
      <c r="AH174" s="122">
        <v>1.8E-3</v>
      </c>
      <c r="AI174" s="122">
        <v>2.7E-2</v>
      </c>
      <c r="AJ174" s="122">
        <v>1.7999999999999999E-2</v>
      </c>
      <c r="AK174" s="122">
        <v>1.2999999999999999E-2</v>
      </c>
      <c r="AL174" s="122">
        <v>0.65700000000000003</v>
      </c>
      <c r="AM174" s="122">
        <v>0.65700000000000003</v>
      </c>
      <c r="AN174" s="122">
        <v>0.32</v>
      </c>
      <c r="AO174" s="12">
        <v>4</v>
      </c>
      <c r="AP174" s="121">
        <v>5.15</v>
      </c>
      <c r="AQ174" s="121">
        <v>15.95</v>
      </c>
      <c r="AR174" s="121">
        <v>9</v>
      </c>
      <c r="AS174" s="121">
        <v>0.5</v>
      </c>
      <c r="AT174" s="121">
        <v>4.75</v>
      </c>
      <c r="AU174" s="121">
        <v>0.4</v>
      </c>
      <c r="AV174" s="121">
        <v>0.2</v>
      </c>
      <c r="AW174" s="121">
        <v>100</v>
      </c>
      <c r="AX174" s="121">
        <v>3.2</v>
      </c>
      <c r="AY174" s="121">
        <v>10.9</v>
      </c>
      <c r="AZ174" s="121">
        <v>0.2</v>
      </c>
      <c r="BA174" s="121">
        <v>4.8</v>
      </c>
      <c r="BB174" s="121">
        <v>0.01</v>
      </c>
      <c r="BC174" s="121">
        <v>0.1</v>
      </c>
      <c r="BD174" s="121">
        <v>0</v>
      </c>
      <c r="BE174" s="121">
        <v>0</v>
      </c>
      <c r="BF174" s="121">
        <v>0</v>
      </c>
      <c r="BG174" s="12" t="s">
        <v>2417</v>
      </c>
    </row>
    <row r="175" spans="1:59" s="12" customFormat="1" x14ac:dyDescent="0.25">
      <c r="A175" s="12">
        <v>172</v>
      </c>
      <c r="B175" s="12" t="s">
        <v>2418</v>
      </c>
      <c r="C175" s="121">
        <v>30</v>
      </c>
      <c r="D175" s="121">
        <v>0.33</v>
      </c>
      <c r="E175" s="121">
        <v>27</v>
      </c>
      <c r="F175" s="121">
        <v>10</v>
      </c>
      <c r="G175" s="121">
        <v>3</v>
      </c>
      <c r="H175" s="121">
        <v>0.95</v>
      </c>
      <c r="I175" s="121">
        <v>15.05</v>
      </c>
      <c r="J175" s="121">
        <v>50.95</v>
      </c>
      <c r="K175" s="121">
        <v>0.1</v>
      </c>
      <c r="L175" s="121">
        <v>0.1</v>
      </c>
      <c r="M175" s="146">
        <v>2</v>
      </c>
      <c r="N175" s="121">
        <v>7.0000000000000001E-3</v>
      </c>
      <c r="O175" s="121">
        <v>0.85</v>
      </c>
      <c r="P175" s="121">
        <v>90</v>
      </c>
      <c r="Q175" s="121">
        <v>0.8</v>
      </c>
      <c r="R175" s="121">
        <v>1.5</v>
      </c>
      <c r="S175" s="122">
        <v>660.41</v>
      </c>
      <c r="T175" s="122">
        <v>2.35E-2</v>
      </c>
      <c r="U175" s="122">
        <v>3.8E-3</v>
      </c>
      <c r="V175" s="122">
        <v>3.4200000000000001E-2</v>
      </c>
      <c r="W175" s="122">
        <v>0.17</v>
      </c>
      <c r="X175" s="122">
        <v>0.6</v>
      </c>
      <c r="Y175" s="122">
        <v>1433</v>
      </c>
      <c r="Z175" s="122">
        <v>120</v>
      </c>
      <c r="AA175" s="122">
        <v>5</v>
      </c>
      <c r="AB175" s="122">
        <v>0.94</v>
      </c>
      <c r="AC175" s="122">
        <v>6.6299999999999998E-2</v>
      </c>
      <c r="AD175" s="122">
        <v>0.03</v>
      </c>
      <c r="AE175" s="122">
        <v>2.5000000000000001E-2</v>
      </c>
      <c r="AF175" s="122">
        <v>5.3E-3</v>
      </c>
      <c r="AG175" s="122">
        <v>3.5000000000000001E-3</v>
      </c>
      <c r="AH175" s="122">
        <v>2.5000000000000001E-3</v>
      </c>
      <c r="AI175" s="122">
        <v>5.2999999999999999E-2</v>
      </c>
      <c r="AJ175" s="122">
        <v>4.4999999999999998E-2</v>
      </c>
      <c r="AK175" s="122">
        <v>0.04</v>
      </c>
      <c r="AL175" s="122">
        <v>1.1379999999999999</v>
      </c>
      <c r="AM175" s="122">
        <v>0.60299999999999998</v>
      </c>
      <c r="AN175" s="122">
        <v>0.33200000000000002</v>
      </c>
      <c r="AO175" s="12">
        <v>4</v>
      </c>
      <c r="AP175" s="121">
        <v>5.15</v>
      </c>
      <c r="AQ175" s="121">
        <v>15.95</v>
      </c>
      <c r="AR175" s="121">
        <v>8</v>
      </c>
      <c r="AS175" s="121">
        <v>0.5</v>
      </c>
      <c r="AT175" s="121">
        <v>4.75</v>
      </c>
      <c r="AU175" s="121">
        <v>0.4</v>
      </c>
      <c r="AV175" s="121">
        <v>0.2</v>
      </c>
      <c r="AW175" s="121">
        <v>100</v>
      </c>
      <c r="AX175" s="121">
        <v>4.4000000000000004</v>
      </c>
      <c r="AY175" s="121">
        <v>7.9</v>
      </c>
      <c r="AZ175" s="121">
        <v>0.19</v>
      </c>
      <c r="BA175" s="121">
        <v>1</v>
      </c>
      <c r="BB175" s="121">
        <v>0.01</v>
      </c>
      <c r="BC175" s="121">
        <v>0.1</v>
      </c>
      <c r="BD175" s="121">
        <v>0</v>
      </c>
      <c r="BE175" s="121">
        <v>0</v>
      </c>
      <c r="BF175" s="121">
        <v>0</v>
      </c>
      <c r="BG175" s="12" t="s">
        <v>2419</v>
      </c>
    </row>
    <row r="176" spans="1:59" s="12" customFormat="1" x14ac:dyDescent="0.25">
      <c r="A176" s="12">
        <v>173</v>
      </c>
      <c r="B176" s="12" t="s">
        <v>2420</v>
      </c>
      <c r="C176" s="121">
        <v>32</v>
      </c>
      <c r="D176" s="121">
        <v>0.45</v>
      </c>
      <c r="E176" s="121">
        <v>15</v>
      </c>
      <c r="F176" s="121">
        <v>0</v>
      </c>
      <c r="G176" s="121">
        <v>6.6</v>
      </c>
      <c r="H176" s="121">
        <v>0.6</v>
      </c>
      <c r="I176" s="121">
        <v>15.01</v>
      </c>
      <c r="J176" s="121">
        <v>50.95</v>
      </c>
      <c r="K176" s="121">
        <v>1</v>
      </c>
      <c r="L176" s="121">
        <v>1</v>
      </c>
      <c r="M176" s="146">
        <v>2</v>
      </c>
      <c r="N176" s="121">
        <v>7.0000000000000001E-3</v>
      </c>
      <c r="O176" s="121">
        <v>0.85</v>
      </c>
      <c r="P176" s="121">
        <v>90</v>
      </c>
      <c r="Q176" s="121">
        <v>1</v>
      </c>
      <c r="R176" s="121">
        <v>2</v>
      </c>
      <c r="S176" s="122">
        <v>660.47299999999996</v>
      </c>
      <c r="T176" s="122">
        <v>2.4899999999999999E-2</v>
      </c>
      <c r="U176" s="122">
        <v>3.3E-3</v>
      </c>
      <c r="V176" s="122">
        <v>4.1999999999999997E-3</v>
      </c>
      <c r="W176" s="122">
        <v>0.21</v>
      </c>
      <c r="X176" s="122">
        <v>0.6</v>
      </c>
      <c r="Y176" s="122">
        <v>0.25900000000000001</v>
      </c>
      <c r="Z176" s="122">
        <v>146.97499999999999</v>
      </c>
      <c r="AA176" s="122">
        <v>20</v>
      </c>
      <c r="AB176" s="122">
        <v>0.12</v>
      </c>
      <c r="AC176" s="122">
        <v>0.06</v>
      </c>
      <c r="AD176" s="122">
        <v>2.3E-2</v>
      </c>
      <c r="AE176" s="122">
        <v>1.34E-2</v>
      </c>
      <c r="AF176" s="122">
        <v>8.3999999999999995E-3</v>
      </c>
      <c r="AG176" s="122">
        <v>3.2000000000000002E-3</v>
      </c>
      <c r="AH176" s="122">
        <v>1.9E-3</v>
      </c>
      <c r="AI176" s="122">
        <v>2.3E-2</v>
      </c>
      <c r="AJ176" s="122">
        <v>0.02</v>
      </c>
      <c r="AK176" s="122">
        <v>1.7000000000000001E-2</v>
      </c>
      <c r="AL176" s="122">
        <v>3.39</v>
      </c>
      <c r="AM176" s="122">
        <v>3.39</v>
      </c>
      <c r="AN176" s="122">
        <v>1.61</v>
      </c>
      <c r="AO176" s="12">
        <v>5</v>
      </c>
      <c r="AP176" s="121">
        <v>5.01</v>
      </c>
      <c r="AQ176" s="121">
        <v>15.1</v>
      </c>
      <c r="AR176" s="121">
        <v>6</v>
      </c>
      <c r="AS176" s="121">
        <v>0.5</v>
      </c>
      <c r="AT176" s="121">
        <v>4.75</v>
      </c>
      <c r="AU176" s="121">
        <v>0.4</v>
      </c>
      <c r="AV176" s="121">
        <v>0.2</v>
      </c>
      <c r="AW176" s="121">
        <v>100</v>
      </c>
      <c r="AX176" s="121">
        <v>125.6</v>
      </c>
      <c r="AY176" s="121">
        <v>250.95</v>
      </c>
      <c r="AZ176" s="121">
        <v>7.0999999999999994E-2</v>
      </c>
      <c r="BA176" s="121">
        <v>6</v>
      </c>
      <c r="BB176" s="121">
        <v>0.01</v>
      </c>
      <c r="BC176" s="121">
        <v>0.1</v>
      </c>
      <c r="BD176" s="121">
        <v>0</v>
      </c>
      <c r="BE176" s="121">
        <v>0</v>
      </c>
      <c r="BF176" s="121">
        <v>0</v>
      </c>
      <c r="BG176" s="12" t="s">
        <v>2421</v>
      </c>
    </row>
    <row r="177" spans="1:59" s="12" customFormat="1" x14ac:dyDescent="0.25">
      <c r="A177" s="12">
        <v>174</v>
      </c>
      <c r="B177" s="12" t="s">
        <v>2422</v>
      </c>
      <c r="C177" s="121">
        <v>31</v>
      </c>
      <c r="D177" s="121">
        <v>0.6</v>
      </c>
      <c r="E177" s="121">
        <v>22</v>
      </c>
      <c r="F177" s="121">
        <v>4</v>
      </c>
      <c r="G177" s="121">
        <v>4.0999999999999996</v>
      </c>
      <c r="H177" s="121">
        <v>0.8</v>
      </c>
      <c r="I177" s="121">
        <v>5.01</v>
      </c>
      <c r="J177" s="121">
        <v>50.95</v>
      </c>
      <c r="K177" s="121">
        <v>1</v>
      </c>
      <c r="L177" s="121">
        <v>1</v>
      </c>
      <c r="M177" s="146">
        <v>3</v>
      </c>
      <c r="N177" s="121">
        <v>7.0000000000000001E-3</v>
      </c>
      <c r="O177" s="121">
        <v>0.85</v>
      </c>
      <c r="P177" s="121">
        <v>200</v>
      </c>
      <c r="Q177" s="121">
        <v>0.5</v>
      </c>
      <c r="R177" s="121">
        <v>1</v>
      </c>
      <c r="S177" s="122">
        <v>660.35</v>
      </c>
      <c r="T177" s="122">
        <v>8.9999999999999993E-3</v>
      </c>
      <c r="U177" s="122">
        <v>2.7E-2</v>
      </c>
      <c r="V177" s="122">
        <v>2.5999999999999999E-2</v>
      </c>
      <c r="W177" s="122">
        <v>0.3</v>
      </c>
      <c r="X177" s="122">
        <v>0.6</v>
      </c>
      <c r="Y177" s="122">
        <v>1.1559999999999999</v>
      </c>
      <c r="Z177" s="122">
        <v>110</v>
      </c>
      <c r="AA177" s="122">
        <v>35</v>
      </c>
      <c r="AB177" s="122">
        <v>0.83599999999999997</v>
      </c>
      <c r="AC177" s="122">
        <v>5.5E-2</v>
      </c>
      <c r="AD177" s="122">
        <v>0.02</v>
      </c>
      <c r="AE177" s="122">
        <v>1.2E-2</v>
      </c>
      <c r="AF177" s="122">
        <v>6.0000000000000001E-3</v>
      </c>
      <c r="AG177" s="122">
        <v>2E-3</v>
      </c>
      <c r="AH177" s="122">
        <v>2E-3</v>
      </c>
      <c r="AI177" s="122">
        <v>0.1</v>
      </c>
      <c r="AJ177" s="122">
        <v>0.04</v>
      </c>
      <c r="AK177" s="122">
        <v>2.4E-2</v>
      </c>
      <c r="AL177" s="122">
        <v>1.1379999999999999</v>
      </c>
      <c r="AM177" s="122">
        <v>0.60299999999999998</v>
      </c>
      <c r="AN177" s="122">
        <v>0.33200000000000002</v>
      </c>
      <c r="AO177" s="12">
        <v>4</v>
      </c>
      <c r="AP177" s="121">
        <v>5.01</v>
      </c>
      <c r="AQ177" s="121">
        <v>15.95</v>
      </c>
      <c r="AR177" s="121">
        <v>10</v>
      </c>
      <c r="AS177" s="121">
        <v>1</v>
      </c>
      <c r="AT177" s="121">
        <v>4.75</v>
      </c>
      <c r="AU177" s="121">
        <v>0.4</v>
      </c>
      <c r="AV177" s="121">
        <v>0.6</v>
      </c>
      <c r="AW177" s="121">
        <v>0</v>
      </c>
      <c r="AX177" s="121">
        <v>40.5</v>
      </c>
      <c r="AY177" s="121">
        <v>90.9</v>
      </c>
      <c r="AZ177" s="121">
        <v>5.8999999999999997E-2</v>
      </c>
      <c r="BA177" s="121">
        <v>7</v>
      </c>
      <c r="BB177" s="121">
        <v>0.01</v>
      </c>
      <c r="BC177" s="121">
        <v>0.1</v>
      </c>
      <c r="BD177" s="121">
        <v>0</v>
      </c>
      <c r="BE177" s="121">
        <v>0</v>
      </c>
      <c r="BF177" s="121">
        <v>0</v>
      </c>
      <c r="BG177" s="12" t="s">
        <v>2423</v>
      </c>
    </row>
    <row r="178" spans="1:59" s="12" customFormat="1" x14ac:dyDescent="0.25">
      <c r="A178" s="12">
        <v>175</v>
      </c>
      <c r="B178" s="12" t="s">
        <v>2424</v>
      </c>
      <c r="C178" s="121">
        <v>15</v>
      </c>
      <c r="D178" s="121">
        <v>0.75</v>
      </c>
      <c r="E178" s="121">
        <v>30</v>
      </c>
      <c r="F178" s="121">
        <v>10</v>
      </c>
      <c r="G178" s="121">
        <v>5</v>
      </c>
      <c r="H178" s="121">
        <v>0.99</v>
      </c>
      <c r="I178" s="121">
        <v>5.05</v>
      </c>
      <c r="J178" s="121">
        <v>40.950000000000003</v>
      </c>
      <c r="K178" s="121">
        <v>1</v>
      </c>
      <c r="L178" s="121">
        <v>1</v>
      </c>
      <c r="M178" s="146">
        <v>5</v>
      </c>
      <c r="N178" s="121">
        <v>5.0000000000000001E-3</v>
      </c>
      <c r="O178" s="121">
        <v>0.85</v>
      </c>
      <c r="P178" s="121">
        <v>80</v>
      </c>
      <c r="Q178" s="121">
        <v>6</v>
      </c>
      <c r="R178" s="121">
        <v>3.5</v>
      </c>
      <c r="S178" s="122">
        <v>660.15</v>
      </c>
      <c r="T178" s="122">
        <v>1.5E-3</v>
      </c>
      <c r="U178" s="122">
        <v>2.9999999999999997E-4</v>
      </c>
      <c r="V178" s="122">
        <v>2E-3</v>
      </c>
      <c r="W178" s="122">
        <v>0.05</v>
      </c>
      <c r="X178" s="122">
        <v>0.6</v>
      </c>
      <c r="Y178" s="122">
        <v>3</v>
      </c>
      <c r="Z178" s="122">
        <v>0</v>
      </c>
      <c r="AA178" s="122">
        <v>100</v>
      </c>
      <c r="AB178" s="122">
        <v>0.01</v>
      </c>
      <c r="AC178" s="122">
        <v>6.0000000000000001E-3</v>
      </c>
      <c r="AD178" s="122">
        <v>2E-3</v>
      </c>
      <c r="AE178" s="122">
        <v>1.5E-3</v>
      </c>
      <c r="AF178" s="122">
        <v>6.9999999999999999E-4</v>
      </c>
      <c r="AG178" s="122">
        <v>4.0000000000000002E-4</v>
      </c>
      <c r="AH178" s="122">
        <v>2.9999999999999997E-4</v>
      </c>
      <c r="AI178" s="122">
        <v>6.0000000000000001E-3</v>
      </c>
      <c r="AJ178" s="122">
        <v>3.0000000000000001E-3</v>
      </c>
      <c r="AK178" s="122">
        <v>2E-3</v>
      </c>
      <c r="AL178" s="122">
        <v>3.39</v>
      </c>
      <c r="AM178" s="122">
        <v>3.39</v>
      </c>
      <c r="AN178" s="122">
        <v>3.39</v>
      </c>
      <c r="AO178" s="12">
        <v>8</v>
      </c>
      <c r="AP178" s="121">
        <v>5.0999999999999996</v>
      </c>
      <c r="AQ178" s="121">
        <v>15.5</v>
      </c>
      <c r="AR178" s="121">
        <v>8</v>
      </c>
      <c r="AS178" s="121">
        <v>1</v>
      </c>
      <c r="AT178" s="121">
        <v>4.75</v>
      </c>
      <c r="AU178" s="121">
        <v>0.4</v>
      </c>
      <c r="AV178" s="121">
        <v>0.2</v>
      </c>
      <c r="AW178" s="121">
        <v>100</v>
      </c>
      <c r="AX178" s="121">
        <v>1000.95</v>
      </c>
      <c r="AY178" s="121">
        <v>100.05</v>
      </c>
      <c r="AZ178" s="121">
        <v>0.05</v>
      </c>
      <c r="BA178" s="121">
        <v>1</v>
      </c>
      <c r="BB178" s="121">
        <v>0.01</v>
      </c>
      <c r="BC178" s="121">
        <v>0.1</v>
      </c>
      <c r="BD178" s="121">
        <v>0</v>
      </c>
      <c r="BE178" s="121">
        <v>0</v>
      </c>
      <c r="BF178" s="121">
        <v>0</v>
      </c>
      <c r="BG178" s="12" t="s">
        <v>2425</v>
      </c>
    </row>
    <row r="179" spans="1:59" s="12" customFormat="1" x14ac:dyDescent="0.25">
      <c r="A179" s="12">
        <v>176</v>
      </c>
      <c r="B179" s="12" t="s">
        <v>2426</v>
      </c>
      <c r="C179" s="121">
        <v>14</v>
      </c>
      <c r="D179" s="121">
        <v>0.01</v>
      </c>
      <c r="E179" s="121">
        <v>25</v>
      </c>
      <c r="F179" s="121">
        <v>12</v>
      </c>
      <c r="G179" s="121">
        <v>4</v>
      </c>
      <c r="H179" s="121">
        <v>0.5</v>
      </c>
      <c r="I179" s="121">
        <v>10.199999999999999</v>
      </c>
      <c r="J179" s="121">
        <v>20.95</v>
      </c>
      <c r="K179" s="121">
        <v>0.2</v>
      </c>
      <c r="L179" s="121">
        <v>10</v>
      </c>
      <c r="M179" s="146">
        <v>2</v>
      </c>
      <c r="N179" s="121">
        <v>7.4000000000000003E-3</v>
      </c>
      <c r="O179" s="121">
        <v>0.85</v>
      </c>
      <c r="P179" s="121">
        <v>6</v>
      </c>
      <c r="Q179" s="121">
        <v>0.3</v>
      </c>
      <c r="R179" s="121">
        <v>1.4</v>
      </c>
      <c r="S179" s="122">
        <v>660.23</v>
      </c>
      <c r="T179" s="122">
        <v>1.6E-2</v>
      </c>
      <c r="U179" s="122">
        <v>2.2000000000000001E-3</v>
      </c>
      <c r="V179" s="122">
        <v>0</v>
      </c>
      <c r="W179" s="122">
        <v>0.01</v>
      </c>
      <c r="X179" s="122">
        <v>0.95</v>
      </c>
      <c r="Y179" s="122">
        <v>0.31</v>
      </c>
      <c r="Z179" s="122">
        <v>20</v>
      </c>
      <c r="AA179" s="122">
        <v>20</v>
      </c>
      <c r="AB179" s="122">
        <v>0.1</v>
      </c>
      <c r="AC179" s="122">
        <v>0.02</v>
      </c>
      <c r="AD179" s="122">
        <v>0.01</v>
      </c>
      <c r="AE179" s="122">
        <v>6.0000000000000001E-3</v>
      </c>
      <c r="AF179" s="122">
        <v>1.4E-3</v>
      </c>
      <c r="AG179" s="122">
        <v>1E-3</v>
      </c>
      <c r="AH179" s="122">
        <v>6.9999999999999999E-4</v>
      </c>
      <c r="AI179" s="122">
        <v>0</v>
      </c>
      <c r="AJ179" s="122">
        <v>0</v>
      </c>
      <c r="AK179" s="122">
        <v>0</v>
      </c>
      <c r="AL179" s="122">
        <v>3.39</v>
      </c>
      <c r="AM179" s="122">
        <v>3.39</v>
      </c>
      <c r="AN179" s="122">
        <v>3.39</v>
      </c>
      <c r="AO179" s="12">
        <v>6</v>
      </c>
      <c r="AP179" s="121">
        <v>1.01</v>
      </c>
      <c r="AQ179" s="121">
        <v>3.95</v>
      </c>
      <c r="AR179" s="121">
        <v>6</v>
      </c>
      <c r="AS179" s="121">
        <v>1</v>
      </c>
      <c r="AT179" s="121">
        <v>6.5</v>
      </c>
      <c r="AU179" s="121">
        <v>0.4</v>
      </c>
      <c r="AV179" s="121">
        <v>0.2</v>
      </c>
      <c r="AW179" s="121">
        <v>100</v>
      </c>
      <c r="AX179" s="121">
        <v>1.1200000000000001</v>
      </c>
      <c r="AY179" s="121">
        <v>6.7</v>
      </c>
      <c r="AZ179" s="121">
        <v>0</v>
      </c>
      <c r="BA179" s="121">
        <v>0</v>
      </c>
      <c r="BB179" s="121">
        <v>0.01</v>
      </c>
      <c r="BC179" s="121">
        <v>0.1</v>
      </c>
      <c r="BD179" s="121">
        <v>0</v>
      </c>
      <c r="BE179" s="121">
        <v>0</v>
      </c>
      <c r="BF179" s="121">
        <v>0</v>
      </c>
      <c r="BG179" s="12" t="s">
        <v>2427</v>
      </c>
    </row>
    <row r="180" spans="1:59" s="12" customFormat="1" x14ac:dyDescent="0.25">
      <c r="A180" s="12">
        <v>177</v>
      </c>
      <c r="B180" s="12" t="s">
        <v>2428</v>
      </c>
      <c r="C180" s="121">
        <v>15</v>
      </c>
      <c r="D180" s="121">
        <v>0.76</v>
      </c>
      <c r="E180" s="121">
        <v>30</v>
      </c>
      <c r="F180" s="121">
        <v>10</v>
      </c>
      <c r="G180" s="121">
        <v>5</v>
      </c>
      <c r="H180" s="121">
        <v>0.99</v>
      </c>
      <c r="I180" s="121">
        <v>5.05</v>
      </c>
      <c r="J180" s="121">
        <v>40.950000000000003</v>
      </c>
      <c r="K180" s="121">
        <v>1</v>
      </c>
      <c r="L180" s="121">
        <v>1</v>
      </c>
      <c r="M180" s="146">
        <v>5</v>
      </c>
      <c r="N180" s="121">
        <v>2E-3</v>
      </c>
      <c r="O180" s="121">
        <v>0.85</v>
      </c>
      <c r="P180" s="121">
        <v>80</v>
      </c>
      <c r="Q180" s="121">
        <v>6</v>
      </c>
      <c r="R180" s="121">
        <v>3.5</v>
      </c>
      <c r="S180" s="122">
        <v>660.16</v>
      </c>
      <c r="T180" s="122">
        <v>1.5E-3</v>
      </c>
      <c r="U180" s="122">
        <v>2.9999999999999997E-4</v>
      </c>
      <c r="V180" s="122">
        <v>0</v>
      </c>
      <c r="W180" s="122">
        <v>0.01</v>
      </c>
      <c r="X180" s="122">
        <v>0.6</v>
      </c>
      <c r="Y180" s="122">
        <v>1</v>
      </c>
      <c r="Z180" s="122">
        <v>1000</v>
      </c>
      <c r="AA180" s="122">
        <v>5</v>
      </c>
      <c r="AB180" s="122">
        <v>0.01</v>
      </c>
      <c r="AC180" s="122">
        <v>6.0000000000000001E-3</v>
      </c>
      <c r="AD180" s="122">
        <v>2E-3</v>
      </c>
      <c r="AE180" s="122">
        <v>1.5E-3</v>
      </c>
      <c r="AF180" s="122">
        <v>6.9999999999999999E-4</v>
      </c>
      <c r="AG180" s="122">
        <v>4.0000000000000002E-4</v>
      </c>
      <c r="AH180" s="122">
        <v>2.9999999999999997E-4</v>
      </c>
      <c r="AI180" s="122">
        <v>0</v>
      </c>
      <c r="AJ180" s="122">
        <v>0</v>
      </c>
      <c r="AK180" s="122">
        <v>0</v>
      </c>
      <c r="AL180" s="122">
        <v>3.39</v>
      </c>
      <c r="AM180" s="122">
        <v>3.39</v>
      </c>
      <c r="AN180" s="122">
        <v>3.39</v>
      </c>
      <c r="AO180" s="12">
        <v>8</v>
      </c>
      <c r="AP180" s="121">
        <v>5.15</v>
      </c>
      <c r="AQ180" s="121">
        <v>15.95</v>
      </c>
      <c r="AR180" s="121">
        <v>8</v>
      </c>
      <c r="AS180" s="121">
        <v>1</v>
      </c>
      <c r="AT180" s="121">
        <v>4.75</v>
      </c>
      <c r="AU180" s="121">
        <v>0.4</v>
      </c>
      <c r="AV180" s="121">
        <v>0.2</v>
      </c>
      <c r="AW180" s="121">
        <v>100</v>
      </c>
      <c r="AX180" s="121">
        <v>1000.95</v>
      </c>
      <c r="AY180" s="121">
        <v>100.05</v>
      </c>
      <c r="AZ180" s="121">
        <v>0.05</v>
      </c>
      <c r="BA180" s="121">
        <v>1</v>
      </c>
      <c r="BB180" s="121">
        <v>0.01</v>
      </c>
      <c r="BC180" s="121">
        <v>0.1</v>
      </c>
      <c r="BD180" s="121">
        <v>0</v>
      </c>
      <c r="BE180" s="121">
        <v>0</v>
      </c>
      <c r="BF180" s="121">
        <v>0</v>
      </c>
      <c r="BG180" s="12" t="s">
        <v>2429</v>
      </c>
    </row>
    <row r="181" spans="1:59" s="12" customFormat="1" x14ac:dyDescent="0.25">
      <c r="A181" s="12">
        <v>178</v>
      </c>
      <c r="B181" s="12" t="s">
        <v>2430</v>
      </c>
      <c r="C181" s="121">
        <v>47</v>
      </c>
      <c r="D181" s="121">
        <v>0.9</v>
      </c>
      <c r="E181" s="121">
        <v>25</v>
      </c>
      <c r="F181" s="121">
        <v>12</v>
      </c>
      <c r="G181" s="121">
        <v>6</v>
      </c>
      <c r="H181" s="121">
        <v>0.8</v>
      </c>
      <c r="I181" s="121">
        <v>10.199999999999999</v>
      </c>
      <c r="J181" s="121">
        <v>20.95</v>
      </c>
      <c r="K181" s="121">
        <v>1</v>
      </c>
      <c r="L181" s="121">
        <v>1</v>
      </c>
      <c r="M181" s="146">
        <v>4</v>
      </c>
      <c r="N181" s="121">
        <v>5.4999999999999997E-3</v>
      </c>
      <c r="O181" s="121">
        <v>0.85</v>
      </c>
      <c r="P181" s="121">
        <v>5</v>
      </c>
      <c r="Q181" s="121">
        <v>2.5</v>
      </c>
      <c r="R181" s="121">
        <v>2.2000000000000002</v>
      </c>
      <c r="S181" s="122">
        <v>660.54</v>
      </c>
      <c r="T181" s="122">
        <v>1.6E-2</v>
      </c>
      <c r="U181" s="122">
        <v>2.2000000000000001E-3</v>
      </c>
      <c r="V181" s="122">
        <v>0</v>
      </c>
      <c r="W181" s="122">
        <v>0.9</v>
      </c>
      <c r="X181" s="122">
        <v>0.6</v>
      </c>
      <c r="Y181" s="122">
        <v>1</v>
      </c>
      <c r="Z181" s="122">
        <v>120</v>
      </c>
      <c r="AA181" s="122">
        <v>5</v>
      </c>
      <c r="AB181" s="122">
        <v>0.1</v>
      </c>
      <c r="AC181" s="122">
        <v>3.5000000000000003E-2</v>
      </c>
      <c r="AD181" s="122">
        <v>1.4999999999999999E-2</v>
      </c>
      <c r="AE181" s="122">
        <v>3.8E-3</v>
      </c>
      <c r="AF181" s="122">
        <v>1.4E-3</v>
      </c>
      <c r="AG181" s="122">
        <v>1E-3</v>
      </c>
      <c r="AH181" s="122">
        <v>6.9999999999999999E-4</v>
      </c>
      <c r="AI181" s="122">
        <v>0</v>
      </c>
      <c r="AJ181" s="122">
        <v>0</v>
      </c>
      <c r="AK181" s="122">
        <v>0</v>
      </c>
      <c r="AL181" s="122">
        <v>3.39</v>
      </c>
      <c r="AM181" s="122">
        <v>3.39</v>
      </c>
      <c r="AN181" s="122">
        <v>3.39</v>
      </c>
      <c r="AO181" s="12">
        <v>6</v>
      </c>
      <c r="AP181" s="121">
        <v>5.01</v>
      </c>
      <c r="AQ181" s="121">
        <v>15.95</v>
      </c>
      <c r="AR181" s="121">
        <v>8.5</v>
      </c>
      <c r="AS181" s="121">
        <v>0.5</v>
      </c>
      <c r="AT181" s="121">
        <v>4.75</v>
      </c>
      <c r="AU181" s="121">
        <v>0.4</v>
      </c>
      <c r="AV181" s="121">
        <v>0.2</v>
      </c>
      <c r="AW181" s="121">
        <v>100</v>
      </c>
      <c r="AX181" s="121">
        <v>22.5</v>
      </c>
      <c r="AY181" s="121">
        <v>40.71</v>
      </c>
      <c r="AZ181" s="121">
        <v>0.09</v>
      </c>
      <c r="BA181" s="121">
        <v>2</v>
      </c>
      <c r="BB181" s="121">
        <v>0.01</v>
      </c>
      <c r="BC181" s="121">
        <v>0.1</v>
      </c>
      <c r="BD181" s="121">
        <v>0</v>
      </c>
      <c r="BE181" s="121">
        <v>0</v>
      </c>
      <c r="BF181" s="121">
        <v>0</v>
      </c>
      <c r="BG181" s="12" t="s">
        <v>2431</v>
      </c>
    </row>
    <row r="182" spans="1:59" s="12" customFormat="1" x14ac:dyDescent="0.25">
      <c r="A182" s="12">
        <v>179</v>
      </c>
      <c r="B182" s="12" t="s">
        <v>2432</v>
      </c>
      <c r="C182" s="121">
        <v>30</v>
      </c>
      <c r="D182" s="121">
        <v>0.76</v>
      </c>
      <c r="E182" s="121">
        <v>30</v>
      </c>
      <c r="F182" s="121">
        <v>10</v>
      </c>
      <c r="G182" s="121">
        <v>5</v>
      </c>
      <c r="H182" s="121">
        <v>0.99</v>
      </c>
      <c r="I182" s="121">
        <v>5.05</v>
      </c>
      <c r="J182" s="121">
        <v>40.950000000000003</v>
      </c>
      <c r="K182" s="121">
        <v>1</v>
      </c>
      <c r="L182" s="121">
        <v>1</v>
      </c>
      <c r="M182" s="146">
        <v>5</v>
      </c>
      <c r="N182" s="121">
        <v>3.5999999999999999E-3</v>
      </c>
      <c r="O182" s="121">
        <v>0.85</v>
      </c>
      <c r="P182" s="121">
        <v>80</v>
      </c>
      <c r="Q182" s="121">
        <v>7.5</v>
      </c>
      <c r="R182" s="121">
        <v>3.5</v>
      </c>
      <c r="S182" s="122">
        <v>660.31</v>
      </c>
      <c r="T182" s="122">
        <v>1.5E-3</v>
      </c>
      <c r="U182" s="122">
        <v>2.9999999999999997E-4</v>
      </c>
      <c r="V182" s="122">
        <v>0</v>
      </c>
      <c r="W182" s="122">
        <v>0.01</v>
      </c>
      <c r="X182" s="122">
        <v>0.6</v>
      </c>
      <c r="Y182" s="122">
        <v>1</v>
      </c>
      <c r="Z182" s="122">
        <v>1000</v>
      </c>
      <c r="AA182" s="122">
        <v>5</v>
      </c>
      <c r="AB182" s="122">
        <v>0.01</v>
      </c>
      <c r="AC182" s="122">
        <v>6.0000000000000001E-3</v>
      </c>
      <c r="AD182" s="122">
        <v>2E-3</v>
      </c>
      <c r="AE182" s="122">
        <v>1.5E-3</v>
      </c>
      <c r="AF182" s="122">
        <v>6.9999999999999999E-4</v>
      </c>
      <c r="AG182" s="122">
        <v>4.0000000000000002E-4</v>
      </c>
      <c r="AH182" s="122">
        <v>2.9999999999999997E-4</v>
      </c>
      <c r="AI182" s="122">
        <v>0</v>
      </c>
      <c r="AJ182" s="122">
        <v>0</v>
      </c>
      <c r="AK182" s="122">
        <v>0</v>
      </c>
      <c r="AL182" s="122">
        <v>3.39</v>
      </c>
      <c r="AM182" s="122">
        <v>3.39</v>
      </c>
      <c r="AN182" s="122">
        <v>3.39</v>
      </c>
      <c r="AO182" s="12">
        <v>8</v>
      </c>
      <c r="AP182" s="121">
        <v>5.15</v>
      </c>
      <c r="AQ182" s="121">
        <v>15.95</v>
      </c>
      <c r="AR182" s="121">
        <v>8</v>
      </c>
      <c r="AS182" s="121">
        <v>1</v>
      </c>
      <c r="AT182" s="121">
        <v>4.75</v>
      </c>
      <c r="AU182" s="121">
        <v>0.4</v>
      </c>
      <c r="AV182" s="121">
        <v>0.2</v>
      </c>
      <c r="AW182" s="121">
        <v>100</v>
      </c>
      <c r="AX182" s="121">
        <v>1000.95</v>
      </c>
      <c r="AY182" s="121">
        <v>100.05</v>
      </c>
      <c r="AZ182" s="121">
        <v>0.05</v>
      </c>
      <c r="BA182" s="121">
        <v>1</v>
      </c>
      <c r="BB182" s="121">
        <v>0.01</v>
      </c>
      <c r="BC182" s="121">
        <v>0.1</v>
      </c>
      <c r="BD182" s="121">
        <v>0</v>
      </c>
      <c r="BE182" s="121">
        <v>0</v>
      </c>
      <c r="BF182" s="121">
        <v>0</v>
      </c>
      <c r="BG182" s="12" t="s">
        <v>2433</v>
      </c>
    </row>
    <row r="183" spans="1:59" s="12" customFormat="1" x14ac:dyDescent="0.25">
      <c r="C183" s="121"/>
      <c r="D183" s="121"/>
      <c r="E183" s="121"/>
      <c r="F183" s="121"/>
      <c r="G183" s="121"/>
      <c r="H183" s="121"/>
      <c r="I183" s="121"/>
      <c r="J183" s="121"/>
      <c r="K183" s="121"/>
      <c r="L183" s="121"/>
      <c r="M183" s="146"/>
      <c r="N183" s="121"/>
      <c r="O183" s="121"/>
      <c r="P183" s="121"/>
      <c r="Q183" s="121"/>
      <c r="R183" s="121"/>
      <c r="S183" s="122"/>
      <c r="T183" s="122"/>
      <c r="U183" s="122"/>
      <c r="V183" s="122"/>
      <c r="W183" s="122"/>
      <c r="X183" s="122"/>
      <c r="Y183" s="122"/>
      <c r="Z183" s="122"/>
      <c r="AA183" s="122"/>
      <c r="AB183" s="122"/>
      <c r="AC183" s="122"/>
      <c r="AD183" s="122"/>
      <c r="AE183" s="122"/>
      <c r="AF183" s="122"/>
      <c r="AG183" s="122"/>
      <c r="AH183" s="122"/>
      <c r="AI183" s="122"/>
      <c r="AJ183" s="122"/>
      <c r="AK183" s="122"/>
      <c r="AL183" s="122"/>
      <c r="AM183" s="122"/>
      <c r="AN183" s="122"/>
      <c r="AP183" s="121"/>
      <c r="AQ183" s="121"/>
      <c r="AR183" s="121"/>
      <c r="AS183" s="121"/>
      <c r="AT183" s="121"/>
      <c r="AU183" s="121"/>
      <c r="AV183" s="121"/>
      <c r="AW183" s="121"/>
      <c r="AX183" s="121"/>
      <c r="AY183" s="121"/>
      <c r="AZ183" s="121"/>
      <c r="BA183" s="121"/>
      <c r="BB183" s="121"/>
      <c r="BC183" s="121"/>
      <c r="BD183" s="121"/>
      <c r="BE183" s="121"/>
      <c r="BF183" s="121"/>
    </row>
    <row r="184" spans="1:59" s="12" customFormat="1" x14ac:dyDescent="0.25">
      <c r="C184" s="121"/>
      <c r="D184" s="121"/>
      <c r="E184" s="121"/>
      <c r="F184" s="121"/>
      <c r="G184" s="121"/>
      <c r="H184" s="121"/>
      <c r="I184" s="121"/>
      <c r="J184" s="121"/>
      <c r="K184" s="121"/>
      <c r="L184" s="121"/>
      <c r="M184" s="146"/>
      <c r="N184" s="121"/>
      <c r="O184" s="121"/>
      <c r="P184" s="121"/>
      <c r="Q184" s="121"/>
      <c r="R184" s="121"/>
      <c r="S184" s="122"/>
      <c r="T184" s="122"/>
      <c r="U184" s="122"/>
      <c r="V184" s="122"/>
      <c r="W184" s="122"/>
      <c r="X184" s="122"/>
      <c r="Y184" s="122"/>
      <c r="Z184" s="122"/>
      <c r="AA184" s="122"/>
      <c r="AB184" s="122"/>
      <c r="AC184" s="122"/>
      <c r="AD184" s="122"/>
      <c r="AE184" s="122"/>
      <c r="AF184" s="122"/>
      <c r="AG184" s="122"/>
      <c r="AH184" s="122"/>
      <c r="AI184" s="122"/>
      <c r="AJ184" s="122"/>
      <c r="AK184" s="122"/>
      <c r="AL184" s="122"/>
      <c r="AM184" s="122"/>
      <c r="AN184" s="122"/>
      <c r="AP184" s="121"/>
      <c r="AQ184" s="121"/>
      <c r="AR184" s="121"/>
      <c r="AS184" s="121"/>
      <c r="AT184" s="121"/>
      <c r="AU184" s="121"/>
      <c r="AV184" s="121"/>
      <c r="AW184" s="121"/>
      <c r="AX184" s="121"/>
      <c r="AY184" s="121"/>
      <c r="AZ184" s="121"/>
      <c r="BA184" s="121"/>
      <c r="BB184" s="121"/>
      <c r="BC184" s="121"/>
      <c r="BD184" s="121"/>
      <c r="BE184" s="121"/>
      <c r="BF184" s="121"/>
    </row>
    <row r="185" spans="1:59" s="12" customFormat="1" x14ac:dyDescent="0.25">
      <c r="C185" s="121"/>
      <c r="D185" s="121"/>
      <c r="E185" s="121"/>
      <c r="F185" s="121"/>
      <c r="G185" s="121"/>
      <c r="H185" s="121"/>
      <c r="I185" s="121"/>
      <c r="J185" s="121"/>
      <c r="K185" s="121"/>
      <c r="L185" s="121"/>
      <c r="M185" s="146"/>
      <c r="N185" s="121"/>
      <c r="O185" s="121"/>
      <c r="P185" s="121"/>
      <c r="Q185" s="121"/>
      <c r="R185" s="121"/>
      <c r="S185" s="122"/>
      <c r="T185" s="122"/>
      <c r="U185" s="122"/>
      <c r="V185" s="122"/>
      <c r="W185" s="122"/>
      <c r="X185" s="122"/>
      <c r="Y185" s="122"/>
      <c r="Z185" s="122"/>
      <c r="AA185" s="122"/>
      <c r="AB185" s="122"/>
      <c r="AC185" s="122"/>
      <c r="AD185" s="122"/>
      <c r="AE185" s="122"/>
      <c r="AF185" s="122"/>
      <c r="AG185" s="122"/>
      <c r="AH185" s="122"/>
      <c r="AI185" s="122"/>
      <c r="AJ185" s="122"/>
      <c r="AK185" s="122"/>
      <c r="AL185" s="122"/>
      <c r="AM185" s="122"/>
      <c r="AN185" s="122"/>
      <c r="AP185" s="121"/>
      <c r="AQ185" s="121"/>
      <c r="AR185" s="121"/>
      <c r="AS185" s="121"/>
      <c r="AT185" s="121"/>
      <c r="AU185" s="121"/>
      <c r="AV185" s="121"/>
      <c r="AW185" s="121"/>
      <c r="AX185" s="121"/>
      <c r="AY185" s="121"/>
      <c r="AZ185" s="121"/>
      <c r="BA185" s="121"/>
      <c r="BB185" s="121"/>
      <c r="BC185" s="121"/>
      <c r="BD185" s="121"/>
      <c r="BE185" s="121"/>
      <c r="BF185" s="121"/>
    </row>
    <row r="186" spans="1:59" s="12" customFormat="1" x14ac:dyDescent="0.25">
      <c r="C186" s="121"/>
      <c r="D186" s="121"/>
      <c r="E186" s="121"/>
      <c r="F186" s="121"/>
      <c r="G186" s="121"/>
      <c r="H186" s="121"/>
      <c r="I186" s="121"/>
      <c r="J186" s="121"/>
      <c r="K186" s="121"/>
      <c r="L186" s="121"/>
      <c r="M186" s="146"/>
      <c r="N186" s="121"/>
      <c r="O186" s="121"/>
      <c r="P186" s="121"/>
      <c r="Q186" s="121"/>
      <c r="R186" s="121"/>
      <c r="S186" s="122"/>
      <c r="T186" s="122"/>
      <c r="U186" s="122"/>
      <c r="V186" s="122"/>
      <c r="W186" s="122"/>
      <c r="X186" s="122"/>
      <c r="Y186" s="122"/>
      <c r="Z186" s="122"/>
      <c r="AA186" s="122"/>
      <c r="AB186" s="122"/>
      <c r="AC186" s="122"/>
      <c r="AD186" s="122"/>
      <c r="AE186" s="122"/>
      <c r="AF186" s="122"/>
      <c r="AG186" s="122"/>
      <c r="AH186" s="122"/>
      <c r="AI186" s="122"/>
      <c r="AJ186" s="122"/>
      <c r="AK186" s="122"/>
      <c r="AL186" s="122"/>
      <c r="AM186" s="122"/>
      <c r="AN186" s="122"/>
      <c r="AP186" s="121"/>
      <c r="AQ186" s="121"/>
      <c r="AR186" s="121"/>
      <c r="AS186" s="121"/>
      <c r="AT186" s="121"/>
      <c r="AU186" s="121"/>
      <c r="AV186" s="121"/>
      <c r="AW186" s="121"/>
      <c r="AX186" s="121"/>
      <c r="AY186" s="121"/>
      <c r="AZ186" s="121"/>
      <c r="BA186" s="121"/>
      <c r="BB186" s="121"/>
      <c r="BC186" s="121"/>
      <c r="BD186" s="121"/>
      <c r="BE186" s="121"/>
      <c r="BF186" s="121"/>
    </row>
    <row r="187" spans="1:59" s="12" customFormat="1" x14ac:dyDescent="0.25">
      <c r="C187" s="121"/>
      <c r="D187" s="121"/>
      <c r="E187" s="121"/>
      <c r="F187" s="121"/>
      <c r="G187" s="121"/>
      <c r="H187" s="121"/>
      <c r="I187" s="121"/>
      <c r="J187" s="121"/>
      <c r="K187" s="121"/>
      <c r="L187" s="121"/>
      <c r="M187" s="146"/>
      <c r="N187" s="121"/>
      <c r="O187" s="121"/>
      <c r="P187" s="121"/>
      <c r="Q187" s="121"/>
      <c r="R187" s="121"/>
      <c r="S187" s="122"/>
      <c r="T187" s="122"/>
      <c r="U187" s="122"/>
      <c r="V187" s="122"/>
      <c r="W187" s="122"/>
      <c r="X187" s="122"/>
      <c r="Y187" s="122"/>
      <c r="Z187" s="122"/>
      <c r="AA187" s="122"/>
      <c r="AB187" s="122"/>
      <c r="AC187" s="122"/>
      <c r="AD187" s="122"/>
      <c r="AE187" s="122"/>
      <c r="AF187" s="122"/>
      <c r="AG187" s="122"/>
      <c r="AH187" s="122"/>
      <c r="AI187" s="122"/>
      <c r="AJ187" s="122"/>
      <c r="AK187" s="122"/>
      <c r="AL187" s="122"/>
      <c r="AM187" s="122"/>
      <c r="AN187" s="122"/>
      <c r="AP187" s="121"/>
      <c r="AQ187" s="121"/>
      <c r="AR187" s="121"/>
      <c r="AS187" s="121"/>
      <c r="AT187" s="121"/>
      <c r="AU187" s="121"/>
      <c r="AV187" s="121"/>
      <c r="AW187" s="121"/>
      <c r="AX187" s="121"/>
      <c r="AY187" s="121"/>
      <c r="AZ187" s="121"/>
      <c r="BA187" s="121"/>
      <c r="BB187" s="121"/>
      <c r="BC187" s="121"/>
      <c r="BD187" s="121"/>
      <c r="BE187" s="121"/>
      <c r="BF187" s="121"/>
    </row>
    <row r="188" spans="1:59" s="12" customFormat="1" x14ac:dyDescent="0.25">
      <c r="C188" s="121"/>
      <c r="D188" s="121"/>
      <c r="E188" s="121"/>
      <c r="F188" s="121"/>
      <c r="G188" s="121"/>
      <c r="H188" s="121"/>
      <c r="I188" s="121"/>
      <c r="J188" s="121"/>
      <c r="K188" s="121"/>
      <c r="L188" s="121"/>
      <c r="M188" s="146"/>
      <c r="N188" s="121"/>
      <c r="O188" s="121"/>
      <c r="P188" s="121"/>
      <c r="Q188" s="121"/>
      <c r="R188" s="121"/>
      <c r="S188" s="122"/>
      <c r="T188" s="122"/>
      <c r="U188" s="122"/>
      <c r="V188" s="122"/>
      <c r="W188" s="122"/>
      <c r="X188" s="122"/>
      <c r="Y188" s="122"/>
      <c r="Z188" s="122"/>
      <c r="AA188" s="122"/>
      <c r="AB188" s="122"/>
      <c r="AC188" s="122"/>
      <c r="AD188" s="122"/>
      <c r="AE188" s="122"/>
      <c r="AF188" s="122"/>
      <c r="AG188" s="122"/>
      <c r="AH188" s="122"/>
      <c r="AI188" s="122"/>
      <c r="AJ188" s="122"/>
      <c r="AK188" s="122"/>
      <c r="AL188" s="122"/>
      <c r="AM188" s="122"/>
      <c r="AN188" s="122"/>
      <c r="AP188" s="121"/>
      <c r="AQ188" s="121"/>
      <c r="AR188" s="121"/>
      <c r="AS188" s="121"/>
      <c r="AT188" s="121"/>
      <c r="AU188" s="121"/>
      <c r="AV188" s="121"/>
      <c r="AW188" s="121"/>
      <c r="AX188" s="121"/>
      <c r="AY188" s="121"/>
      <c r="AZ188" s="121"/>
      <c r="BA188" s="121"/>
      <c r="BB188" s="121"/>
      <c r="BC188" s="121"/>
      <c r="BD188" s="121"/>
      <c r="BE188" s="121"/>
      <c r="BF188" s="121"/>
    </row>
    <row r="189" spans="1:59" s="12" customFormat="1" x14ac:dyDescent="0.25">
      <c r="C189" s="121"/>
      <c r="D189" s="121"/>
      <c r="E189" s="121"/>
      <c r="F189" s="121"/>
      <c r="G189" s="121"/>
      <c r="H189" s="121"/>
      <c r="I189" s="121"/>
      <c r="J189" s="121"/>
      <c r="K189" s="121"/>
      <c r="L189" s="121"/>
      <c r="M189" s="146"/>
      <c r="N189" s="121"/>
      <c r="O189" s="121"/>
      <c r="P189" s="121"/>
      <c r="Q189" s="121"/>
      <c r="R189" s="121"/>
      <c r="S189" s="122"/>
      <c r="T189" s="122"/>
      <c r="U189" s="122"/>
      <c r="V189" s="122"/>
      <c r="W189" s="122"/>
      <c r="X189" s="122"/>
      <c r="Y189" s="122"/>
      <c r="Z189" s="122"/>
      <c r="AA189" s="122"/>
      <c r="AB189" s="122"/>
      <c r="AC189" s="122"/>
      <c r="AD189" s="122"/>
      <c r="AE189" s="122"/>
      <c r="AF189" s="122"/>
      <c r="AG189" s="122"/>
      <c r="AH189" s="122"/>
      <c r="AI189" s="122"/>
      <c r="AJ189" s="122"/>
      <c r="AK189" s="122"/>
      <c r="AL189" s="122"/>
      <c r="AM189" s="122"/>
      <c r="AN189" s="122"/>
      <c r="AP189" s="121"/>
      <c r="AQ189" s="121"/>
      <c r="AR189" s="121"/>
      <c r="AS189" s="121"/>
      <c r="AT189" s="121"/>
      <c r="AU189" s="121"/>
      <c r="AV189" s="121"/>
      <c r="AW189" s="121"/>
      <c r="AX189" s="121"/>
      <c r="AY189" s="121"/>
      <c r="AZ189" s="121"/>
      <c r="BA189" s="121"/>
      <c r="BB189" s="121"/>
      <c r="BC189" s="121"/>
      <c r="BD189" s="121"/>
      <c r="BE189" s="121"/>
      <c r="BF189" s="121"/>
    </row>
    <row r="190" spans="1:59" s="12" customFormat="1" x14ac:dyDescent="0.25">
      <c r="C190" s="121"/>
      <c r="D190" s="121"/>
      <c r="E190" s="121"/>
      <c r="F190" s="121"/>
      <c r="G190" s="121"/>
      <c r="H190" s="121"/>
      <c r="I190" s="121"/>
      <c r="J190" s="121"/>
      <c r="K190" s="121"/>
      <c r="L190" s="121"/>
      <c r="M190" s="146"/>
      <c r="N190" s="121"/>
      <c r="O190" s="121"/>
      <c r="P190" s="121"/>
      <c r="Q190" s="121"/>
      <c r="R190" s="121"/>
      <c r="S190" s="122"/>
      <c r="T190" s="122"/>
      <c r="U190" s="122"/>
      <c r="V190" s="122"/>
      <c r="W190" s="122"/>
      <c r="X190" s="122"/>
      <c r="Y190" s="122"/>
      <c r="Z190" s="122"/>
      <c r="AA190" s="122"/>
      <c r="AB190" s="122"/>
      <c r="AC190" s="122"/>
      <c r="AD190" s="122"/>
      <c r="AE190" s="122"/>
      <c r="AF190" s="122"/>
      <c r="AG190" s="122"/>
      <c r="AH190" s="122"/>
      <c r="AI190" s="122"/>
      <c r="AJ190" s="122"/>
      <c r="AK190" s="122"/>
      <c r="AL190" s="122"/>
      <c r="AM190" s="122"/>
      <c r="AN190" s="122"/>
      <c r="AP190" s="121"/>
      <c r="AQ190" s="121"/>
      <c r="AR190" s="121"/>
      <c r="AS190" s="121"/>
      <c r="AT190" s="121"/>
      <c r="AU190" s="121"/>
      <c r="AV190" s="121"/>
      <c r="AW190" s="121"/>
      <c r="AX190" s="121"/>
      <c r="AY190" s="121"/>
      <c r="AZ190" s="121"/>
      <c r="BA190" s="121"/>
      <c r="BB190" s="121"/>
      <c r="BC190" s="121"/>
      <c r="BD190" s="121"/>
      <c r="BE190" s="121"/>
      <c r="BF190" s="121"/>
    </row>
    <row r="191" spans="1:59" s="12" customFormat="1" x14ac:dyDescent="0.25">
      <c r="C191" s="121"/>
      <c r="D191" s="121"/>
      <c r="E191" s="121"/>
      <c r="F191" s="121"/>
      <c r="G191" s="121"/>
      <c r="H191" s="121"/>
      <c r="I191" s="121"/>
      <c r="J191" s="121"/>
      <c r="K191" s="121"/>
      <c r="L191" s="121"/>
      <c r="M191" s="146"/>
      <c r="N191" s="121"/>
      <c r="O191" s="121"/>
      <c r="P191" s="121"/>
      <c r="Q191" s="121"/>
      <c r="R191" s="121"/>
      <c r="S191" s="122"/>
      <c r="T191" s="122"/>
      <c r="U191" s="122"/>
      <c r="V191" s="122"/>
      <c r="W191" s="122"/>
      <c r="X191" s="122"/>
      <c r="Y191" s="122"/>
      <c r="Z191" s="122"/>
      <c r="AA191" s="122"/>
      <c r="AB191" s="122"/>
      <c r="AC191" s="122"/>
      <c r="AD191" s="122"/>
      <c r="AE191" s="122"/>
      <c r="AF191" s="122"/>
      <c r="AG191" s="122"/>
      <c r="AH191" s="122"/>
      <c r="AI191" s="122"/>
      <c r="AJ191" s="122"/>
      <c r="AK191" s="122"/>
      <c r="AL191" s="122"/>
      <c r="AM191" s="122"/>
      <c r="AN191" s="122"/>
      <c r="AP191" s="121"/>
      <c r="AQ191" s="121"/>
      <c r="AR191" s="121"/>
      <c r="AS191" s="121"/>
      <c r="AT191" s="121"/>
      <c r="AU191" s="121"/>
      <c r="AV191" s="121"/>
      <c r="AW191" s="121"/>
      <c r="AX191" s="121"/>
      <c r="AY191" s="121"/>
      <c r="AZ191" s="121"/>
      <c r="BA191" s="121"/>
      <c r="BB191" s="121"/>
      <c r="BC191" s="121"/>
      <c r="BD191" s="121"/>
      <c r="BE191" s="121"/>
      <c r="BF191" s="121"/>
    </row>
    <row r="192" spans="1:59" s="12" customFormat="1" x14ac:dyDescent="0.25">
      <c r="C192" s="121"/>
      <c r="D192" s="121"/>
      <c r="E192" s="121"/>
      <c r="F192" s="121"/>
      <c r="G192" s="121"/>
      <c r="H192" s="121"/>
      <c r="I192" s="121"/>
      <c r="J192" s="121"/>
      <c r="K192" s="121"/>
      <c r="L192" s="121"/>
      <c r="M192" s="146"/>
      <c r="N192" s="121"/>
      <c r="O192" s="121"/>
      <c r="P192" s="121"/>
      <c r="Q192" s="121"/>
      <c r="R192" s="121"/>
      <c r="S192" s="122"/>
      <c r="T192" s="122"/>
      <c r="U192" s="122"/>
      <c r="V192" s="122"/>
      <c r="W192" s="122"/>
      <c r="X192" s="122"/>
      <c r="Y192" s="122"/>
      <c r="Z192" s="122"/>
      <c r="AA192" s="122"/>
      <c r="AB192" s="122"/>
      <c r="AC192" s="122"/>
      <c r="AD192" s="122"/>
      <c r="AE192" s="122"/>
      <c r="AF192" s="122"/>
      <c r="AG192" s="122"/>
      <c r="AH192" s="122"/>
      <c r="AI192" s="122"/>
      <c r="AJ192" s="122"/>
      <c r="AK192" s="122"/>
      <c r="AL192" s="122"/>
      <c r="AM192" s="122"/>
      <c r="AN192" s="122"/>
      <c r="AP192" s="121"/>
      <c r="AQ192" s="121"/>
      <c r="AR192" s="121"/>
      <c r="AS192" s="121"/>
      <c r="AT192" s="121"/>
      <c r="AU192" s="121"/>
      <c r="AV192" s="121"/>
      <c r="AW192" s="121"/>
      <c r="AX192" s="121"/>
      <c r="AY192" s="121"/>
      <c r="AZ192" s="121"/>
      <c r="BA192" s="121"/>
      <c r="BB192" s="121"/>
      <c r="BC192" s="121"/>
      <c r="BD192" s="121"/>
      <c r="BE192" s="121"/>
      <c r="BF192" s="121"/>
    </row>
    <row r="193" spans="3:58" s="12" customFormat="1" x14ac:dyDescent="0.25">
      <c r="C193" s="121"/>
      <c r="D193" s="121"/>
      <c r="E193" s="121"/>
      <c r="F193" s="121"/>
      <c r="G193" s="121"/>
      <c r="H193" s="121"/>
      <c r="I193" s="121"/>
      <c r="J193" s="121"/>
      <c r="K193" s="121"/>
      <c r="L193" s="121"/>
      <c r="M193" s="146"/>
      <c r="N193" s="121"/>
      <c r="O193" s="121"/>
      <c r="P193" s="121"/>
      <c r="Q193" s="121"/>
      <c r="R193" s="121"/>
      <c r="S193" s="122"/>
      <c r="T193" s="122"/>
      <c r="U193" s="122"/>
      <c r="V193" s="122"/>
      <c r="W193" s="122"/>
      <c r="X193" s="122"/>
      <c r="Y193" s="122"/>
      <c r="Z193" s="122"/>
      <c r="AA193" s="122"/>
      <c r="AB193" s="122"/>
      <c r="AC193" s="122"/>
      <c r="AD193" s="122"/>
      <c r="AE193" s="122"/>
      <c r="AF193" s="122"/>
      <c r="AG193" s="122"/>
      <c r="AH193" s="122"/>
      <c r="AI193" s="122"/>
      <c r="AJ193" s="122"/>
      <c r="AK193" s="122"/>
      <c r="AL193" s="122"/>
      <c r="AM193" s="122"/>
      <c r="AN193" s="122"/>
      <c r="AP193" s="121"/>
      <c r="AQ193" s="121"/>
      <c r="AR193" s="121"/>
      <c r="AS193" s="121"/>
      <c r="AT193" s="121"/>
      <c r="AU193" s="121"/>
      <c r="AV193" s="121"/>
      <c r="AW193" s="121"/>
      <c r="AX193" s="121"/>
      <c r="AY193" s="121"/>
      <c r="AZ193" s="121"/>
      <c r="BA193" s="121"/>
      <c r="BB193" s="121"/>
      <c r="BC193" s="121"/>
      <c r="BD193" s="121"/>
      <c r="BE193" s="121"/>
      <c r="BF193" s="121"/>
    </row>
    <row r="194" spans="3:58" s="12" customFormat="1" x14ac:dyDescent="0.25">
      <c r="C194" s="121"/>
      <c r="D194" s="121"/>
      <c r="E194" s="121"/>
      <c r="F194" s="121"/>
      <c r="G194" s="121"/>
      <c r="H194" s="121"/>
      <c r="I194" s="121"/>
      <c r="J194" s="121"/>
      <c r="K194" s="121"/>
      <c r="L194" s="121"/>
      <c r="M194" s="146"/>
      <c r="N194" s="121"/>
      <c r="O194" s="121"/>
      <c r="P194" s="121"/>
      <c r="Q194" s="121"/>
      <c r="R194" s="121"/>
      <c r="S194" s="122"/>
      <c r="T194" s="122"/>
      <c r="U194" s="122"/>
      <c r="V194" s="122"/>
      <c r="W194" s="122"/>
      <c r="X194" s="122"/>
      <c r="Y194" s="122"/>
      <c r="Z194" s="122"/>
      <c r="AA194" s="122"/>
      <c r="AB194" s="122"/>
      <c r="AC194" s="122"/>
      <c r="AD194" s="122"/>
      <c r="AE194" s="122"/>
      <c r="AF194" s="122"/>
      <c r="AG194" s="122"/>
      <c r="AH194" s="122"/>
      <c r="AI194" s="122"/>
      <c r="AJ194" s="122"/>
      <c r="AK194" s="122"/>
      <c r="AL194" s="122"/>
      <c r="AM194" s="122"/>
      <c r="AN194" s="122"/>
      <c r="AP194" s="121"/>
      <c r="AQ194" s="121"/>
      <c r="AR194" s="121"/>
      <c r="AS194" s="121"/>
      <c r="AT194" s="121"/>
      <c r="AU194" s="121"/>
      <c r="AV194" s="121"/>
      <c r="AW194" s="121"/>
      <c r="AX194" s="121"/>
      <c r="AY194" s="121"/>
      <c r="AZ194" s="121"/>
      <c r="BA194" s="121"/>
      <c r="BB194" s="121"/>
      <c r="BC194" s="121"/>
      <c r="BD194" s="121"/>
      <c r="BE194" s="121"/>
      <c r="BF194" s="121"/>
    </row>
    <row r="195" spans="3:58" s="12" customFormat="1" x14ac:dyDescent="0.25">
      <c r="C195" s="121"/>
      <c r="D195" s="121"/>
      <c r="E195" s="121"/>
      <c r="F195" s="121"/>
      <c r="G195" s="121"/>
      <c r="H195" s="121"/>
      <c r="I195" s="121"/>
      <c r="J195" s="121"/>
      <c r="K195" s="121"/>
      <c r="L195" s="121"/>
      <c r="M195" s="146"/>
      <c r="N195" s="121"/>
      <c r="O195" s="121"/>
      <c r="P195" s="121"/>
      <c r="Q195" s="121"/>
      <c r="R195" s="121"/>
      <c r="S195" s="122"/>
      <c r="T195" s="122"/>
      <c r="U195" s="122"/>
      <c r="V195" s="122"/>
      <c r="W195" s="122"/>
      <c r="X195" s="122"/>
      <c r="Y195" s="122"/>
      <c r="Z195" s="122"/>
      <c r="AA195" s="122"/>
      <c r="AB195" s="122"/>
      <c r="AC195" s="122"/>
      <c r="AD195" s="122"/>
      <c r="AE195" s="122"/>
      <c r="AF195" s="122"/>
      <c r="AG195" s="122"/>
      <c r="AH195" s="122"/>
      <c r="AI195" s="122"/>
      <c r="AJ195" s="122"/>
      <c r="AK195" s="122"/>
      <c r="AL195" s="122"/>
      <c r="AM195" s="122"/>
      <c r="AN195" s="122"/>
      <c r="AP195" s="121"/>
      <c r="AQ195" s="121"/>
      <c r="AR195" s="121"/>
      <c r="AS195" s="121"/>
      <c r="AT195" s="121"/>
      <c r="AU195" s="121"/>
      <c r="AV195" s="121"/>
      <c r="AW195" s="121"/>
      <c r="AX195" s="121"/>
      <c r="AY195" s="121"/>
      <c r="AZ195" s="121"/>
      <c r="BA195" s="121"/>
      <c r="BB195" s="121"/>
      <c r="BC195" s="121"/>
      <c r="BD195" s="121"/>
      <c r="BE195" s="121"/>
      <c r="BF195" s="121"/>
    </row>
    <row r="196" spans="3:58" s="12" customFormat="1" x14ac:dyDescent="0.25">
      <c r="C196" s="121"/>
      <c r="D196" s="121"/>
      <c r="E196" s="121"/>
      <c r="F196" s="121"/>
      <c r="G196" s="121"/>
      <c r="H196" s="121"/>
      <c r="I196" s="121"/>
      <c r="J196" s="121"/>
      <c r="K196" s="121"/>
      <c r="L196" s="121"/>
      <c r="M196" s="146"/>
      <c r="N196" s="121"/>
      <c r="O196" s="121"/>
      <c r="P196" s="121"/>
      <c r="Q196" s="121"/>
      <c r="R196" s="121"/>
      <c r="S196" s="122"/>
      <c r="T196" s="122"/>
      <c r="U196" s="122"/>
      <c r="V196" s="122"/>
      <c r="W196" s="122"/>
      <c r="X196" s="122"/>
      <c r="Y196" s="122"/>
      <c r="Z196" s="122"/>
      <c r="AA196" s="122"/>
      <c r="AB196" s="122"/>
      <c r="AC196" s="122"/>
      <c r="AD196" s="122"/>
      <c r="AE196" s="122"/>
      <c r="AF196" s="122"/>
      <c r="AG196" s="122"/>
      <c r="AH196" s="122"/>
      <c r="AI196" s="122"/>
      <c r="AJ196" s="122"/>
      <c r="AK196" s="122"/>
      <c r="AL196" s="122"/>
      <c r="AM196" s="122"/>
      <c r="AN196" s="122"/>
      <c r="AP196" s="121"/>
      <c r="AQ196" s="121"/>
      <c r="AR196" s="121"/>
      <c r="AS196" s="121"/>
      <c r="AT196" s="121"/>
      <c r="AU196" s="121"/>
      <c r="AV196" s="121"/>
      <c r="AW196" s="121"/>
      <c r="AX196" s="121"/>
      <c r="AY196" s="121"/>
      <c r="AZ196" s="121"/>
      <c r="BA196" s="121"/>
      <c r="BB196" s="121"/>
      <c r="BC196" s="121"/>
      <c r="BD196" s="121"/>
      <c r="BE196" s="121"/>
      <c r="BF196" s="121"/>
    </row>
    <row r="197" spans="3:58" s="12" customFormat="1" x14ac:dyDescent="0.25">
      <c r="C197" s="121"/>
      <c r="D197" s="121"/>
      <c r="E197" s="121"/>
      <c r="F197" s="121"/>
      <c r="G197" s="121"/>
      <c r="H197" s="121"/>
      <c r="I197" s="121"/>
      <c r="J197" s="121"/>
      <c r="K197" s="121"/>
      <c r="L197" s="121"/>
      <c r="M197" s="146"/>
      <c r="N197" s="121"/>
      <c r="O197" s="121"/>
      <c r="P197" s="121"/>
      <c r="Q197" s="121"/>
      <c r="R197" s="121"/>
      <c r="S197" s="122"/>
      <c r="T197" s="122"/>
      <c r="U197" s="122"/>
      <c r="V197" s="122"/>
      <c r="W197" s="122"/>
      <c r="X197" s="122"/>
      <c r="Y197" s="122"/>
      <c r="Z197" s="122"/>
      <c r="AA197" s="122"/>
      <c r="AB197" s="122"/>
      <c r="AC197" s="122"/>
      <c r="AD197" s="122"/>
      <c r="AE197" s="122"/>
      <c r="AF197" s="122"/>
      <c r="AG197" s="122"/>
      <c r="AH197" s="122"/>
      <c r="AI197" s="122"/>
      <c r="AJ197" s="122"/>
      <c r="AK197" s="122"/>
      <c r="AL197" s="122"/>
      <c r="AM197" s="122"/>
      <c r="AN197" s="122"/>
      <c r="AP197" s="121"/>
      <c r="AQ197" s="121"/>
      <c r="AR197" s="121"/>
      <c r="AS197" s="121"/>
      <c r="AT197" s="121"/>
      <c r="AU197" s="121"/>
      <c r="AV197" s="121"/>
      <c r="AW197" s="121"/>
      <c r="AX197" s="121"/>
      <c r="AY197" s="121"/>
      <c r="AZ197" s="121"/>
      <c r="BA197" s="121"/>
      <c r="BB197" s="121"/>
      <c r="BC197" s="121"/>
      <c r="BD197" s="121"/>
      <c r="BE197" s="121"/>
      <c r="BF197" s="121"/>
    </row>
    <row r="198" spans="3:58" s="12" customFormat="1" x14ac:dyDescent="0.25">
      <c r="C198" s="121"/>
      <c r="D198" s="121"/>
      <c r="E198" s="121"/>
      <c r="F198" s="121"/>
      <c r="G198" s="121"/>
      <c r="H198" s="121"/>
      <c r="I198" s="121"/>
      <c r="J198" s="121"/>
      <c r="K198" s="121"/>
      <c r="L198" s="121"/>
      <c r="M198" s="146"/>
      <c r="N198" s="121"/>
      <c r="O198" s="121"/>
      <c r="P198" s="121"/>
      <c r="Q198" s="121"/>
      <c r="R198" s="121"/>
      <c r="S198" s="122"/>
      <c r="T198" s="122"/>
      <c r="U198" s="122"/>
      <c r="V198" s="122"/>
      <c r="W198" s="122"/>
      <c r="X198" s="122"/>
      <c r="Y198" s="122"/>
      <c r="Z198" s="122"/>
      <c r="AA198" s="122"/>
      <c r="AB198" s="122"/>
      <c r="AC198" s="122"/>
      <c r="AD198" s="122"/>
      <c r="AE198" s="122"/>
      <c r="AF198" s="122"/>
      <c r="AG198" s="122"/>
      <c r="AH198" s="122"/>
      <c r="AI198" s="122"/>
      <c r="AJ198" s="122"/>
      <c r="AK198" s="122"/>
      <c r="AL198" s="122"/>
      <c r="AM198" s="122"/>
      <c r="AN198" s="122"/>
      <c r="AP198" s="121"/>
      <c r="AQ198" s="121"/>
      <c r="AR198" s="121"/>
      <c r="AS198" s="121"/>
      <c r="AT198" s="121"/>
      <c r="AU198" s="121"/>
      <c r="AV198" s="121"/>
      <c r="AW198" s="121"/>
      <c r="AX198" s="121"/>
      <c r="AY198" s="121"/>
      <c r="AZ198" s="121"/>
      <c r="BA198" s="121"/>
      <c r="BB198" s="121"/>
      <c r="BC198" s="121"/>
      <c r="BD198" s="121"/>
      <c r="BE198" s="121"/>
      <c r="BF198" s="121"/>
    </row>
    <row r="199" spans="3:58" s="12" customFormat="1" x14ac:dyDescent="0.25">
      <c r="C199" s="121"/>
      <c r="D199" s="121"/>
      <c r="E199" s="121"/>
      <c r="F199" s="121"/>
      <c r="G199" s="121"/>
      <c r="H199" s="121"/>
      <c r="I199" s="121"/>
      <c r="J199" s="121"/>
      <c r="K199" s="121"/>
      <c r="L199" s="121"/>
      <c r="M199" s="146"/>
      <c r="N199" s="121"/>
      <c r="O199" s="121"/>
      <c r="P199" s="121"/>
      <c r="Q199" s="121"/>
      <c r="R199" s="121"/>
      <c r="S199" s="122"/>
      <c r="T199" s="122"/>
      <c r="U199" s="122"/>
      <c r="V199" s="122"/>
      <c r="W199" s="122"/>
      <c r="X199" s="122"/>
      <c r="Y199" s="122"/>
      <c r="Z199" s="122"/>
      <c r="AA199" s="122"/>
      <c r="AB199" s="122"/>
      <c r="AC199" s="122"/>
      <c r="AD199" s="122"/>
      <c r="AE199" s="122"/>
      <c r="AF199" s="122"/>
      <c r="AG199" s="122"/>
      <c r="AH199" s="122"/>
      <c r="AI199" s="122"/>
      <c r="AJ199" s="122"/>
      <c r="AK199" s="122"/>
      <c r="AL199" s="122"/>
      <c r="AM199" s="122"/>
      <c r="AN199" s="122"/>
      <c r="AP199" s="121"/>
      <c r="AQ199" s="121"/>
      <c r="AR199" s="121"/>
      <c r="AS199" s="121"/>
      <c r="AT199" s="121"/>
      <c r="AU199" s="121"/>
      <c r="AV199" s="121"/>
      <c r="AW199" s="121"/>
      <c r="AX199" s="121"/>
      <c r="AY199" s="121"/>
      <c r="AZ199" s="121"/>
      <c r="BA199" s="121"/>
      <c r="BB199" s="121"/>
      <c r="BC199" s="121"/>
      <c r="BD199" s="121"/>
      <c r="BE199" s="121"/>
      <c r="BF199" s="121"/>
    </row>
    <row r="200" spans="3:58" s="12" customFormat="1" x14ac:dyDescent="0.25">
      <c r="C200" s="121"/>
      <c r="D200" s="121"/>
      <c r="E200" s="121"/>
      <c r="F200" s="121"/>
      <c r="G200" s="121"/>
      <c r="H200" s="121"/>
      <c r="I200" s="121"/>
      <c r="J200" s="121"/>
      <c r="K200" s="121"/>
      <c r="L200" s="121"/>
      <c r="M200" s="146"/>
      <c r="N200" s="121"/>
      <c r="O200" s="121"/>
      <c r="P200" s="121"/>
      <c r="Q200" s="121"/>
      <c r="R200" s="121"/>
      <c r="S200" s="122"/>
      <c r="T200" s="122"/>
      <c r="U200" s="122"/>
      <c r="V200" s="122"/>
      <c r="W200" s="122"/>
      <c r="X200" s="122"/>
      <c r="Y200" s="122"/>
      <c r="Z200" s="122"/>
      <c r="AA200" s="122"/>
      <c r="AB200" s="122"/>
      <c r="AC200" s="122"/>
      <c r="AD200" s="122"/>
      <c r="AE200" s="122"/>
      <c r="AF200" s="122"/>
      <c r="AG200" s="122"/>
      <c r="AH200" s="122"/>
      <c r="AI200" s="122"/>
      <c r="AJ200" s="122"/>
      <c r="AK200" s="122"/>
      <c r="AL200" s="122"/>
      <c r="AM200" s="122"/>
      <c r="AN200" s="122"/>
      <c r="AP200" s="121"/>
      <c r="AQ200" s="121"/>
      <c r="AR200" s="121"/>
      <c r="AS200" s="121"/>
      <c r="AT200" s="121"/>
      <c r="AU200" s="121"/>
      <c r="AV200" s="121"/>
      <c r="AW200" s="121"/>
      <c r="AX200" s="121"/>
      <c r="AY200" s="121"/>
      <c r="AZ200" s="121"/>
      <c r="BA200" s="121"/>
      <c r="BB200" s="121"/>
      <c r="BC200" s="121"/>
      <c r="BD200" s="121"/>
      <c r="BE200" s="121"/>
      <c r="BF200" s="121"/>
    </row>
    <row r="201" spans="3:58" s="12" customFormat="1" x14ac:dyDescent="0.25">
      <c r="C201" s="121"/>
      <c r="D201" s="121"/>
      <c r="E201" s="121"/>
      <c r="F201" s="121"/>
      <c r="G201" s="121"/>
      <c r="H201" s="121"/>
      <c r="I201" s="121"/>
      <c r="J201" s="121"/>
      <c r="K201" s="121"/>
      <c r="L201" s="121"/>
      <c r="M201" s="146"/>
      <c r="N201" s="121"/>
      <c r="O201" s="121"/>
      <c r="P201" s="121"/>
      <c r="Q201" s="121"/>
      <c r="R201" s="121"/>
      <c r="S201" s="122"/>
      <c r="T201" s="122"/>
      <c r="U201" s="122"/>
      <c r="V201" s="122"/>
      <c r="W201" s="122"/>
      <c r="X201" s="122"/>
      <c r="Y201" s="122"/>
      <c r="Z201" s="122"/>
      <c r="AA201" s="122"/>
      <c r="AB201" s="122"/>
      <c r="AC201" s="122"/>
      <c r="AD201" s="122"/>
      <c r="AE201" s="122"/>
      <c r="AF201" s="122"/>
      <c r="AG201" s="122"/>
      <c r="AH201" s="122"/>
      <c r="AI201" s="122"/>
      <c r="AJ201" s="122"/>
      <c r="AK201" s="122"/>
      <c r="AL201" s="122"/>
      <c r="AM201" s="122"/>
      <c r="AN201" s="122"/>
      <c r="AP201" s="121"/>
      <c r="AQ201" s="121"/>
      <c r="AR201" s="121"/>
      <c r="AS201" s="121"/>
      <c r="AT201" s="121"/>
      <c r="AU201" s="121"/>
      <c r="AV201" s="121"/>
      <c r="AW201" s="121"/>
      <c r="AX201" s="121"/>
      <c r="AY201" s="121"/>
      <c r="AZ201" s="121"/>
      <c r="BA201" s="121"/>
      <c r="BB201" s="121"/>
      <c r="BC201" s="121"/>
      <c r="BD201" s="121"/>
      <c r="BE201" s="121"/>
      <c r="BF201" s="121"/>
    </row>
    <row r="202" spans="3:58" s="12" customFormat="1" x14ac:dyDescent="0.25">
      <c r="C202" s="121"/>
      <c r="D202" s="121"/>
      <c r="E202" s="121"/>
      <c r="F202" s="121"/>
      <c r="G202" s="121"/>
      <c r="H202" s="121"/>
      <c r="I202" s="121"/>
      <c r="J202" s="121"/>
      <c r="K202" s="121"/>
      <c r="L202" s="121"/>
      <c r="M202" s="146"/>
      <c r="N202" s="121"/>
      <c r="O202" s="121"/>
      <c r="P202" s="121"/>
      <c r="Q202" s="121"/>
      <c r="R202" s="121"/>
      <c r="S202" s="122"/>
      <c r="T202" s="122"/>
      <c r="U202" s="122"/>
      <c r="V202" s="122"/>
      <c r="W202" s="122"/>
      <c r="X202" s="122"/>
      <c r="Y202" s="122"/>
      <c r="Z202" s="122"/>
      <c r="AA202" s="122"/>
      <c r="AB202" s="122"/>
      <c r="AC202" s="122"/>
      <c r="AD202" s="122"/>
      <c r="AE202" s="122"/>
      <c r="AF202" s="122"/>
      <c r="AG202" s="122"/>
      <c r="AH202" s="122"/>
      <c r="AI202" s="122"/>
      <c r="AJ202" s="122"/>
      <c r="AK202" s="122"/>
      <c r="AL202" s="122"/>
      <c r="AM202" s="122"/>
      <c r="AN202" s="122"/>
      <c r="AP202" s="121"/>
      <c r="AQ202" s="121"/>
      <c r="AR202" s="121"/>
      <c r="AS202" s="121"/>
      <c r="AT202" s="121"/>
      <c r="AU202" s="121"/>
      <c r="AV202" s="121"/>
      <c r="AW202" s="121"/>
      <c r="AX202" s="121"/>
      <c r="AY202" s="121"/>
      <c r="AZ202" s="121"/>
      <c r="BA202" s="121"/>
      <c r="BB202" s="121"/>
      <c r="BC202" s="121"/>
      <c r="BD202" s="121"/>
      <c r="BE202" s="121"/>
      <c r="BF202" s="121"/>
    </row>
    <row r="203" spans="3:58" s="12" customFormat="1" x14ac:dyDescent="0.25">
      <c r="C203" s="121"/>
      <c r="D203" s="121"/>
      <c r="E203" s="121"/>
      <c r="F203" s="121"/>
      <c r="G203" s="121"/>
      <c r="H203" s="121"/>
      <c r="I203" s="121"/>
      <c r="J203" s="121"/>
      <c r="K203" s="121"/>
      <c r="L203" s="121"/>
      <c r="M203" s="146"/>
      <c r="N203" s="121"/>
      <c r="O203" s="121"/>
      <c r="P203" s="121"/>
      <c r="Q203" s="121"/>
      <c r="R203" s="121"/>
      <c r="S203" s="122"/>
      <c r="T203" s="122"/>
      <c r="U203" s="122"/>
      <c r="V203" s="122"/>
      <c r="W203" s="122"/>
      <c r="X203" s="122"/>
      <c r="Y203" s="122"/>
      <c r="Z203" s="122"/>
      <c r="AA203" s="122"/>
      <c r="AB203" s="122"/>
      <c r="AC203" s="122"/>
      <c r="AD203" s="122"/>
      <c r="AE203" s="122"/>
      <c r="AF203" s="122"/>
      <c r="AG203" s="122"/>
      <c r="AH203" s="122"/>
      <c r="AI203" s="122"/>
      <c r="AJ203" s="122"/>
      <c r="AK203" s="122"/>
      <c r="AL203" s="122"/>
      <c r="AM203" s="122"/>
      <c r="AN203" s="122"/>
      <c r="AP203" s="121"/>
      <c r="AQ203" s="121"/>
      <c r="AR203" s="121"/>
      <c r="AS203" s="121"/>
      <c r="AT203" s="121"/>
      <c r="AU203" s="121"/>
      <c r="AV203" s="121"/>
      <c r="AW203" s="121"/>
      <c r="AX203" s="121"/>
      <c r="AY203" s="121"/>
      <c r="AZ203" s="121"/>
      <c r="BA203" s="121"/>
      <c r="BB203" s="121"/>
      <c r="BC203" s="121"/>
      <c r="BD203" s="121"/>
      <c r="BE203" s="121"/>
      <c r="BF203" s="121"/>
    </row>
    <row r="204" spans="3:58" s="12" customFormat="1" x14ac:dyDescent="0.25">
      <c r="C204" s="121"/>
      <c r="D204" s="121"/>
      <c r="E204" s="121"/>
      <c r="F204" s="121"/>
      <c r="G204" s="121"/>
      <c r="H204" s="121"/>
      <c r="I204" s="121"/>
      <c r="J204" s="121"/>
      <c r="K204" s="121"/>
      <c r="L204" s="121"/>
      <c r="M204" s="146"/>
      <c r="N204" s="121"/>
      <c r="O204" s="121"/>
      <c r="P204" s="121"/>
      <c r="Q204" s="121"/>
      <c r="R204" s="121"/>
      <c r="S204" s="122"/>
      <c r="T204" s="122"/>
      <c r="U204" s="122"/>
      <c r="V204" s="122"/>
      <c r="W204" s="122"/>
      <c r="X204" s="122"/>
      <c r="Y204" s="122"/>
      <c r="Z204" s="122"/>
      <c r="AA204" s="122"/>
      <c r="AB204" s="122"/>
      <c r="AC204" s="122"/>
      <c r="AD204" s="122"/>
      <c r="AE204" s="122"/>
      <c r="AF204" s="122"/>
      <c r="AG204" s="122"/>
      <c r="AH204" s="122"/>
      <c r="AI204" s="122"/>
      <c r="AJ204" s="122"/>
      <c r="AK204" s="122"/>
      <c r="AL204" s="122"/>
      <c r="AM204" s="122"/>
      <c r="AN204" s="122"/>
      <c r="AP204" s="121"/>
      <c r="AQ204" s="121"/>
      <c r="AR204" s="121"/>
      <c r="AS204" s="121"/>
      <c r="AT204" s="121"/>
      <c r="AU204" s="121"/>
      <c r="AV204" s="121"/>
      <c r="AW204" s="121"/>
      <c r="AX204" s="121"/>
      <c r="AY204" s="121"/>
      <c r="AZ204" s="121"/>
      <c r="BA204" s="121"/>
      <c r="BB204" s="121"/>
      <c r="BC204" s="121"/>
      <c r="BD204" s="121"/>
      <c r="BE204" s="121"/>
      <c r="BF204" s="121"/>
    </row>
    <row r="205" spans="3:58" s="12" customFormat="1" x14ac:dyDescent="0.25">
      <c r="C205" s="121"/>
      <c r="D205" s="121"/>
      <c r="E205" s="121"/>
      <c r="F205" s="121"/>
      <c r="G205" s="121"/>
      <c r="H205" s="121"/>
      <c r="I205" s="121"/>
      <c r="J205" s="121"/>
      <c r="K205" s="121"/>
      <c r="L205" s="121"/>
      <c r="M205" s="146"/>
      <c r="N205" s="121"/>
      <c r="O205" s="121"/>
      <c r="P205" s="121"/>
      <c r="Q205" s="121"/>
      <c r="R205" s="121"/>
      <c r="S205" s="122"/>
      <c r="T205" s="122"/>
      <c r="U205" s="122"/>
      <c r="V205" s="122"/>
      <c r="W205" s="122"/>
      <c r="X205" s="122"/>
      <c r="Y205" s="122"/>
      <c r="Z205" s="122"/>
      <c r="AA205" s="122"/>
      <c r="AB205" s="122"/>
      <c r="AC205" s="122"/>
      <c r="AD205" s="122"/>
      <c r="AE205" s="122"/>
      <c r="AF205" s="122"/>
      <c r="AG205" s="122"/>
      <c r="AH205" s="122"/>
      <c r="AI205" s="122"/>
      <c r="AJ205" s="122"/>
      <c r="AK205" s="122"/>
      <c r="AL205" s="122"/>
      <c r="AM205" s="122"/>
      <c r="AN205" s="122"/>
      <c r="AP205" s="121"/>
      <c r="AQ205" s="121"/>
      <c r="AR205" s="121"/>
      <c r="AS205" s="121"/>
      <c r="AT205" s="121"/>
      <c r="AU205" s="121"/>
      <c r="AV205" s="121"/>
      <c r="AW205" s="121"/>
      <c r="AX205" s="121"/>
      <c r="AY205" s="121"/>
      <c r="AZ205" s="121"/>
      <c r="BA205" s="121"/>
      <c r="BB205" s="121"/>
      <c r="BC205" s="121"/>
      <c r="BD205" s="121"/>
      <c r="BE205" s="121"/>
      <c r="BF205" s="121"/>
    </row>
    <row r="206" spans="3:58" s="12" customFormat="1" x14ac:dyDescent="0.25">
      <c r="C206" s="121"/>
      <c r="D206" s="121"/>
      <c r="E206" s="121"/>
      <c r="F206" s="121"/>
      <c r="G206" s="121"/>
      <c r="H206" s="121"/>
      <c r="I206" s="121"/>
      <c r="J206" s="121"/>
      <c r="K206" s="121"/>
      <c r="L206" s="121"/>
      <c r="M206" s="146"/>
      <c r="N206" s="121"/>
      <c r="O206" s="121"/>
      <c r="P206" s="121"/>
      <c r="Q206" s="121"/>
      <c r="R206" s="121"/>
      <c r="S206" s="122"/>
      <c r="T206" s="122"/>
      <c r="U206" s="122"/>
      <c r="V206" s="122"/>
      <c r="W206" s="122"/>
      <c r="X206" s="122"/>
      <c r="Y206" s="122"/>
      <c r="Z206" s="122"/>
      <c r="AA206" s="122"/>
      <c r="AB206" s="122"/>
      <c r="AC206" s="122"/>
      <c r="AD206" s="122"/>
      <c r="AE206" s="122"/>
      <c r="AF206" s="122"/>
      <c r="AG206" s="122"/>
      <c r="AH206" s="122"/>
      <c r="AI206" s="122"/>
      <c r="AJ206" s="122"/>
      <c r="AK206" s="122"/>
      <c r="AL206" s="122"/>
      <c r="AM206" s="122"/>
      <c r="AN206" s="122"/>
      <c r="AP206" s="121"/>
      <c r="AQ206" s="121"/>
      <c r="AR206" s="121"/>
      <c r="AS206" s="121"/>
      <c r="AT206" s="121"/>
      <c r="AU206" s="121"/>
      <c r="AV206" s="121"/>
      <c r="AW206" s="121"/>
      <c r="AX206" s="121"/>
      <c r="AY206" s="121"/>
      <c r="AZ206" s="121"/>
      <c r="BA206" s="121"/>
      <c r="BB206" s="121"/>
      <c r="BC206" s="121"/>
      <c r="BD206" s="121"/>
      <c r="BE206" s="121"/>
      <c r="BF206" s="121"/>
    </row>
    <row r="207" spans="3:58" s="12" customFormat="1" x14ac:dyDescent="0.25">
      <c r="C207" s="121"/>
      <c r="D207" s="121"/>
      <c r="E207" s="121"/>
      <c r="F207" s="121"/>
      <c r="G207" s="121"/>
      <c r="H207" s="121"/>
      <c r="I207" s="121"/>
      <c r="J207" s="121"/>
      <c r="K207" s="121"/>
      <c r="L207" s="121"/>
      <c r="M207" s="146"/>
      <c r="N207" s="121"/>
      <c r="O207" s="121"/>
      <c r="P207" s="121"/>
      <c r="Q207" s="121"/>
      <c r="R207" s="121"/>
      <c r="S207" s="122"/>
      <c r="T207" s="122"/>
      <c r="U207" s="122"/>
      <c r="V207" s="122"/>
      <c r="W207" s="122"/>
      <c r="X207" s="122"/>
      <c r="Y207" s="122"/>
      <c r="Z207" s="122"/>
      <c r="AA207" s="122"/>
      <c r="AB207" s="122"/>
      <c r="AC207" s="122"/>
      <c r="AD207" s="122"/>
      <c r="AE207" s="122"/>
      <c r="AF207" s="122"/>
      <c r="AG207" s="122"/>
      <c r="AH207" s="122"/>
      <c r="AI207" s="122"/>
      <c r="AJ207" s="122"/>
      <c r="AK207" s="122"/>
      <c r="AL207" s="122"/>
      <c r="AM207" s="122"/>
      <c r="AN207" s="122"/>
      <c r="AP207" s="121"/>
      <c r="AQ207" s="121"/>
      <c r="AR207" s="121"/>
      <c r="AS207" s="121"/>
      <c r="AT207" s="121"/>
      <c r="AU207" s="121"/>
      <c r="AV207" s="121"/>
      <c r="AW207" s="121"/>
      <c r="AX207" s="121"/>
      <c r="AY207" s="121"/>
      <c r="AZ207" s="121"/>
      <c r="BA207" s="121"/>
      <c r="BB207" s="121"/>
      <c r="BC207" s="121"/>
      <c r="BD207" s="121"/>
      <c r="BE207" s="121"/>
      <c r="BF207" s="121"/>
    </row>
    <row r="208" spans="3:58" s="12" customFormat="1" x14ac:dyDescent="0.25">
      <c r="C208" s="121"/>
      <c r="D208" s="121"/>
      <c r="E208" s="121"/>
      <c r="F208" s="121"/>
      <c r="G208" s="121"/>
      <c r="H208" s="121"/>
      <c r="I208" s="121"/>
      <c r="J208" s="121"/>
      <c r="K208" s="121"/>
      <c r="L208" s="121"/>
      <c r="M208" s="146"/>
      <c r="N208" s="121"/>
      <c r="O208" s="121"/>
      <c r="P208" s="121"/>
      <c r="Q208" s="121"/>
      <c r="R208" s="121"/>
      <c r="S208" s="122"/>
      <c r="T208" s="122"/>
      <c r="U208" s="122"/>
      <c r="V208" s="122"/>
      <c r="W208" s="122"/>
      <c r="X208" s="122"/>
      <c r="Y208" s="122"/>
      <c r="Z208" s="122"/>
      <c r="AA208" s="122"/>
      <c r="AB208" s="122"/>
      <c r="AC208" s="122"/>
      <c r="AD208" s="122"/>
      <c r="AE208" s="122"/>
      <c r="AF208" s="122"/>
      <c r="AG208" s="122"/>
      <c r="AH208" s="122"/>
      <c r="AI208" s="122"/>
      <c r="AJ208" s="122"/>
      <c r="AK208" s="122"/>
      <c r="AL208" s="122"/>
      <c r="AM208" s="122"/>
      <c r="AN208" s="122"/>
      <c r="AP208" s="121"/>
      <c r="AQ208" s="121"/>
      <c r="AR208" s="121"/>
      <c r="AS208" s="121"/>
      <c r="AT208" s="121"/>
      <c r="AU208" s="121"/>
      <c r="AV208" s="121"/>
      <c r="AW208" s="121"/>
      <c r="AX208" s="121"/>
      <c r="AY208" s="121"/>
      <c r="AZ208" s="121"/>
      <c r="BA208" s="121"/>
      <c r="BB208" s="121"/>
      <c r="BC208" s="121"/>
      <c r="BD208" s="121"/>
      <c r="BE208" s="121"/>
      <c r="BF208" s="121"/>
    </row>
    <row r="209" spans="3:58" s="12" customFormat="1" x14ac:dyDescent="0.25">
      <c r="C209" s="121"/>
      <c r="D209" s="121"/>
      <c r="E209" s="121"/>
      <c r="F209" s="121"/>
      <c r="G209" s="121"/>
      <c r="H209" s="121"/>
      <c r="I209" s="121"/>
      <c r="J209" s="121"/>
      <c r="K209" s="121"/>
      <c r="L209" s="121"/>
      <c r="M209" s="146"/>
      <c r="N209" s="121"/>
      <c r="O209" s="121"/>
      <c r="P209" s="121"/>
      <c r="Q209" s="121"/>
      <c r="R209" s="121"/>
      <c r="S209" s="122"/>
      <c r="T209" s="122"/>
      <c r="U209" s="122"/>
      <c r="V209" s="122"/>
      <c r="W209" s="122"/>
      <c r="X209" s="122"/>
      <c r="Y209" s="122"/>
      <c r="Z209" s="122"/>
      <c r="AA209" s="122"/>
      <c r="AB209" s="122"/>
      <c r="AC209" s="122"/>
      <c r="AD209" s="122"/>
      <c r="AE209" s="122"/>
      <c r="AF209" s="122"/>
      <c r="AG209" s="122"/>
      <c r="AH209" s="122"/>
      <c r="AI209" s="122"/>
      <c r="AJ209" s="122"/>
      <c r="AK209" s="122"/>
      <c r="AL209" s="122"/>
      <c r="AM209" s="122"/>
      <c r="AN209" s="122"/>
      <c r="AP209" s="121"/>
      <c r="AQ209" s="121"/>
      <c r="AR209" s="121"/>
      <c r="AS209" s="121"/>
      <c r="AT209" s="121"/>
      <c r="AU209" s="121"/>
      <c r="AV209" s="121"/>
      <c r="AW209" s="121"/>
      <c r="AX209" s="121"/>
      <c r="AY209" s="121"/>
      <c r="AZ209" s="121"/>
      <c r="BA209" s="121"/>
      <c r="BB209" s="121"/>
      <c r="BC209" s="121"/>
      <c r="BD209" s="121"/>
      <c r="BE209" s="121"/>
      <c r="BF209" s="121"/>
    </row>
    <row r="210" spans="3:58" s="12" customFormat="1" x14ac:dyDescent="0.25">
      <c r="C210" s="121"/>
      <c r="D210" s="121"/>
      <c r="E210" s="121"/>
      <c r="F210" s="121"/>
      <c r="G210" s="121"/>
      <c r="H210" s="121"/>
      <c r="I210" s="121"/>
      <c r="J210" s="121"/>
      <c r="K210" s="121"/>
      <c r="L210" s="121"/>
      <c r="M210" s="146"/>
      <c r="N210" s="121"/>
      <c r="O210" s="121"/>
      <c r="P210" s="121"/>
      <c r="Q210" s="121"/>
      <c r="R210" s="121"/>
      <c r="S210" s="122"/>
      <c r="T210" s="122"/>
      <c r="U210" s="122"/>
      <c r="V210" s="122"/>
      <c r="W210" s="122"/>
      <c r="X210" s="122"/>
      <c r="Y210" s="122"/>
      <c r="Z210" s="122"/>
      <c r="AA210" s="122"/>
      <c r="AB210" s="122"/>
      <c r="AC210" s="122"/>
      <c r="AD210" s="122"/>
      <c r="AE210" s="122"/>
      <c r="AF210" s="122"/>
      <c r="AG210" s="122"/>
      <c r="AH210" s="122"/>
      <c r="AI210" s="122"/>
      <c r="AJ210" s="122"/>
      <c r="AK210" s="122"/>
      <c r="AL210" s="122"/>
      <c r="AM210" s="122"/>
      <c r="AN210" s="122"/>
      <c r="AP210" s="121"/>
      <c r="AQ210" s="121"/>
      <c r="AR210" s="121"/>
      <c r="AS210" s="121"/>
      <c r="AT210" s="121"/>
      <c r="AU210" s="121"/>
      <c r="AV210" s="121"/>
      <c r="AW210" s="121"/>
      <c r="AX210" s="121"/>
      <c r="AY210" s="121"/>
      <c r="AZ210" s="121"/>
      <c r="BA210" s="121"/>
      <c r="BB210" s="121"/>
      <c r="BC210" s="121"/>
      <c r="BD210" s="121"/>
      <c r="BE210" s="121"/>
      <c r="BF210" s="121"/>
    </row>
    <row r="211" spans="3:58" s="12" customFormat="1" x14ac:dyDescent="0.25">
      <c r="C211" s="121"/>
      <c r="D211" s="121"/>
      <c r="E211" s="121"/>
      <c r="F211" s="121"/>
      <c r="G211" s="121"/>
      <c r="H211" s="121"/>
      <c r="I211" s="121"/>
      <c r="J211" s="121"/>
      <c r="K211" s="121"/>
      <c r="L211" s="121"/>
      <c r="M211" s="146"/>
      <c r="N211" s="121"/>
      <c r="O211" s="121"/>
      <c r="P211" s="121"/>
      <c r="Q211" s="121"/>
      <c r="R211" s="121"/>
      <c r="S211" s="122"/>
      <c r="T211" s="122"/>
      <c r="U211" s="122"/>
      <c r="V211" s="122"/>
      <c r="W211" s="122"/>
      <c r="X211" s="122"/>
      <c r="Y211" s="122"/>
      <c r="Z211" s="122"/>
      <c r="AA211" s="122"/>
      <c r="AB211" s="122"/>
      <c r="AC211" s="122"/>
      <c r="AD211" s="122"/>
      <c r="AE211" s="122"/>
      <c r="AF211" s="122"/>
      <c r="AG211" s="122"/>
      <c r="AH211" s="122"/>
      <c r="AI211" s="122"/>
      <c r="AJ211" s="122"/>
      <c r="AK211" s="122"/>
      <c r="AL211" s="122"/>
      <c r="AM211" s="122"/>
      <c r="AN211" s="122"/>
      <c r="AP211" s="121"/>
      <c r="AQ211" s="121"/>
      <c r="AR211" s="121"/>
      <c r="AS211" s="121"/>
      <c r="AT211" s="121"/>
      <c r="AU211" s="121"/>
      <c r="AV211" s="121"/>
      <c r="AW211" s="121"/>
      <c r="AX211" s="121"/>
      <c r="AY211" s="121"/>
      <c r="AZ211" s="121"/>
      <c r="BA211" s="121"/>
      <c r="BB211" s="121"/>
      <c r="BC211" s="121"/>
      <c r="BD211" s="121"/>
      <c r="BE211" s="121"/>
      <c r="BF211" s="121"/>
    </row>
    <row r="212" spans="3:58" s="12" customFormat="1" x14ac:dyDescent="0.25">
      <c r="C212" s="121"/>
      <c r="D212" s="121"/>
      <c r="E212" s="121"/>
      <c r="F212" s="121"/>
      <c r="G212" s="121"/>
      <c r="H212" s="121"/>
      <c r="I212" s="121"/>
      <c r="J212" s="121"/>
      <c r="K212" s="121"/>
      <c r="L212" s="121"/>
      <c r="M212" s="146"/>
      <c r="N212" s="121"/>
      <c r="O212" s="121"/>
      <c r="P212" s="121"/>
      <c r="Q212" s="121"/>
      <c r="R212" s="121"/>
      <c r="S212" s="122"/>
      <c r="T212" s="122"/>
      <c r="U212" s="122"/>
      <c r="V212" s="122"/>
      <c r="W212" s="122"/>
      <c r="X212" s="122"/>
      <c r="Y212" s="122"/>
      <c r="Z212" s="122"/>
      <c r="AA212" s="122"/>
      <c r="AB212" s="122"/>
      <c r="AC212" s="122"/>
      <c r="AD212" s="122"/>
      <c r="AE212" s="122"/>
      <c r="AF212" s="122"/>
      <c r="AG212" s="122"/>
      <c r="AH212" s="122"/>
      <c r="AI212" s="122"/>
      <c r="AJ212" s="122"/>
      <c r="AK212" s="122"/>
      <c r="AL212" s="122"/>
      <c r="AM212" s="122"/>
      <c r="AN212" s="122"/>
      <c r="AP212" s="121"/>
      <c r="AQ212" s="121"/>
      <c r="AR212" s="121"/>
      <c r="AS212" s="121"/>
      <c r="AT212" s="121"/>
      <c r="AU212" s="121"/>
      <c r="AV212" s="121"/>
      <c r="AW212" s="121"/>
      <c r="AX212" s="121"/>
      <c r="AY212" s="121"/>
      <c r="AZ212" s="121"/>
      <c r="BA212" s="121"/>
      <c r="BB212" s="121"/>
      <c r="BC212" s="121"/>
      <c r="BD212" s="121"/>
      <c r="BE212" s="121"/>
      <c r="BF212" s="121"/>
    </row>
    <row r="213" spans="3:58" s="12" customFormat="1" x14ac:dyDescent="0.25">
      <c r="C213" s="121"/>
      <c r="D213" s="121"/>
      <c r="E213" s="121"/>
      <c r="F213" s="121"/>
      <c r="G213" s="121"/>
      <c r="H213" s="121"/>
      <c r="I213" s="121"/>
      <c r="J213" s="121"/>
      <c r="K213" s="121"/>
      <c r="L213" s="121"/>
      <c r="M213" s="146"/>
      <c r="N213" s="121"/>
      <c r="O213" s="121"/>
      <c r="P213" s="121"/>
      <c r="Q213" s="121"/>
      <c r="R213" s="121"/>
      <c r="S213" s="122"/>
      <c r="T213" s="122"/>
      <c r="U213" s="122"/>
      <c r="V213" s="122"/>
      <c r="W213" s="122"/>
      <c r="X213" s="122"/>
      <c r="Y213" s="122"/>
      <c r="Z213" s="122"/>
      <c r="AA213" s="122"/>
      <c r="AB213" s="122"/>
      <c r="AC213" s="122"/>
      <c r="AD213" s="122"/>
      <c r="AE213" s="122"/>
      <c r="AF213" s="122"/>
      <c r="AG213" s="122"/>
      <c r="AH213" s="122"/>
      <c r="AI213" s="122"/>
      <c r="AJ213" s="122"/>
      <c r="AK213" s="122"/>
      <c r="AL213" s="122"/>
      <c r="AM213" s="122"/>
      <c r="AN213" s="122"/>
      <c r="AP213" s="121"/>
      <c r="AQ213" s="121"/>
      <c r="AR213" s="121"/>
      <c r="AS213" s="121"/>
      <c r="AT213" s="121"/>
      <c r="AU213" s="121"/>
      <c r="AV213" s="121"/>
      <c r="AW213" s="121"/>
      <c r="AX213" s="121"/>
      <c r="AY213" s="121"/>
      <c r="AZ213" s="121"/>
      <c r="BA213" s="121"/>
      <c r="BB213" s="121"/>
      <c r="BC213" s="121"/>
      <c r="BD213" s="121"/>
      <c r="BE213" s="121"/>
      <c r="BF213" s="121"/>
    </row>
    <row r="214" spans="3:58" s="12" customFormat="1" x14ac:dyDescent="0.25">
      <c r="C214" s="121"/>
      <c r="D214" s="121"/>
      <c r="E214" s="121"/>
      <c r="F214" s="121"/>
      <c r="G214" s="121"/>
      <c r="H214" s="121"/>
      <c r="I214" s="121"/>
      <c r="J214" s="121"/>
      <c r="K214" s="121"/>
      <c r="L214" s="121"/>
      <c r="M214" s="146"/>
      <c r="N214" s="121"/>
      <c r="O214" s="121"/>
      <c r="P214" s="121"/>
      <c r="Q214" s="121"/>
      <c r="R214" s="121"/>
      <c r="S214" s="122"/>
      <c r="T214" s="122"/>
      <c r="U214" s="122"/>
      <c r="V214" s="122"/>
      <c r="W214" s="122"/>
      <c r="X214" s="122"/>
      <c r="Y214" s="122"/>
      <c r="Z214" s="122"/>
      <c r="AA214" s="122"/>
      <c r="AB214" s="122"/>
      <c r="AC214" s="122"/>
      <c r="AD214" s="122"/>
      <c r="AE214" s="122"/>
      <c r="AF214" s="122"/>
      <c r="AG214" s="122"/>
      <c r="AH214" s="122"/>
      <c r="AI214" s="122"/>
      <c r="AJ214" s="122"/>
      <c r="AK214" s="122"/>
      <c r="AL214" s="122"/>
      <c r="AM214" s="122"/>
      <c r="AN214" s="122"/>
      <c r="AP214" s="121"/>
      <c r="AQ214" s="121"/>
      <c r="AR214" s="121"/>
      <c r="AS214" s="121"/>
      <c r="AT214" s="121"/>
      <c r="AU214" s="121"/>
      <c r="AV214" s="121"/>
      <c r="AW214" s="121"/>
      <c r="AX214" s="121"/>
      <c r="AY214" s="121"/>
      <c r="AZ214" s="121"/>
      <c r="BA214" s="121"/>
      <c r="BB214" s="121"/>
      <c r="BC214" s="121"/>
      <c r="BD214" s="121"/>
      <c r="BE214" s="121"/>
      <c r="BF214" s="121"/>
    </row>
    <row r="215" spans="3:58" s="12" customFormat="1" x14ac:dyDescent="0.25">
      <c r="C215" s="121"/>
      <c r="D215" s="121"/>
      <c r="E215" s="121"/>
      <c r="F215" s="121"/>
      <c r="G215" s="121"/>
      <c r="H215" s="121"/>
      <c r="I215" s="121"/>
      <c r="J215" s="121"/>
      <c r="K215" s="121"/>
      <c r="L215" s="121"/>
      <c r="M215" s="146"/>
      <c r="N215" s="121"/>
      <c r="O215" s="121"/>
      <c r="P215" s="121"/>
      <c r="Q215" s="121"/>
      <c r="R215" s="121"/>
      <c r="S215" s="122"/>
      <c r="T215" s="122"/>
      <c r="U215" s="122"/>
      <c r="V215" s="122"/>
      <c r="W215" s="122"/>
      <c r="X215" s="122"/>
      <c r="Y215" s="122"/>
      <c r="Z215" s="122"/>
      <c r="AA215" s="122"/>
      <c r="AB215" s="122"/>
      <c r="AC215" s="122"/>
      <c r="AD215" s="122"/>
      <c r="AE215" s="122"/>
      <c r="AF215" s="122"/>
      <c r="AG215" s="122"/>
      <c r="AH215" s="122"/>
      <c r="AI215" s="122"/>
      <c r="AJ215" s="122"/>
      <c r="AK215" s="122"/>
      <c r="AL215" s="122"/>
      <c r="AM215" s="122"/>
      <c r="AN215" s="122"/>
      <c r="AP215" s="121"/>
      <c r="AQ215" s="121"/>
      <c r="AR215" s="121"/>
      <c r="AS215" s="121"/>
      <c r="AT215" s="121"/>
      <c r="AU215" s="121"/>
      <c r="AV215" s="121"/>
      <c r="AW215" s="121"/>
      <c r="AX215" s="121"/>
      <c r="AY215" s="121"/>
      <c r="AZ215" s="121"/>
      <c r="BA215" s="121"/>
      <c r="BB215" s="121"/>
      <c r="BC215" s="121"/>
      <c r="BD215" s="121"/>
      <c r="BE215" s="121"/>
      <c r="BF215" s="121"/>
    </row>
    <row r="216" spans="3:58" s="12" customFormat="1" x14ac:dyDescent="0.25">
      <c r="C216" s="121"/>
      <c r="D216" s="121"/>
      <c r="E216" s="121"/>
      <c r="F216" s="121"/>
      <c r="G216" s="121"/>
      <c r="H216" s="121"/>
      <c r="I216" s="121"/>
      <c r="J216" s="121"/>
      <c r="K216" s="121"/>
      <c r="L216" s="121"/>
      <c r="M216" s="146"/>
      <c r="N216" s="121"/>
      <c r="O216" s="121"/>
      <c r="P216" s="121"/>
      <c r="Q216" s="121"/>
      <c r="R216" s="121"/>
      <c r="S216" s="122"/>
      <c r="T216" s="122"/>
      <c r="U216" s="122"/>
      <c r="V216" s="122"/>
      <c r="W216" s="122"/>
      <c r="X216" s="122"/>
      <c r="Y216" s="122"/>
      <c r="Z216" s="122"/>
      <c r="AA216" s="122"/>
      <c r="AB216" s="122"/>
      <c r="AC216" s="122"/>
      <c r="AD216" s="122"/>
      <c r="AE216" s="122"/>
      <c r="AF216" s="122"/>
      <c r="AG216" s="122"/>
      <c r="AH216" s="122"/>
      <c r="AI216" s="122"/>
      <c r="AJ216" s="122"/>
      <c r="AK216" s="122"/>
      <c r="AL216" s="122"/>
      <c r="AM216" s="122"/>
      <c r="AN216" s="122"/>
      <c r="AP216" s="121"/>
      <c r="AQ216" s="121"/>
      <c r="AR216" s="121"/>
      <c r="AS216" s="121"/>
      <c r="AT216" s="121"/>
      <c r="AU216" s="121"/>
      <c r="AV216" s="121"/>
      <c r="AW216" s="121"/>
      <c r="AX216" s="121"/>
      <c r="AY216" s="121"/>
      <c r="AZ216" s="121"/>
      <c r="BA216" s="121"/>
      <c r="BB216" s="121"/>
      <c r="BC216" s="121"/>
      <c r="BD216" s="121"/>
      <c r="BE216" s="121"/>
      <c r="BF216" s="121"/>
    </row>
    <row r="217" spans="3:58" s="12" customFormat="1" x14ac:dyDescent="0.25">
      <c r="C217" s="121"/>
      <c r="D217" s="121"/>
      <c r="E217" s="121"/>
      <c r="F217" s="121"/>
      <c r="G217" s="121"/>
      <c r="H217" s="121"/>
      <c r="I217" s="121"/>
      <c r="J217" s="121"/>
      <c r="K217" s="121"/>
      <c r="L217" s="121"/>
      <c r="M217" s="146"/>
      <c r="N217" s="121"/>
      <c r="O217" s="121"/>
      <c r="P217" s="121"/>
      <c r="Q217" s="121"/>
      <c r="R217" s="121"/>
      <c r="S217" s="122"/>
      <c r="T217" s="122"/>
      <c r="U217" s="122"/>
      <c r="V217" s="122"/>
      <c r="W217" s="122"/>
      <c r="X217" s="122"/>
      <c r="Y217" s="122"/>
      <c r="Z217" s="122"/>
      <c r="AA217" s="122"/>
      <c r="AB217" s="122"/>
      <c r="AC217" s="122"/>
      <c r="AD217" s="122"/>
      <c r="AE217" s="122"/>
      <c r="AF217" s="122"/>
      <c r="AG217" s="122"/>
      <c r="AH217" s="122"/>
      <c r="AI217" s="122"/>
      <c r="AJ217" s="122"/>
      <c r="AK217" s="122"/>
      <c r="AL217" s="122"/>
      <c r="AM217" s="122"/>
      <c r="AN217" s="122"/>
      <c r="AP217" s="121"/>
      <c r="AQ217" s="121"/>
      <c r="AR217" s="121"/>
      <c r="AS217" s="121"/>
      <c r="AT217" s="121"/>
      <c r="AU217" s="121"/>
      <c r="AV217" s="121"/>
      <c r="AW217" s="121"/>
      <c r="AX217" s="121"/>
      <c r="AY217" s="121"/>
      <c r="AZ217" s="121"/>
      <c r="BA217" s="121"/>
      <c r="BB217" s="121"/>
      <c r="BC217" s="121"/>
      <c r="BD217" s="121"/>
      <c r="BE217" s="121"/>
      <c r="BF217" s="121"/>
    </row>
    <row r="218" spans="3:58" s="12" customFormat="1" x14ac:dyDescent="0.25">
      <c r="C218" s="121"/>
      <c r="D218" s="121"/>
      <c r="E218" s="121"/>
      <c r="F218" s="121"/>
      <c r="G218" s="121"/>
      <c r="H218" s="121"/>
      <c r="I218" s="121"/>
      <c r="J218" s="121"/>
      <c r="K218" s="121"/>
      <c r="L218" s="121"/>
      <c r="M218" s="146"/>
      <c r="N218" s="121"/>
      <c r="O218" s="121"/>
      <c r="P218" s="121"/>
      <c r="Q218" s="121"/>
      <c r="R218" s="121"/>
      <c r="S218" s="122"/>
      <c r="T218" s="122"/>
      <c r="U218" s="122"/>
      <c r="V218" s="122"/>
      <c r="W218" s="122"/>
      <c r="X218" s="122"/>
      <c r="Y218" s="122"/>
      <c r="Z218" s="122"/>
      <c r="AA218" s="122"/>
      <c r="AB218" s="122"/>
      <c r="AC218" s="122"/>
      <c r="AD218" s="122"/>
      <c r="AE218" s="122"/>
      <c r="AF218" s="122"/>
      <c r="AG218" s="122"/>
      <c r="AH218" s="122"/>
      <c r="AI218" s="122"/>
      <c r="AJ218" s="122"/>
      <c r="AK218" s="122"/>
      <c r="AL218" s="122"/>
      <c r="AM218" s="122"/>
      <c r="AN218" s="122"/>
      <c r="AP218" s="121"/>
      <c r="AQ218" s="121"/>
      <c r="AR218" s="121"/>
      <c r="AS218" s="121"/>
      <c r="AT218" s="121"/>
      <c r="AU218" s="121"/>
      <c r="AV218" s="121"/>
      <c r="AW218" s="121"/>
      <c r="AX218" s="121"/>
      <c r="AY218" s="121"/>
      <c r="AZ218" s="121"/>
      <c r="BA218" s="121"/>
      <c r="BB218" s="121"/>
      <c r="BC218" s="121"/>
      <c r="BD218" s="121"/>
      <c r="BE218" s="121"/>
      <c r="BF218" s="121"/>
    </row>
    <row r="219" spans="3:58" s="12" customFormat="1" x14ac:dyDescent="0.25">
      <c r="C219" s="121"/>
      <c r="D219" s="121"/>
      <c r="E219" s="121"/>
      <c r="F219" s="121"/>
      <c r="G219" s="121"/>
      <c r="H219" s="121"/>
      <c r="I219" s="121"/>
      <c r="J219" s="121"/>
      <c r="K219" s="121"/>
      <c r="L219" s="121"/>
      <c r="M219" s="146"/>
      <c r="N219" s="121"/>
      <c r="O219" s="121"/>
      <c r="P219" s="121"/>
      <c r="Q219" s="121"/>
      <c r="R219" s="121"/>
      <c r="S219" s="122"/>
      <c r="T219" s="122"/>
      <c r="U219" s="122"/>
      <c r="V219" s="122"/>
      <c r="W219" s="122"/>
      <c r="X219" s="122"/>
      <c r="Y219" s="122"/>
      <c r="Z219" s="122"/>
      <c r="AA219" s="122"/>
      <c r="AB219" s="122"/>
      <c r="AC219" s="122"/>
      <c r="AD219" s="122"/>
      <c r="AE219" s="122"/>
      <c r="AF219" s="122"/>
      <c r="AG219" s="122"/>
      <c r="AH219" s="122"/>
      <c r="AI219" s="122"/>
      <c r="AJ219" s="122"/>
      <c r="AK219" s="122"/>
      <c r="AL219" s="122"/>
      <c r="AM219" s="122"/>
      <c r="AN219" s="122"/>
      <c r="AP219" s="121"/>
      <c r="AQ219" s="121"/>
      <c r="AR219" s="121"/>
      <c r="AS219" s="121"/>
      <c r="AT219" s="121"/>
      <c r="AU219" s="121"/>
      <c r="AV219" s="121"/>
      <c r="AW219" s="121"/>
      <c r="AX219" s="121"/>
      <c r="AY219" s="121"/>
      <c r="AZ219" s="121"/>
      <c r="BA219" s="121"/>
      <c r="BB219" s="121"/>
      <c r="BC219" s="121"/>
      <c r="BD219" s="121"/>
      <c r="BE219" s="121"/>
      <c r="BF219" s="121"/>
    </row>
    <row r="220" spans="3:58" s="12" customFormat="1" x14ac:dyDescent="0.25">
      <c r="C220" s="121"/>
      <c r="D220" s="121"/>
      <c r="E220" s="121"/>
      <c r="F220" s="121"/>
      <c r="G220" s="121"/>
      <c r="H220" s="121"/>
      <c r="I220" s="121"/>
      <c r="J220" s="121"/>
      <c r="K220" s="121"/>
      <c r="L220" s="121"/>
      <c r="M220" s="146"/>
      <c r="N220" s="121"/>
      <c r="O220" s="121"/>
      <c r="P220" s="121"/>
      <c r="Q220" s="121"/>
      <c r="R220" s="121"/>
      <c r="S220" s="122"/>
      <c r="T220" s="122"/>
      <c r="U220" s="122"/>
      <c r="V220" s="122"/>
      <c r="W220" s="122"/>
      <c r="X220" s="122"/>
      <c r="Y220" s="122"/>
      <c r="Z220" s="122"/>
      <c r="AA220" s="122"/>
      <c r="AB220" s="122"/>
      <c r="AC220" s="122"/>
      <c r="AD220" s="122"/>
      <c r="AE220" s="122"/>
      <c r="AF220" s="122"/>
      <c r="AG220" s="122"/>
      <c r="AH220" s="122"/>
      <c r="AI220" s="122"/>
      <c r="AJ220" s="122"/>
      <c r="AK220" s="122"/>
      <c r="AL220" s="122"/>
      <c r="AM220" s="122"/>
      <c r="AN220" s="122"/>
      <c r="AP220" s="121"/>
      <c r="AQ220" s="121"/>
      <c r="AR220" s="121"/>
      <c r="AS220" s="121"/>
      <c r="AT220" s="121"/>
      <c r="AU220" s="121"/>
      <c r="AV220" s="121"/>
      <c r="AW220" s="121"/>
      <c r="AX220" s="121"/>
      <c r="AY220" s="121"/>
      <c r="AZ220" s="121"/>
      <c r="BA220" s="121"/>
      <c r="BB220" s="121"/>
      <c r="BC220" s="121"/>
      <c r="BD220" s="121"/>
      <c r="BE220" s="121"/>
      <c r="BF220" s="121"/>
    </row>
    <row r="221" spans="3:58" s="12" customFormat="1" x14ac:dyDescent="0.25">
      <c r="C221" s="121"/>
      <c r="D221" s="121"/>
      <c r="E221" s="121"/>
      <c r="F221" s="121"/>
      <c r="G221" s="121"/>
      <c r="H221" s="121"/>
      <c r="I221" s="121"/>
      <c r="J221" s="121"/>
      <c r="K221" s="121"/>
      <c r="L221" s="121"/>
      <c r="M221" s="146"/>
      <c r="N221" s="121"/>
      <c r="O221" s="121"/>
      <c r="P221" s="121"/>
      <c r="Q221" s="121"/>
      <c r="R221" s="121"/>
      <c r="S221" s="122"/>
      <c r="T221" s="122"/>
      <c r="U221" s="122"/>
      <c r="V221" s="122"/>
      <c r="W221" s="122"/>
      <c r="X221" s="122"/>
      <c r="Y221" s="122"/>
      <c r="Z221" s="122"/>
      <c r="AA221" s="122"/>
      <c r="AB221" s="122"/>
      <c r="AC221" s="122"/>
      <c r="AD221" s="122"/>
      <c r="AE221" s="122"/>
      <c r="AF221" s="122"/>
      <c r="AG221" s="122"/>
      <c r="AH221" s="122"/>
      <c r="AI221" s="122"/>
      <c r="AJ221" s="122"/>
      <c r="AK221" s="122"/>
      <c r="AL221" s="122"/>
      <c r="AM221" s="122"/>
      <c r="AN221" s="122"/>
      <c r="AP221" s="121"/>
      <c r="AQ221" s="121"/>
      <c r="AR221" s="121"/>
      <c r="AS221" s="121"/>
      <c r="AT221" s="121"/>
      <c r="AU221" s="121"/>
      <c r="AV221" s="121"/>
      <c r="AW221" s="121"/>
      <c r="AX221" s="121"/>
      <c r="AY221" s="121"/>
      <c r="AZ221" s="121"/>
      <c r="BA221" s="121"/>
      <c r="BB221" s="121"/>
      <c r="BC221" s="121"/>
      <c r="BD221" s="121"/>
      <c r="BE221" s="121"/>
      <c r="BF221" s="121"/>
    </row>
    <row r="222" spans="3:58" s="12" customFormat="1" x14ac:dyDescent="0.25">
      <c r="C222" s="121"/>
      <c r="D222" s="121"/>
      <c r="E222" s="121"/>
      <c r="F222" s="121"/>
      <c r="G222" s="121"/>
      <c r="H222" s="121"/>
      <c r="I222" s="121"/>
      <c r="J222" s="121"/>
      <c r="K222" s="121"/>
      <c r="L222" s="121"/>
      <c r="M222" s="146"/>
      <c r="N222" s="121"/>
      <c r="O222" s="121"/>
      <c r="P222" s="121"/>
      <c r="Q222" s="121"/>
      <c r="R222" s="121"/>
      <c r="S222" s="122"/>
      <c r="T222" s="122"/>
      <c r="U222" s="122"/>
      <c r="V222" s="122"/>
      <c r="W222" s="122"/>
      <c r="X222" s="122"/>
      <c r="Y222" s="122"/>
      <c r="Z222" s="122"/>
      <c r="AA222" s="122"/>
      <c r="AB222" s="122"/>
      <c r="AC222" s="122"/>
      <c r="AD222" s="122"/>
      <c r="AE222" s="122"/>
      <c r="AF222" s="122"/>
      <c r="AG222" s="122"/>
      <c r="AH222" s="122"/>
      <c r="AI222" s="122"/>
      <c r="AJ222" s="122"/>
      <c r="AK222" s="122"/>
      <c r="AL222" s="122"/>
      <c r="AM222" s="122"/>
      <c r="AN222" s="122"/>
      <c r="AP222" s="121"/>
      <c r="AQ222" s="121"/>
      <c r="AR222" s="121"/>
      <c r="AS222" s="121"/>
      <c r="AT222" s="121"/>
      <c r="AU222" s="121"/>
      <c r="AV222" s="121"/>
      <c r="AW222" s="121"/>
      <c r="AX222" s="121"/>
      <c r="AY222" s="121"/>
      <c r="AZ222" s="121"/>
      <c r="BA222" s="121"/>
      <c r="BB222" s="121"/>
      <c r="BC222" s="121"/>
      <c r="BD222" s="121"/>
      <c r="BE222" s="121"/>
      <c r="BF222" s="121"/>
    </row>
    <row r="223" spans="3:58" s="12" customFormat="1" x14ac:dyDescent="0.25">
      <c r="C223" s="121"/>
      <c r="D223" s="121"/>
      <c r="E223" s="121"/>
      <c r="F223" s="121"/>
      <c r="G223" s="121"/>
      <c r="H223" s="121"/>
      <c r="I223" s="121"/>
      <c r="J223" s="121"/>
      <c r="K223" s="121"/>
      <c r="L223" s="121"/>
      <c r="M223" s="146"/>
      <c r="N223" s="121"/>
      <c r="O223" s="121"/>
      <c r="P223" s="121"/>
      <c r="Q223" s="121"/>
      <c r="R223" s="121"/>
      <c r="S223" s="122"/>
      <c r="T223" s="122"/>
      <c r="U223" s="122"/>
      <c r="V223" s="122"/>
      <c r="W223" s="122"/>
      <c r="X223" s="122"/>
      <c r="Y223" s="122"/>
      <c r="Z223" s="122"/>
      <c r="AA223" s="122"/>
      <c r="AB223" s="122"/>
      <c r="AC223" s="122"/>
      <c r="AD223" s="122"/>
      <c r="AE223" s="122"/>
      <c r="AF223" s="122"/>
      <c r="AG223" s="122"/>
      <c r="AH223" s="122"/>
      <c r="AI223" s="122"/>
      <c r="AJ223" s="122"/>
      <c r="AK223" s="122"/>
      <c r="AL223" s="122"/>
      <c r="AM223" s="122"/>
      <c r="AN223" s="122"/>
      <c r="AP223" s="121"/>
      <c r="AQ223" s="121"/>
      <c r="AR223" s="121"/>
      <c r="AS223" s="121"/>
      <c r="AT223" s="121"/>
      <c r="AU223" s="121"/>
      <c r="AV223" s="121"/>
      <c r="AW223" s="121"/>
      <c r="AX223" s="121"/>
      <c r="AY223" s="121"/>
      <c r="AZ223" s="121"/>
      <c r="BA223" s="121"/>
      <c r="BB223" s="121"/>
      <c r="BC223" s="121"/>
      <c r="BD223" s="121"/>
      <c r="BE223" s="121"/>
      <c r="BF223" s="121"/>
    </row>
    <row r="224" spans="3:58" s="12" customFormat="1" x14ac:dyDescent="0.25">
      <c r="C224" s="121"/>
      <c r="D224" s="121"/>
      <c r="E224" s="121"/>
      <c r="F224" s="121"/>
      <c r="G224" s="121"/>
      <c r="H224" s="121"/>
      <c r="I224" s="121"/>
      <c r="J224" s="121"/>
      <c r="K224" s="121"/>
      <c r="L224" s="121"/>
      <c r="M224" s="146"/>
      <c r="N224" s="121"/>
      <c r="O224" s="121"/>
      <c r="P224" s="121"/>
      <c r="Q224" s="121"/>
      <c r="R224" s="121"/>
      <c r="S224" s="122"/>
      <c r="T224" s="122"/>
      <c r="U224" s="122"/>
      <c r="V224" s="122"/>
      <c r="W224" s="122"/>
      <c r="X224" s="122"/>
      <c r="Y224" s="122"/>
      <c r="Z224" s="122"/>
      <c r="AA224" s="122"/>
      <c r="AB224" s="122"/>
      <c r="AC224" s="122"/>
      <c r="AD224" s="122"/>
      <c r="AE224" s="122"/>
      <c r="AF224" s="122"/>
      <c r="AG224" s="122"/>
      <c r="AH224" s="122"/>
      <c r="AI224" s="122"/>
      <c r="AJ224" s="122"/>
      <c r="AK224" s="122"/>
      <c r="AL224" s="122"/>
      <c r="AM224" s="122"/>
      <c r="AN224" s="122"/>
      <c r="AP224" s="121"/>
      <c r="AQ224" s="121"/>
      <c r="AR224" s="121"/>
      <c r="AS224" s="121"/>
      <c r="AT224" s="121"/>
      <c r="AU224" s="121"/>
      <c r="AV224" s="121"/>
      <c r="AW224" s="121"/>
      <c r="AX224" s="121"/>
      <c r="AY224" s="121"/>
      <c r="AZ224" s="121"/>
      <c r="BA224" s="121"/>
      <c r="BB224" s="121"/>
      <c r="BC224" s="121"/>
      <c r="BD224" s="121"/>
      <c r="BE224" s="121"/>
      <c r="BF224" s="121"/>
    </row>
  </sheetData>
  <pageMargins left="0.7" right="0.7" top="0.75" bottom="0.75" header="0.3" footer="0.3"/>
  <pageSetup orientation="portrait" r:id="rId1"/>
  <drawing r:id="rId2"/>
  <legacyDrawing r:id="rId3"/>
  <controls>
    <mc:AlternateContent xmlns:mc="http://schemas.openxmlformats.org/markup-compatibility/2006">
      <mc:Choice Requires="x14">
        <control shapeId="61505" r:id="rId4" name="cmdGetCrop">
          <controlPr defaultSize="0" autoLine="0" r:id="rId5">
            <anchor moveWithCells="1">
              <from>
                <xdr:col>5</xdr:col>
                <xdr:colOff>47625</xdr:colOff>
                <xdr:row>0</xdr:row>
                <xdr:rowOff>247650</xdr:rowOff>
              </from>
              <to>
                <xdr:col>6</xdr:col>
                <xdr:colOff>466725</xdr:colOff>
                <xdr:row>2</xdr:row>
                <xdr:rowOff>9525</xdr:rowOff>
              </to>
            </anchor>
          </controlPr>
        </control>
      </mc:Choice>
      <mc:Fallback>
        <control shapeId="61505" r:id="rId4" name="cmdGetCrop"/>
      </mc:Fallback>
    </mc:AlternateContent>
    <mc:AlternateContent xmlns:mc="http://schemas.openxmlformats.org/markup-compatibility/2006">
      <mc:Choice Requires="x14">
        <control shapeId="61504" r:id="rId6" name="cmbBoxCrop">
          <controlPr defaultSize="0" autoLine="0" linkedCell="B4" r:id="rId7">
            <anchor moveWithCells="1">
              <from>
                <xdr:col>1</xdr:col>
                <xdr:colOff>19050</xdr:colOff>
                <xdr:row>1</xdr:row>
                <xdr:rowOff>19050</xdr:rowOff>
              </from>
              <to>
                <xdr:col>3</xdr:col>
                <xdr:colOff>57150</xdr:colOff>
                <xdr:row>2</xdr:row>
                <xdr:rowOff>9525</xdr:rowOff>
              </to>
            </anchor>
          </controlPr>
        </control>
      </mc:Choice>
      <mc:Fallback>
        <control shapeId="61504" r:id="rId6" name="cmbBoxCrop"/>
      </mc:Fallback>
    </mc:AlternateContent>
    <mc:AlternateContent xmlns:mc="http://schemas.openxmlformats.org/markup-compatibility/2006">
      <mc:Choice Requires="x14">
        <control shapeId="61441" r:id="rId8" name="cmdReadCrop">
          <controlPr defaultSize="0" autoLine="0" r:id="rId9">
            <anchor moveWithCells="1">
              <from>
                <xdr:col>6</xdr:col>
                <xdr:colOff>552450</xdr:colOff>
                <xdr:row>0</xdr:row>
                <xdr:rowOff>247650</xdr:rowOff>
              </from>
              <to>
                <xdr:col>8</xdr:col>
                <xdr:colOff>390525</xdr:colOff>
                <xdr:row>2</xdr:row>
                <xdr:rowOff>9525</xdr:rowOff>
              </to>
            </anchor>
          </controlPr>
        </control>
      </mc:Choice>
      <mc:Fallback>
        <control shapeId="61441" r:id="rId8" name="cmdReadCrop"/>
      </mc:Fallback>
    </mc:AlternateContent>
    <mc:AlternateContent xmlns:mc="http://schemas.openxmlformats.org/markup-compatibility/2006">
      <mc:Choice Requires="x14">
        <control shapeId="61442" r:id="rId10" name="cmdWriteCrop">
          <controlPr defaultSize="0" autoLine="0" r:id="rId11">
            <anchor moveWithCells="1">
              <from>
                <xdr:col>8</xdr:col>
                <xdr:colOff>409575</xdr:colOff>
                <xdr:row>0</xdr:row>
                <xdr:rowOff>247650</xdr:rowOff>
              </from>
              <to>
                <xdr:col>10</xdr:col>
                <xdr:colOff>247650</xdr:colOff>
                <xdr:row>2</xdr:row>
                <xdr:rowOff>9525</xdr:rowOff>
              </to>
            </anchor>
          </controlPr>
        </control>
      </mc:Choice>
      <mc:Fallback>
        <control shapeId="61442" r:id="rId10" name="cmdWriteCrop"/>
      </mc:Fallback>
    </mc:AlternateContent>
    <mc:AlternateContent xmlns:mc="http://schemas.openxmlformats.org/markup-compatibility/2006">
      <mc:Choice Requires="x14">
        <control shapeId="61443" r:id="rId12" name="cmdRun">
          <controlPr defaultSize="0" autoLine="0" r:id="rId13">
            <anchor moveWithCells="1">
              <from>
                <xdr:col>10</xdr:col>
                <xdr:colOff>323850</xdr:colOff>
                <xdr:row>0</xdr:row>
                <xdr:rowOff>247650</xdr:rowOff>
              </from>
              <to>
                <xdr:col>12</xdr:col>
                <xdr:colOff>171450</xdr:colOff>
                <xdr:row>2</xdr:row>
                <xdr:rowOff>9525</xdr:rowOff>
              </to>
            </anchor>
          </controlPr>
        </control>
      </mc:Choice>
      <mc:Fallback>
        <control shapeId="61443" r:id="rId12" name="cmdRu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AH93"/>
  <sheetViews>
    <sheetView workbookViewId="0">
      <pane ySplit="5" topLeftCell="A6" activePane="bottomLeft" state="frozen"/>
      <selection pane="bottomLeft" activeCell="F10" sqref="F10"/>
    </sheetView>
  </sheetViews>
  <sheetFormatPr defaultRowHeight="15" x14ac:dyDescent="0.25"/>
  <cols>
    <col min="1" max="1" width="12.140625" customWidth="1"/>
    <col min="2" max="2" width="10.5703125" style="33" bestFit="1" customWidth="1"/>
    <col min="3" max="11" width="9.140625" style="130"/>
  </cols>
  <sheetData>
    <row r="1" spans="1:11" ht="25.35" customHeight="1" x14ac:dyDescent="0.25">
      <c r="A1" s="129" t="s">
        <v>1141</v>
      </c>
      <c r="C1"/>
      <c r="D1"/>
      <c r="E1"/>
      <c r="F1"/>
      <c r="G1"/>
      <c r="H1"/>
      <c r="I1"/>
      <c r="J1"/>
      <c r="K1"/>
    </row>
    <row r="2" spans="1:11" ht="19.899999999999999" customHeight="1" x14ac:dyDescent="0.25">
      <c r="A2" s="32" t="s">
        <v>1033</v>
      </c>
      <c r="B2" s="114" t="s">
        <v>2267</v>
      </c>
      <c r="C2" s="114"/>
      <c r="D2" s="32"/>
      <c r="E2" s="115"/>
      <c r="F2"/>
      <c r="G2"/>
      <c r="H2"/>
      <c r="I2"/>
      <c r="J2"/>
      <c r="K2"/>
    </row>
    <row r="3" spans="1:11" ht="15.6" customHeight="1" x14ac:dyDescent="0.25">
      <c r="A3" s="123" t="s">
        <v>984</v>
      </c>
      <c r="B3" s="127" t="s">
        <v>1336</v>
      </c>
      <c r="C3" s="125" t="s">
        <v>985</v>
      </c>
      <c r="D3" s="114"/>
      <c r="E3"/>
      <c r="F3"/>
      <c r="G3"/>
      <c r="H3"/>
      <c r="I3"/>
      <c r="J3"/>
      <c r="K3"/>
    </row>
    <row r="4" spans="1:11" x14ac:dyDescent="0.25">
      <c r="A4" s="7">
        <v>1</v>
      </c>
      <c r="B4" s="34" t="s">
        <v>1076</v>
      </c>
      <c r="C4" s="7">
        <v>1</v>
      </c>
      <c r="D4" s="7">
        <v>2</v>
      </c>
      <c r="E4" s="7">
        <v>3</v>
      </c>
      <c r="F4" s="7">
        <v>4</v>
      </c>
      <c r="G4" s="7">
        <v>5</v>
      </c>
      <c r="H4" s="7">
        <v>6</v>
      </c>
      <c r="I4" s="7">
        <v>7</v>
      </c>
      <c r="J4" s="7">
        <v>8</v>
      </c>
      <c r="K4" s="7">
        <v>9</v>
      </c>
    </row>
    <row r="5" spans="1:11" s="6" customFormat="1" x14ac:dyDescent="0.25">
      <c r="A5" s="8" t="s">
        <v>200</v>
      </c>
      <c r="B5" s="35" t="s">
        <v>201</v>
      </c>
      <c r="C5" s="8" t="s">
        <v>202</v>
      </c>
      <c r="D5" s="8" t="s">
        <v>203</v>
      </c>
      <c r="E5" s="8" t="s">
        <v>204</v>
      </c>
      <c r="F5" s="8" t="s">
        <v>205</v>
      </c>
      <c r="G5" s="8" t="s">
        <v>206</v>
      </c>
      <c r="H5" s="8" t="s">
        <v>207</v>
      </c>
      <c r="I5" s="8" t="s">
        <v>208</v>
      </c>
      <c r="J5" s="8" t="s">
        <v>209</v>
      </c>
      <c r="K5" s="8" t="s">
        <v>210</v>
      </c>
    </row>
    <row r="6" spans="1:11" x14ac:dyDescent="0.25">
      <c r="A6">
        <v>1</v>
      </c>
      <c r="B6" s="33" t="s">
        <v>2434</v>
      </c>
      <c r="C6" s="130">
        <v>2.7000000000000001E-3</v>
      </c>
      <c r="D6" s="130">
        <v>1.8E-3</v>
      </c>
      <c r="E6" s="130">
        <v>0</v>
      </c>
      <c r="F6" s="130">
        <v>4.3200000000000002E-2</v>
      </c>
      <c r="G6" s="130">
        <v>4.0599999999999997E-2</v>
      </c>
      <c r="H6" s="130">
        <v>0.85</v>
      </c>
      <c r="I6" s="130">
        <v>0.57399999999999995</v>
      </c>
      <c r="J6" s="130">
        <v>0</v>
      </c>
      <c r="K6" s="130">
        <v>0</v>
      </c>
    </row>
    <row r="7" spans="1:11" x14ac:dyDescent="0.25">
      <c r="A7">
        <v>2</v>
      </c>
      <c r="B7" s="33" t="s">
        <v>2435</v>
      </c>
      <c r="C7" s="130">
        <v>5.1000000000000004E-3</v>
      </c>
      <c r="D7" s="130">
        <v>1.4E-3</v>
      </c>
      <c r="E7" s="130">
        <v>0</v>
      </c>
      <c r="F7" s="130">
        <v>2.87E-2</v>
      </c>
      <c r="G7" s="130">
        <v>3.7199999999999997E-2</v>
      </c>
      <c r="H7" s="130">
        <v>0.82</v>
      </c>
      <c r="I7" s="130">
        <v>0.34599999999999997</v>
      </c>
      <c r="J7" s="130">
        <v>0</v>
      </c>
      <c r="K7" s="130">
        <v>0</v>
      </c>
    </row>
    <row r="8" spans="1:11" x14ac:dyDescent="0.25">
      <c r="A8">
        <v>3</v>
      </c>
      <c r="B8" s="33" t="s">
        <v>2436</v>
      </c>
      <c r="C8" s="130">
        <v>7.4000000000000003E-3</v>
      </c>
      <c r="D8" s="130">
        <v>1.1000000000000001E-3</v>
      </c>
      <c r="E8" s="130">
        <v>0</v>
      </c>
      <c r="F8" s="130">
        <v>4.0800000000000003E-2</v>
      </c>
      <c r="G8" s="130">
        <v>2.3400000000000001E-2</v>
      </c>
      <c r="H8" s="130">
        <v>0.94699999999999995</v>
      </c>
      <c r="I8" s="130">
        <v>0</v>
      </c>
      <c r="J8" s="130">
        <v>0</v>
      </c>
      <c r="K8" s="130">
        <v>0</v>
      </c>
    </row>
    <row r="9" spans="1:11" x14ac:dyDescent="0.25">
      <c r="A9">
        <v>4</v>
      </c>
      <c r="B9" s="33" t="s">
        <v>2437</v>
      </c>
      <c r="C9" s="130">
        <v>4.7999999999999996E-3</v>
      </c>
      <c r="D9" s="130">
        <v>1.1000000000000001E-3</v>
      </c>
      <c r="E9" s="130">
        <v>0</v>
      </c>
      <c r="F9" s="130">
        <v>2.6800000000000001E-2</v>
      </c>
      <c r="G9" s="130">
        <v>2.6499999999999999E-2</v>
      </c>
      <c r="H9" s="130">
        <v>0.85099999999999998</v>
      </c>
      <c r="I9" s="130">
        <v>0</v>
      </c>
      <c r="J9" s="130">
        <v>0</v>
      </c>
      <c r="K9" s="130">
        <v>0</v>
      </c>
    </row>
    <row r="10" spans="1:11" x14ac:dyDescent="0.25">
      <c r="A10">
        <v>5</v>
      </c>
      <c r="B10" s="33" t="s">
        <v>2438</v>
      </c>
      <c r="C10" s="130">
        <v>2.4E-2</v>
      </c>
      <c r="D10" s="130">
        <v>8.0000000000000002E-3</v>
      </c>
      <c r="E10" s="130">
        <v>0</v>
      </c>
      <c r="F10" s="130">
        <v>0.01</v>
      </c>
      <c r="G10" s="130">
        <v>4.0000000000000001E-3</v>
      </c>
      <c r="H10" s="130">
        <v>0.99</v>
      </c>
      <c r="I10" s="130">
        <v>0.35</v>
      </c>
      <c r="J10" s="130">
        <v>0</v>
      </c>
      <c r="K10" s="130">
        <v>0</v>
      </c>
    </row>
    <row r="11" spans="1:11" x14ac:dyDescent="0.25">
      <c r="A11">
        <v>6</v>
      </c>
      <c r="B11" s="33" t="s">
        <v>2211</v>
      </c>
      <c r="C11" s="130">
        <v>1.2E-2</v>
      </c>
      <c r="D11" s="130">
        <v>4.0000000000000001E-3</v>
      </c>
      <c r="E11" s="130">
        <v>0</v>
      </c>
      <c r="F11" s="130">
        <v>2.1000000000000001E-2</v>
      </c>
      <c r="G11" s="130">
        <v>2E-3</v>
      </c>
      <c r="H11" s="130">
        <v>0.99</v>
      </c>
      <c r="I11" s="130">
        <v>0.35</v>
      </c>
      <c r="J11" s="130">
        <v>0</v>
      </c>
      <c r="K11" s="130">
        <v>1.2E-2</v>
      </c>
    </row>
    <row r="12" spans="1:11" ht="14.45" customHeight="1" x14ac:dyDescent="0.25">
      <c r="A12">
        <v>7</v>
      </c>
      <c r="B12" s="33" t="s">
        <v>2260</v>
      </c>
      <c r="C12" s="130">
        <v>2E-3</v>
      </c>
      <c r="D12" s="130">
        <v>7.0000000000000001E-3</v>
      </c>
      <c r="E12" s="130">
        <v>0</v>
      </c>
      <c r="F12" s="130">
        <v>2.1999999999999999E-2</v>
      </c>
      <c r="G12" s="130">
        <v>4.0000000000000001E-3</v>
      </c>
      <c r="H12" s="130">
        <v>0.97199999999999998</v>
      </c>
      <c r="I12" s="130">
        <v>0.42</v>
      </c>
      <c r="J12" s="130">
        <v>0</v>
      </c>
      <c r="K12" s="130">
        <v>0</v>
      </c>
    </row>
    <row r="13" spans="1:11" x14ac:dyDescent="0.25">
      <c r="A13">
        <v>8</v>
      </c>
      <c r="B13" s="33" t="s">
        <v>2212</v>
      </c>
      <c r="C13" s="130">
        <v>0.7</v>
      </c>
      <c r="D13" s="130">
        <v>0.15</v>
      </c>
      <c r="E13" s="130">
        <v>0</v>
      </c>
      <c r="F13" s="130">
        <v>0.08</v>
      </c>
      <c r="G13" s="130">
        <v>7.0000000000000007E-2</v>
      </c>
      <c r="H13" s="130">
        <v>0.9</v>
      </c>
      <c r="I13" s="130">
        <v>0.35</v>
      </c>
      <c r="J13" s="130">
        <v>0</v>
      </c>
      <c r="K13" s="130">
        <v>1.2E-2</v>
      </c>
    </row>
    <row r="14" spans="1:11" x14ac:dyDescent="0.25">
      <c r="A14">
        <v>9</v>
      </c>
      <c r="B14" s="33" t="s">
        <v>2213</v>
      </c>
      <c r="C14" s="130">
        <v>4.9000000000000002E-2</v>
      </c>
      <c r="D14" s="130">
        <v>8.2000000000000003E-2</v>
      </c>
      <c r="E14" s="130">
        <v>0</v>
      </c>
      <c r="F14" s="130">
        <v>0.64800000000000002</v>
      </c>
      <c r="G14" s="130">
        <v>0.221</v>
      </c>
      <c r="H14" s="130">
        <v>0.97199999999999998</v>
      </c>
      <c r="I14" s="130">
        <v>0.35</v>
      </c>
      <c r="J14" s="130">
        <v>0</v>
      </c>
      <c r="K14" s="130">
        <v>1.2E-2</v>
      </c>
    </row>
    <row r="15" spans="1:11" x14ac:dyDescent="0.25">
      <c r="A15">
        <v>10</v>
      </c>
      <c r="B15" s="33" t="s">
        <v>2214</v>
      </c>
      <c r="C15" s="130">
        <v>0.56599999999999995</v>
      </c>
      <c r="D15" s="130">
        <v>0.09</v>
      </c>
      <c r="E15" s="130">
        <v>0</v>
      </c>
      <c r="F15" s="130">
        <v>0.10199999999999999</v>
      </c>
      <c r="G15" s="130">
        <v>0.24199999999999999</v>
      </c>
      <c r="H15" s="130">
        <v>0.98699999999999999</v>
      </c>
      <c r="I15" s="130">
        <v>0.35</v>
      </c>
      <c r="J15" s="130">
        <v>0</v>
      </c>
      <c r="K15" s="130">
        <v>1.2E-2</v>
      </c>
    </row>
    <row r="16" spans="1:11" x14ac:dyDescent="0.25">
      <c r="A16">
        <v>11</v>
      </c>
      <c r="B16" s="33" t="s">
        <v>2215</v>
      </c>
      <c r="C16" s="130">
        <v>1.9E-2</v>
      </c>
      <c r="D16" s="130">
        <v>0.01</v>
      </c>
      <c r="E16" s="130">
        <v>0</v>
      </c>
      <c r="F16" s="130">
        <v>3.7999999999999999E-2</v>
      </c>
      <c r="G16" s="130">
        <v>5.0000000000000001E-3</v>
      </c>
      <c r="H16" s="130">
        <v>0.99</v>
      </c>
      <c r="I16" s="130">
        <v>0.35</v>
      </c>
      <c r="J16" s="130">
        <v>0</v>
      </c>
      <c r="K16" s="130">
        <v>1.2E-2</v>
      </c>
    </row>
    <row r="17" spans="1:11" x14ac:dyDescent="0.25">
      <c r="A17">
        <v>12</v>
      </c>
      <c r="B17" s="33" t="s">
        <v>2216</v>
      </c>
      <c r="C17" s="130">
        <v>2.1000000000000001E-2</v>
      </c>
      <c r="D17" s="130">
        <v>1.6E-2</v>
      </c>
      <c r="E17" s="130">
        <v>0</v>
      </c>
      <c r="F17" s="130">
        <v>0.04</v>
      </c>
      <c r="G17" s="130">
        <v>7.0000000000000001E-3</v>
      </c>
      <c r="H17" s="130">
        <v>0.99</v>
      </c>
      <c r="I17" s="130">
        <v>0.35</v>
      </c>
      <c r="J17" s="130">
        <v>0</v>
      </c>
      <c r="K17" s="130">
        <v>1.2E-2</v>
      </c>
    </row>
    <row r="18" spans="1:11" x14ac:dyDescent="0.25">
      <c r="A18">
        <v>13</v>
      </c>
      <c r="B18" s="33" t="s">
        <v>2217</v>
      </c>
      <c r="C18" s="130">
        <v>1.2999999999999999E-2</v>
      </c>
      <c r="D18" s="130">
        <v>6.0000000000000001E-3</v>
      </c>
      <c r="E18" s="130">
        <v>0</v>
      </c>
      <c r="F18" s="130">
        <v>2.3E-2</v>
      </c>
      <c r="G18" s="130">
        <v>3.0000000000000001E-3</v>
      </c>
      <c r="H18" s="130">
        <v>0.99</v>
      </c>
      <c r="I18" s="130">
        <v>0.35</v>
      </c>
      <c r="J18" s="130">
        <v>0</v>
      </c>
      <c r="K18" s="130">
        <v>1.2E-2</v>
      </c>
    </row>
    <row r="19" spans="1:11" x14ac:dyDescent="0.25">
      <c r="A19">
        <v>14</v>
      </c>
      <c r="B19" s="33" t="s">
        <v>2218</v>
      </c>
      <c r="C19" s="130">
        <v>0.01</v>
      </c>
      <c r="D19" s="130">
        <v>0.01</v>
      </c>
      <c r="E19" s="130">
        <v>0</v>
      </c>
      <c r="F19" s="130">
        <v>0.01</v>
      </c>
      <c r="G19" s="130">
        <v>7.0000000000000001E-3</v>
      </c>
      <c r="H19" s="130">
        <v>0.99</v>
      </c>
      <c r="I19" s="130">
        <v>0.35</v>
      </c>
      <c r="J19" s="130">
        <v>0</v>
      </c>
      <c r="K19" s="130">
        <v>0</v>
      </c>
    </row>
    <row r="20" spans="1:11" x14ac:dyDescent="0.25">
      <c r="A20">
        <v>15</v>
      </c>
      <c r="B20" s="33" t="s">
        <v>2219</v>
      </c>
      <c r="C20" s="130">
        <v>0.01</v>
      </c>
      <c r="D20" s="130">
        <v>0.01</v>
      </c>
      <c r="E20" s="130">
        <v>0</v>
      </c>
      <c r="F20" s="130">
        <v>0.01</v>
      </c>
      <c r="G20" s="130">
        <v>7.0000000000000001E-3</v>
      </c>
      <c r="H20" s="130">
        <v>0.99</v>
      </c>
      <c r="I20" s="130">
        <v>0.35</v>
      </c>
      <c r="J20" s="130">
        <v>0</v>
      </c>
      <c r="K20" s="130">
        <v>1.2E-2</v>
      </c>
    </row>
    <row r="21" spans="1:11" x14ac:dyDescent="0.25">
      <c r="A21">
        <v>16</v>
      </c>
      <c r="B21" s="33" t="s">
        <v>2220</v>
      </c>
      <c r="C21" s="130">
        <v>6.0000000000000001E-3</v>
      </c>
      <c r="D21" s="130">
        <v>0.01</v>
      </c>
      <c r="E21" s="130">
        <v>0</v>
      </c>
      <c r="F21" s="130">
        <v>5.3999999999999999E-2</v>
      </c>
      <c r="G21" s="130">
        <v>7.0000000000000001E-3</v>
      </c>
      <c r="H21" s="130">
        <v>0.99</v>
      </c>
      <c r="I21" s="130">
        <v>0.35</v>
      </c>
      <c r="J21" s="130">
        <v>0</v>
      </c>
      <c r="K21" s="130">
        <v>1.2E-2</v>
      </c>
    </row>
    <row r="22" spans="1:11" x14ac:dyDescent="0.25">
      <c r="A22">
        <v>17</v>
      </c>
      <c r="B22" s="33" t="s">
        <v>2221</v>
      </c>
      <c r="C22" s="130">
        <v>3.0000000000000001E-3</v>
      </c>
      <c r="D22" s="130">
        <v>5.0000000000000001E-3</v>
      </c>
      <c r="E22" s="130">
        <v>0</v>
      </c>
      <c r="F22" s="130">
        <v>2.7E-2</v>
      </c>
      <c r="G22" s="130">
        <v>2E-3</v>
      </c>
      <c r="H22" s="130">
        <v>0.99</v>
      </c>
      <c r="I22" s="130">
        <v>0.35</v>
      </c>
      <c r="J22" s="130">
        <v>0</v>
      </c>
      <c r="K22" s="130">
        <v>1.2E-2</v>
      </c>
    </row>
    <row r="23" spans="1:11" x14ac:dyDescent="0.25">
      <c r="A23">
        <v>18</v>
      </c>
      <c r="B23" s="33" t="s">
        <v>2222</v>
      </c>
      <c r="C23" s="130">
        <v>3.0000000000000001E-3</v>
      </c>
      <c r="D23" s="130">
        <v>0.01</v>
      </c>
      <c r="E23" s="130">
        <v>0</v>
      </c>
      <c r="F23" s="130">
        <v>2.7E-2</v>
      </c>
      <c r="G23" s="130">
        <v>6.0000000000000001E-3</v>
      </c>
      <c r="H23" s="130">
        <v>0.99</v>
      </c>
      <c r="I23" s="130">
        <v>0.35</v>
      </c>
      <c r="J23" s="130">
        <v>0</v>
      </c>
      <c r="K23" s="130">
        <v>1.2E-2</v>
      </c>
    </row>
    <row r="24" spans="1:11" x14ac:dyDescent="0.25">
      <c r="A24">
        <v>19</v>
      </c>
      <c r="B24" s="33" t="s">
        <v>2223</v>
      </c>
      <c r="C24" s="130">
        <v>5.0000000000000001E-3</v>
      </c>
      <c r="D24" s="130">
        <v>0.01</v>
      </c>
      <c r="E24" s="130">
        <v>0</v>
      </c>
      <c r="F24" s="130">
        <v>4.4999999999999998E-2</v>
      </c>
      <c r="G24" s="130">
        <v>7.0000000000000001E-3</v>
      </c>
      <c r="H24" s="130">
        <v>0.99</v>
      </c>
      <c r="I24" s="130">
        <v>0.35</v>
      </c>
      <c r="J24" s="130">
        <v>0</v>
      </c>
      <c r="K24" s="130">
        <v>1.2E-2</v>
      </c>
    </row>
    <row r="25" spans="1:11" x14ac:dyDescent="0.25">
      <c r="A25">
        <v>20</v>
      </c>
      <c r="B25" s="33" t="s">
        <v>2224</v>
      </c>
      <c r="C25" s="130">
        <v>3.0000000000000001E-3</v>
      </c>
      <c r="D25" s="130">
        <v>0.01</v>
      </c>
      <c r="E25" s="130">
        <v>0</v>
      </c>
      <c r="F25" s="130">
        <v>2.7E-2</v>
      </c>
      <c r="G25" s="130">
        <v>5.0000000000000001E-3</v>
      </c>
      <c r="H25" s="130">
        <v>0.99</v>
      </c>
      <c r="I25" s="130">
        <v>0.35</v>
      </c>
      <c r="J25" s="130">
        <v>0</v>
      </c>
      <c r="K25" s="130">
        <v>1.2E-2</v>
      </c>
    </row>
    <row r="26" spans="1:11" x14ac:dyDescent="0.25">
      <c r="A26">
        <v>21</v>
      </c>
      <c r="B26" s="33" t="s">
        <v>2225</v>
      </c>
      <c r="C26" s="130">
        <v>6.0000000000000001E-3</v>
      </c>
      <c r="D26" s="130">
        <v>0.01</v>
      </c>
      <c r="E26" s="130">
        <v>0</v>
      </c>
      <c r="F26" s="130">
        <v>5.3999999999999999E-2</v>
      </c>
      <c r="G26" s="130">
        <v>7.0000000000000001E-3</v>
      </c>
      <c r="H26" s="130">
        <v>0.99</v>
      </c>
      <c r="I26" s="130">
        <v>0.35</v>
      </c>
      <c r="J26" s="130">
        <v>0</v>
      </c>
      <c r="K26" s="130">
        <v>1.2E-2</v>
      </c>
    </row>
    <row r="27" spans="1:11" x14ac:dyDescent="0.25">
      <c r="A27">
        <v>22</v>
      </c>
      <c r="B27" s="33" t="s">
        <v>2226</v>
      </c>
      <c r="C27" s="130">
        <v>4.0000000000000001E-3</v>
      </c>
      <c r="D27" s="130">
        <v>0.01</v>
      </c>
      <c r="E27" s="130">
        <v>0</v>
      </c>
      <c r="F27" s="130">
        <v>0.04</v>
      </c>
      <c r="G27" s="130">
        <v>7.0000000000000001E-3</v>
      </c>
      <c r="H27" s="130">
        <v>0.99</v>
      </c>
      <c r="I27" s="130">
        <v>0.35</v>
      </c>
      <c r="J27" s="130">
        <v>0</v>
      </c>
      <c r="K27" s="130">
        <v>1.2E-2</v>
      </c>
    </row>
    <row r="28" spans="1:11" x14ac:dyDescent="0.25">
      <c r="A28">
        <v>23</v>
      </c>
      <c r="B28" s="33" t="s">
        <v>2227</v>
      </c>
      <c r="C28" s="130">
        <v>4.0000000000000001E-3</v>
      </c>
      <c r="D28" s="130">
        <v>0.01</v>
      </c>
      <c r="E28" s="130">
        <v>0</v>
      </c>
      <c r="F28" s="130">
        <v>0.04</v>
      </c>
      <c r="G28" s="130">
        <v>7.0000000000000001E-3</v>
      </c>
      <c r="H28" s="130">
        <v>0.99</v>
      </c>
      <c r="I28" s="130">
        <v>0.35</v>
      </c>
      <c r="J28" s="130">
        <v>0</v>
      </c>
      <c r="K28" s="130">
        <v>1.2E-2</v>
      </c>
    </row>
    <row r="29" spans="1:11" x14ac:dyDescent="0.25">
      <c r="A29">
        <v>24</v>
      </c>
      <c r="B29" s="33" t="s">
        <v>2228</v>
      </c>
      <c r="C29" s="130">
        <v>0.02</v>
      </c>
      <c r="D29" s="130">
        <v>0.01</v>
      </c>
      <c r="E29" s="130">
        <v>0</v>
      </c>
      <c r="F29" s="130">
        <v>0.02</v>
      </c>
      <c r="G29" s="130">
        <v>7.0000000000000001E-3</v>
      </c>
      <c r="H29" s="130">
        <v>0.99</v>
      </c>
      <c r="I29" s="130">
        <v>0.35</v>
      </c>
      <c r="J29" s="130">
        <v>0</v>
      </c>
      <c r="K29" s="130">
        <v>1.2E-2</v>
      </c>
    </row>
    <row r="30" spans="1:11" x14ac:dyDescent="0.25">
      <c r="A30">
        <v>25</v>
      </c>
      <c r="B30" s="33" t="s">
        <v>2229</v>
      </c>
      <c r="C30" s="130">
        <v>0.02</v>
      </c>
      <c r="D30" s="130">
        <v>0.01</v>
      </c>
      <c r="E30" s="130">
        <v>0</v>
      </c>
      <c r="F30" s="130">
        <v>0.02</v>
      </c>
      <c r="G30" s="130">
        <v>7.0000000000000001E-3</v>
      </c>
      <c r="H30" s="130">
        <v>0.99</v>
      </c>
      <c r="I30" s="130">
        <v>0.35</v>
      </c>
      <c r="J30" s="130">
        <v>0</v>
      </c>
      <c r="K30" s="130">
        <v>1.2E-2</v>
      </c>
    </row>
    <row r="31" spans="1:11" x14ac:dyDescent="0.25">
      <c r="A31">
        <v>26</v>
      </c>
      <c r="B31" s="33" t="s">
        <v>2230</v>
      </c>
      <c r="C31" s="130">
        <v>1.7999999999999999E-2</v>
      </c>
      <c r="D31" s="130">
        <v>7.0000000000000001E-3</v>
      </c>
      <c r="E31" s="130">
        <v>0</v>
      </c>
      <c r="F31" s="130">
        <v>3.5000000000000003E-2</v>
      </c>
      <c r="G31" s="130">
        <v>3.0000000000000001E-3</v>
      </c>
      <c r="H31" s="130">
        <v>0.99</v>
      </c>
      <c r="I31" s="130">
        <v>0.35</v>
      </c>
      <c r="J31" s="130">
        <v>0</v>
      </c>
      <c r="K31" s="130">
        <v>1.2E-2</v>
      </c>
    </row>
    <row r="32" spans="1:11" x14ac:dyDescent="0.25">
      <c r="A32">
        <v>27</v>
      </c>
      <c r="B32" s="33" t="s">
        <v>2231</v>
      </c>
      <c r="C32" s="130">
        <v>1</v>
      </c>
      <c r="D32" s="130">
        <v>1</v>
      </c>
      <c r="E32" s="130">
        <v>1</v>
      </c>
      <c r="F32" s="130">
        <v>1</v>
      </c>
      <c r="G32" s="130">
        <v>1</v>
      </c>
      <c r="H32" s="130">
        <v>1</v>
      </c>
      <c r="I32" s="130">
        <v>1</v>
      </c>
      <c r="J32" s="130">
        <v>0</v>
      </c>
      <c r="K32" s="130">
        <v>0.1</v>
      </c>
    </row>
    <row r="33" spans="1:11" x14ac:dyDescent="0.25">
      <c r="A33">
        <v>28</v>
      </c>
      <c r="B33" s="33" t="s">
        <v>2434</v>
      </c>
      <c r="C33" s="130">
        <v>3.0000000000000001E-3</v>
      </c>
      <c r="D33" s="130">
        <v>2E-3</v>
      </c>
      <c r="E33" s="130">
        <v>0</v>
      </c>
      <c r="F33" s="130">
        <v>4.2999999999999997E-2</v>
      </c>
      <c r="G33" s="130">
        <v>4.1000000000000002E-2</v>
      </c>
      <c r="H33" s="130">
        <v>0.85</v>
      </c>
      <c r="I33" s="130">
        <v>0.56000000000000005</v>
      </c>
      <c r="J33" s="130">
        <v>0</v>
      </c>
      <c r="K33" s="130">
        <v>0</v>
      </c>
    </row>
    <row r="34" spans="1:11" x14ac:dyDescent="0.25">
      <c r="A34">
        <v>29</v>
      </c>
      <c r="B34" s="33" t="s">
        <v>2435</v>
      </c>
      <c r="C34" s="130">
        <v>5.0000000000000001E-3</v>
      </c>
      <c r="D34" s="130">
        <v>1E-3</v>
      </c>
      <c r="E34" s="130">
        <v>0</v>
      </c>
      <c r="F34" s="130">
        <v>2.9000000000000001E-2</v>
      </c>
      <c r="G34" s="130">
        <v>3.6999999999999998E-2</v>
      </c>
      <c r="H34" s="130">
        <v>0.82</v>
      </c>
      <c r="I34" s="130">
        <v>0.35</v>
      </c>
      <c r="J34" s="130">
        <v>0</v>
      </c>
      <c r="K34" s="130">
        <v>0</v>
      </c>
    </row>
    <row r="35" spans="1:11" x14ac:dyDescent="0.25">
      <c r="A35">
        <v>30</v>
      </c>
      <c r="B35" s="33" t="s">
        <v>2436</v>
      </c>
      <c r="C35" s="130">
        <v>7.0000000000000001E-3</v>
      </c>
      <c r="D35" s="130">
        <v>1E-3</v>
      </c>
      <c r="E35" s="130">
        <v>0</v>
      </c>
      <c r="F35" s="130">
        <v>4.1000000000000002E-2</v>
      </c>
      <c r="G35" s="130">
        <v>2.3E-2</v>
      </c>
      <c r="H35" s="130">
        <v>0.94699999999999995</v>
      </c>
      <c r="I35" s="130">
        <v>0.3</v>
      </c>
      <c r="J35" s="130">
        <v>0</v>
      </c>
      <c r="K35" s="130">
        <v>0</v>
      </c>
    </row>
    <row r="36" spans="1:11" x14ac:dyDescent="0.25">
      <c r="A36">
        <v>31</v>
      </c>
      <c r="B36" s="33" t="s">
        <v>2232</v>
      </c>
      <c r="C36" s="130">
        <v>0.11</v>
      </c>
      <c r="D36" s="130">
        <v>0.20100000000000001</v>
      </c>
      <c r="E36" s="130">
        <v>0</v>
      </c>
      <c r="F36" s="130">
        <v>0</v>
      </c>
      <c r="G36" s="130">
        <v>0</v>
      </c>
      <c r="H36" s="130">
        <v>0</v>
      </c>
      <c r="I36" s="130">
        <v>0</v>
      </c>
      <c r="J36" s="130">
        <v>0</v>
      </c>
      <c r="K36" s="130">
        <v>0.32500000000000001</v>
      </c>
    </row>
    <row r="37" spans="1:11" x14ac:dyDescent="0.25">
      <c r="A37">
        <v>32</v>
      </c>
      <c r="B37" s="33" t="s">
        <v>2233</v>
      </c>
      <c r="C37" s="130">
        <v>0.14000000000000001</v>
      </c>
      <c r="D37" s="130">
        <v>0.20100000000000001</v>
      </c>
      <c r="E37" s="130">
        <v>0</v>
      </c>
      <c r="F37" s="130">
        <v>0</v>
      </c>
      <c r="G37" s="130">
        <v>0</v>
      </c>
      <c r="H37" s="130">
        <v>0</v>
      </c>
      <c r="I37" s="130">
        <v>0</v>
      </c>
      <c r="J37" s="130">
        <v>0</v>
      </c>
      <c r="K37" s="130">
        <v>0.29799999999999999</v>
      </c>
    </row>
    <row r="38" spans="1:11" x14ac:dyDescent="0.25">
      <c r="A38">
        <v>33</v>
      </c>
      <c r="B38" s="33" t="s">
        <v>2234</v>
      </c>
      <c r="C38" s="130">
        <v>0.16</v>
      </c>
      <c r="D38" s="130">
        <v>0</v>
      </c>
      <c r="E38" s="130">
        <v>0</v>
      </c>
      <c r="F38" s="130">
        <v>0</v>
      </c>
      <c r="G38" s="130">
        <v>0</v>
      </c>
      <c r="H38" s="130">
        <v>0</v>
      </c>
      <c r="I38" s="130">
        <v>0</v>
      </c>
      <c r="J38" s="130">
        <v>0</v>
      </c>
      <c r="K38" s="130">
        <v>0.26100000000000001</v>
      </c>
    </row>
    <row r="39" spans="1:11" x14ac:dyDescent="0.25">
      <c r="A39">
        <v>34</v>
      </c>
      <c r="B39" s="33" t="s">
        <v>2235</v>
      </c>
      <c r="C39" s="130">
        <v>0.16</v>
      </c>
      <c r="D39" s="130">
        <v>8.7999999999999995E-2</v>
      </c>
      <c r="E39" s="130">
        <v>0</v>
      </c>
      <c r="F39" s="130">
        <v>0</v>
      </c>
      <c r="G39" s="130">
        <v>0</v>
      </c>
      <c r="H39" s="130">
        <v>0</v>
      </c>
      <c r="I39" s="130">
        <v>0</v>
      </c>
      <c r="J39" s="130">
        <v>0</v>
      </c>
      <c r="K39" s="130">
        <v>0.27600000000000002</v>
      </c>
    </row>
    <row r="40" spans="1:11" x14ac:dyDescent="0.25">
      <c r="A40">
        <v>35</v>
      </c>
      <c r="B40" s="33" t="s">
        <v>2235</v>
      </c>
      <c r="C40" s="130">
        <v>0.16</v>
      </c>
      <c r="D40" s="130">
        <v>8.7999999999999995E-2</v>
      </c>
      <c r="E40" s="130">
        <v>0</v>
      </c>
      <c r="F40" s="130">
        <v>0</v>
      </c>
      <c r="G40" s="130">
        <v>0</v>
      </c>
      <c r="H40" s="130">
        <v>0</v>
      </c>
      <c r="I40" s="130">
        <v>0</v>
      </c>
      <c r="J40" s="130">
        <v>0</v>
      </c>
      <c r="K40" s="130">
        <v>0.27600000000000002</v>
      </c>
    </row>
    <row r="41" spans="1:11" x14ac:dyDescent="0.25">
      <c r="A41">
        <v>36</v>
      </c>
      <c r="B41" s="33" t="s">
        <v>2236</v>
      </c>
      <c r="C41" s="130">
        <v>0.18</v>
      </c>
      <c r="D41" s="130">
        <v>7.9000000000000001E-2</v>
      </c>
      <c r="E41" s="130">
        <v>0</v>
      </c>
      <c r="F41" s="130">
        <v>0</v>
      </c>
      <c r="G41" s="130">
        <v>0</v>
      </c>
      <c r="H41" s="130">
        <v>0</v>
      </c>
      <c r="I41" s="130">
        <v>0</v>
      </c>
      <c r="J41" s="130">
        <v>0</v>
      </c>
      <c r="K41" s="130">
        <v>0.17699999999999999</v>
      </c>
    </row>
    <row r="42" spans="1:11" x14ac:dyDescent="0.25">
      <c r="A42">
        <v>37</v>
      </c>
      <c r="B42" s="33" t="s">
        <v>2237</v>
      </c>
      <c r="C42" s="130">
        <v>0.18</v>
      </c>
      <c r="D42" s="130">
        <v>0.2</v>
      </c>
      <c r="E42" s="130">
        <v>0</v>
      </c>
      <c r="F42" s="130">
        <v>0</v>
      </c>
      <c r="G42" s="130">
        <v>0</v>
      </c>
      <c r="H42" s="130">
        <v>0</v>
      </c>
      <c r="I42" s="130">
        <v>0</v>
      </c>
      <c r="J42" s="130">
        <v>0</v>
      </c>
      <c r="K42" s="130">
        <v>0.27300000000000002</v>
      </c>
    </row>
    <row r="43" spans="1:11" x14ac:dyDescent="0.25">
      <c r="A43">
        <v>38</v>
      </c>
      <c r="B43" s="33" t="s">
        <v>2238</v>
      </c>
      <c r="C43" s="130">
        <v>0.19</v>
      </c>
      <c r="D43" s="130">
        <v>0</v>
      </c>
      <c r="E43" s="130">
        <v>0</v>
      </c>
      <c r="F43" s="130">
        <v>0</v>
      </c>
      <c r="G43" s="130">
        <v>0</v>
      </c>
      <c r="H43" s="130">
        <v>0</v>
      </c>
      <c r="I43" s="130">
        <v>0</v>
      </c>
      <c r="J43" s="130">
        <v>0</v>
      </c>
      <c r="K43" s="130">
        <v>9.8000000000000004E-2</v>
      </c>
    </row>
    <row r="44" spans="1:11" x14ac:dyDescent="0.25">
      <c r="A44">
        <v>39</v>
      </c>
      <c r="B44" s="33" t="s">
        <v>2239</v>
      </c>
      <c r="C44" s="130">
        <v>0.2</v>
      </c>
      <c r="D44" s="130">
        <v>0</v>
      </c>
      <c r="E44" s="130">
        <v>0</v>
      </c>
      <c r="F44" s="130">
        <v>0</v>
      </c>
      <c r="G44" s="130">
        <v>0</v>
      </c>
      <c r="H44" s="130">
        <v>0</v>
      </c>
      <c r="I44" s="130">
        <v>0</v>
      </c>
      <c r="J44" s="130">
        <v>0</v>
      </c>
      <c r="K44" s="130">
        <v>0.3</v>
      </c>
    </row>
    <row r="45" spans="1:11" x14ac:dyDescent="0.25">
      <c r="A45">
        <v>40</v>
      </c>
      <c r="B45" s="33" t="s">
        <v>2239</v>
      </c>
      <c r="C45" s="130">
        <v>0.2</v>
      </c>
      <c r="D45" s="130">
        <v>0</v>
      </c>
      <c r="E45" s="130">
        <v>0</v>
      </c>
      <c r="F45" s="130">
        <v>0</v>
      </c>
      <c r="G45" s="130">
        <v>0</v>
      </c>
      <c r="H45" s="130">
        <v>0</v>
      </c>
      <c r="I45" s="130">
        <v>0</v>
      </c>
      <c r="J45" s="130">
        <v>0</v>
      </c>
      <c r="K45" s="130">
        <v>0.20499999999999999</v>
      </c>
    </row>
    <row r="46" spans="1:11" x14ac:dyDescent="0.25">
      <c r="A46">
        <v>41</v>
      </c>
      <c r="B46" s="33" t="s">
        <v>2239</v>
      </c>
      <c r="C46" s="130">
        <v>0.2</v>
      </c>
      <c r="D46" s="130">
        <v>0</v>
      </c>
      <c r="E46" s="130">
        <v>0</v>
      </c>
      <c r="F46" s="130">
        <v>0</v>
      </c>
      <c r="G46" s="130">
        <v>0</v>
      </c>
      <c r="H46" s="130">
        <v>0</v>
      </c>
      <c r="I46" s="130">
        <v>0</v>
      </c>
      <c r="J46" s="130">
        <v>0</v>
      </c>
      <c r="K46" s="130">
        <v>0.158</v>
      </c>
    </row>
    <row r="47" spans="1:11" x14ac:dyDescent="0.25">
      <c r="A47">
        <v>42</v>
      </c>
      <c r="B47" s="33" t="s">
        <v>2240</v>
      </c>
      <c r="C47" s="130">
        <v>0.2</v>
      </c>
      <c r="D47" s="130">
        <v>4.3999999999999997E-2</v>
      </c>
      <c r="E47" s="130">
        <v>8.3000000000000004E-2</v>
      </c>
      <c r="F47" s="130">
        <v>0</v>
      </c>
      <c r="G47" s="130">
        <v>0</v>
      </c>
      <c r="H47" s="130">
        <v>0</v>
      </c>
      <c r="I47" s="130">
        <v>0</v>
      </c>
      <c r="J47" s="130">
        <v>0</v>
      </c>
      <c r="K47" s="130">
        <v>0.223</v>
      </c>
    </row>
    <row r="48" spans="1:11" x14ac:dyDescent="0.25">
      <c r="A48">
        <v>43</v>
      </c>
      <c r="B48" s="33" t="s">
        <v>2241</v>
      </c>
      <c r="C48" s="130">
        <v>0.21</v>
      </c>
      <c r="D48" s="130">
        <v>0</v>
      </c>
      <c r="E48" s="130">
        <v>0</v>
      </c>
      <c r="F48" s="130">
        <v>0</v>
      </c>
      <c r="G48" s="130">
        <v>0</v>
      </c>
      <c r="H48" s="130">
        <v>0</v>
      </c>
      <c r="I48" s="130">
        <v>0</v>
      </c>
      <c r="J48" s="130">
        <v>0</v>
      </c>
      <c r="K48" s="130">
        <v>0.254</v>
      </c>
    </row>
    <row r="49" spans="1:11" x14ac:dyDescent="0.25">
      <c r="A49">
        <v>44</v>
      </c>
      <c r="B49" s="33" t="s">
        <v>2242</v>
      </c>
      <c r="C49" s="130">
        <v>0.22</v>
      </c>
      <c r="D49" s="130">
        <v>0</v>
      </c>
      <c r="E49" s="130">
        <v>0</v>
      </c>
      <c r="F49" s="130">
        <v>0</v>
      </c>
      <c r="G49" s="130">
        <v>0</v>
      </c>
      <c r="H49" s="130">
        <v>0</v>
      </c>
      <c r="I49" s="130">
        <v>0</v>
      </c>
      <c r="J49" s="130">
        <v>0</v>
      </c>
      <c r="K49" s="130">
        <v>0.155</v>
      </c>
    </row>
    <row r="50" spans="1:11" x14ac:dyDescent="0.25">
      <c r="A50">
        <v>45</v>
      </c>
      <c r="B50" s="33" t="s">
        <v>2243</v>
      </c>
      <c r="C50" s="130">
        <v>0.23</v>
      </c>
      <c r="D50" s="130">
        <v>0</v>
      </c>
      <c r="E50" s="130">
        <v>0</v>
      </c>
      <c r="F50" s="130">
        <v>0</v>
      </c>
      <c r="G50" s="130">
        <v>0</v>
      </c>
      <c r="H50" s="130">
        <v>0</v>
      </c>
      <c r="I50" s="130">
        <v>0</v>
      </c>
      <c r="J50" s="130">
        <v>0</v>
      </c>
      <c r="K50" s="130">
        <v>0.17299999999999999</v>
      </c>
    </row>
    <row r="51" spans="1:11" x14ac:dyDescent="0.25">
      <c r="A51">
        <v>46</v>
      </c>
      <c r="B51" s="33" t="s">
        <v>2244</v>
      </c>
      <c r="C51" s="130">
        <v>0.26</v>
      </c>
      <c r="D51" s="130">
        <v>0</v>
      </c>
      <c r="E51" s="130">
        <v>0</v>
      </c>
      <c r="F51" s="130">
        <v>0</v>
      </c>
      <c r="G51" s="130">
        <v>0</v>
      </c>
      <c r="H51" s="130">
        <v>0</v>
      </c>
      <c r="I51" s="130">
        <v>0</v>
      </c>
      <c r="J51" s="130">
        <v>0</v>
      </c>
      <c r="K51" s="130">
        <v>0.154</v>
      </c>
    </row>
    <row r="52" spans="1:11" x14ac:dyDescent="0.25">
      <c r="A52">
        <v>47</v>
      </c>
      <c r="B52" s="33" t="s">
        <v>2245</v>
      </c>
      <c r="C52" s="130">
        <v>0.28000000000000003</v>
      </c>
      <c r="D52" s="130">
        <v>0</v>
      </c>
      <c r="E52" s="130">
        <v>0</v>
      </c>
      <c r="F52" s="130">
        <v>0</v>
      </c>
      <c r="G52" s="130">
        <v>0</v>
      </c>
      <c r="H52" s="130">
        <v>0</v>
      </c>
      <c r="I52" s="130">
        <v>0</v>
      </c>
      <c r="J52" s="130">
        <v>0</v>
      </c>
      <c r="K52" s="130">
        <v>0.36199999999999999</v>
      </c>
    </row>
    <row r="53" spans="1:11" x14ac:dyDescent="0.25">
      <c r="A53">
        <v>48</v>
      </c>
      <c r="B53" s="33" t="s">
        <v>2245</v>
      </c>
      <c r="C53" s="130">
        <v>0.28000000000000003</v>
      </c>
      <c r="D53" s="130">
        <v>0</v>
      </c>
      <c r="E53" s="130">
        <v>0</v>
      </c>
      <c r="F53" s="130">
        <v>0</v>
      </c>
      <c r="G53" s="130">
        <v>0</v>
      </c>
      <c r="H53" s="130">
        <v>0</v>
      </c>
      <c r="I53" s="130">
        <v>0</v>
      </c>
      <c r="J53" s="130">
        <v>0</v>
      </c>
      <c r="K53" s="130">
        <v>0.16600000000000001</v>
      </c>
    </row>
    <row r="54" spans="1:11" x14ac:dyDescent="0.25">
      <c r="A54">
        <v>49</v>
      </c>
      <c r="B54" s="33" t="s">
        <v>2245</v>
      </c>
      <c r="C54" s="130">
        <v>0.28000000000000003</v>
      </c>
      <c r="D54" s="130">
        <v>0</v>
      </c>
      <c r="E54" s="130">
        <v>0</v>
      </c>
      <c r="F54" s="130">
        <v>0</v>
      </c>
      <c r="G54" s="130">
        <v>0</v>
      </c>
      <c r="H54" s="130">
        <v>0</v>
      </c>
      <c r="I54" s="130">
        <v>0</v>
      </c>
      <c r="J54" s="130">
        <v>0</v>
      </c>
      <c r="K54" s="130">
        <v>0.15</v>
      </c>
    </row>
    <row r="55" spans="1:11" x14ac:dyDescent="0.25">
      <c r="A55">
        <v>50</v>
      </c>
      <c r="B55" s="33" t="s">
        <v>2246</v>
      </c>
      <c r="C55" s="130">
        <v>0.28000000000000003</v>
      </c>
      <c r="D55" s="130">
        <v>0.1</v>
      </c>
      <c r="E55" s="130">
        <v>8.3000000000000004E-2</v>
      </c>
      <c r="F55" s="130">
        <v>0</v>
      </c>
      <c r="G55" s="130">
        <v>0</v>
      </c>
      <c r="H55" s="130">
        <v>0</v>
      </c>
      <c r="I55" s="130">
        <v>0</v>
      </c>
      <c r="J55" s="130">
        <v>0</v>
      </c>
      <c r="K55" s="130">
        <v>0.26900000000000002</v>
      </c>
    </row>
    <row r="56" spans="1:11" x14ac:dyDescent="0.25">
      <c r="A56">
        <v>51</v>
      </c>
      <c r="B56" s="33" t="s">
        <v>2247</v>
      </c>
      <c r="C56" s="130">
        <v>0.28000000000000003</v>
      </c>
      <c r="D56" s="130">
        <v>6.0999999999999999E-2</v>
      </c>
      <c r="E56" s="130">
        <v>0</v>
      </c>
      <c r="F56" s="130">
        <v>0</v>
      </c>
      <c r="G56" s="130">
        <v>0</v>
      </c>
      <c r="H56" s="130">
        <v>0</v>
      </c>
      <c r="I56" s="130">
        <v>0</v>
      </c>
      <c r="J56" s="130">
        <v>0</v>
      </c>
      <c r="K56" s="130">
        <v>0.26</v>
      </c>
    </row>
    <row r="57" spans="1:11" x14ac:dyDescent="0.25">
      <c r="A57">
        <v>52</v>
      </c>
      <c r="B57" s="33" t="s">
        <v>2248</v>
      </c>
      <c r="C57" s="130">
        <v>0.3</v>
      </c>
      <c r="D57" s="130">
        <v>0</v>
      </c>
      <c r="E57" s="130">
        <v>0</v>
      </c>
      <c r="F57" s="130">
        <v>0</v>
      </c>
      <c r="G57" s="130">
        <v>0</v>
      </c>
      <c r="H57" s="130">
        <v>0</v>
      </c>
      <c r="I57" s="130">
        <v>0</v>
      </c>
      <c r="J57" s="130">
        <v>0</v>
      </c>
      <c r="K57" s="130">
        <v>0.24</v>
      </c>
    </row>
    <row r="58" spans="1:11" x14ac:dyDescent="0.25">
      <c r="A58">
        <v>53</v>
      </c>
      <c r="B58" s="33" t="s">
        <v>2249</v>
      </c>
      <c r="C58" s="130">
        <v>1</v>
      </c>
      <c r="D58" s="130">
        <v>0</v>
      </c>
      <c r="E58" s="130">
        <v>0</v>
      </c>
      <c r="F58" s="130">
        <v>0</v>
      </c>
      <c r="G58" s="130">
        <v>0</v>
      </c>
      <c r="H58" s="130">
        <v>0</v>
      </c>
      <c r="I58" s="130">
        <v>0</v>
      </c>
      <c r="J58" s="130">
        <v>0</v>
      </c>
      <c r="K58" s="130">
        <v>0.23699999999999999</v>
      </c>
    </row>
    <row r="59" spans="1:11" x14ac:dyDescent="0.25">
      <c r="A59">
        <v>54</v>
      </c>
      <c r="B59" s="33" t="s">
        <v>2250</v>
      </c>
      <c r="C59" s="130">
        <v>0</v>
      </c>
      <c r="D59" s="130">
        <v>1</v>
      </c>
      <c r="E59" s="130">
        <v>0</v>
      </c>
      <c r="F59" s="130">
        <v>0</v>
      </c>
      <c r="G59" s="130">
        <v>0</v>
      </c>
      <c r="H59" s="130">
        <v>0</v>
      </c>
      <c r="I59" s="130">
        <v>0</v>
      </c>
      <c r="J59" s="130">
        <v>0</v>
      </c>
      <c r="K59" s="130">
        <v>0.57599999999999996</v>
      </c>
    </row>
    <row r="60" spans="1:11" x14ac:dyDescent="0.25">
      <c r="A60">
        <v>55</v>
      </c>
      <c r="B60" s="33" t="s">
        <v>2251</v>
      </c>
      <c r="C60" s="130">
        <v>0</v>
      </c>
      <c r="D60" s="130">
        <v>0</v>
      </c>
      <c r="E60" s="130">
        <v>1</v>
      </c>
      <c r="F60" s="130">
        <v>0</v>
      </c>
      <c r="G60" s="130">
        <v>0</v>
      </c>
      <c r="H60" s="130">
        <v>0</v>
      </c>
      <c r="I60" s="130">
        <v>0</v>
      </c>
      <c r="J60" s="130">
        <v>0</v>
      </c>
      <c r="K60" s="130">
        <v>1E-3</v>
      </c>
    </row>
    <row r="61" spans="1:11" x14ac:dyDescent="0.25">
      <c r="A61">
        <v>56</v>
      </c>
      <c r="B61" s="33" t="s">
        <v>2252</v>
      </c>
      <c r="C61" s="130">
        <v>0.32</v>
      </c>
      <c r="D61" s="130">
        <v>0</v>
      </c>
      <c r="E61" s="130">
        <v>0</v>
      </c>
      <c r="F61" s="130">
        <v>0</v>
      </c>
      <c r="G61" s="130">
        <v>0</v>
      </c>
      <c r="H61" s="130">
        <v>0</v>
      </c>
      <c r="I61" s="130">
        <v>0</v>
      </c>
      <c r="J61" s="130">
        <v>0</v>
      </c>
      <c r="K61" s="130">
        <v>0.248</v>
      </c>
    </row>
    <row r="62" spans="1:11" x14ac:dyDescent="0.25">
      <c r="A62">
        <v>57</v>
      </c>
      <c r="B62" s="33" t="s">
        <v>2253</v>
      </c>
      <c r="C62" s="130">
        <v>0.32</v>
      </c>
      <c r="D62" s="130">
        <v>8.9999999999999993E-3</v>
      </c>
      <c r="E62" s="130">
        <v>8.3000000000000004E-2</v>
      </c>
      <c r="F62" s="130">
        <v>0</v>
      </c>
      <c r="G62" s="130">
        <v>0</v>
      </c>
      <c r="H62" s="130">
        <v>0</v>
      </c>
      <c r="I62" s="130">
        <v>0</v>
      </c>
      <c r="J62" s="130">
        <v>0</v>
      </c>
      <c r="K62" s="130">
        <v>0.248</v>
      </c>
    </row>
    <row r="63" spans="1:11" x14ac:dyDescent="0.25">
      <c r="A63">
        <v>58</v>
      </c>
      <c r="B63" s="33" t="s">
        <v>2254</v>
      </c>
      <c r="C63" s="130">
        <v>0.33</v>
      </c>
      <c r="D63" s="130">
        <v>0</v>
      </c>
      <c r="E63" s="130">
        <v>0</v>
      </c>
      <c r="F63" s="130">
        <v>0</v>
      </c>
      <c r="G63" s="130">
        <v>0</v>
      </c>
      <c r="H63" s="130">
        <v>0</v>
      </c>
      <c r="I63" s="130">
        <v>0</v>
      </c>
      <c r="J63" s="130">
        <v>0</v>
      </c>
      <c r="K63" s="130">
        <v>0.219</v>
      </c>
    </row>
    <row r="64" spans="1:11" x14ac:dyDescent="0.25">
      <c r="A64">
        <v>59</v>
      </c>
      <c r="B64" s="33" t="s">
        <v>2255</v>
      </c>
      <c r="C64" s="130">
        <v>0.34</v>
      </c>
      <c r="D64" s="130">
        <v>0</v>
      </c>
      <c r="E64" s="130">
        <v>0</v>
      </c>
      <c r="F64" s="130">
        <v>0</v>
      </c>
      <c r="G64" s="130">
        <v>0</v>
      </c>
      <c r="H64" s="130">
        <v>0</v>
      </c>
      <c r="I64" s="130">
        <v>0</v>
      </c>
      <c r="J64" s="130">
        <v>0</v>
      </c>
      <c r="K64" s="130">
        <v>0.28799999999999998</v>
      </c>
    </row>
    <row r="65" spans="1:11" x14ac:dyDescent="0.25">
      <c r="A65">
        <v>60</v>
      </c>
      <c r="B65" s="33" t="s">
        <v>2255</v>
      </c>
      <c r="C65" s="130">
        <v>0.34</v>
      </c>
      <c r="D65" s="130">
        <v>0</v>
      </c>
      <c r="E65" s="130">
        <v>0</v>
      </c>
      <c r="F65" s="130">
        <v>0</v>
      </c>
      <c r="G65" s="130">
        <v>0</v>
      </c>
      <c r="H65" s="130">
        <v>0</v>
      </c>
      <c r="I65" s="130">
        <v>0</v>
      </c>
      <c r="J65" s="130">
        <v>0</v>
      </c>
      <c r="K65" s="130">
        <v>0.29099999999999998</v>
      </c>
    </row>
    <row r="66" spans="1:11" x14ac:dyDescent="0.25">
      <c r="A66">
        <v>61</v>
      </c>
      <c r="B66" s="33" t="s">
        <v>2256</v>
      </c>
      <c r="C66" s="130">
        <v>0.39</v>
      </c>
      <c r="D66" s="130">
        <v>0</v>
      </c>
      <c r="E66" s="130">
        <v>0</v>
      </c>
      <c r="F66" s="130">
        <v>0</v>
      </c>
      <c r="G66" s="130">
        <v>0</v>
      </c>
      <c r="H66" s="130">
        <v>0</v>
      </c>
      <c r="I66" s="130">
        <v>0</v>
      </c>
      <c r="J66" s="130">
        <v>0</v>
      </c>
      <c r="K66" s="130">
        <v>0.371</v>
      </c>
    </row>
    <row r="67" spans="1:11" x14ac:dyDescent="0.25">
      <c r="A67">
        <v>62</v>
      </c>
      <c r="B67" s="33" t="s">
        <v>2256</v>
      </c>
      <c r="C67" s="130">
        <v>0.39</v>
      </c>
      <c r="D67" s="130">
        <v>0</v>
      </c>
      <c r="E67" s="130">
        <v>0</v>
      </c>
      <c r="F67" s="130">
        <v>0</v>
      </c>
      <c r="G67" s="130">
        <v>0</v>
      </c>
      <c r="H67" s="130">
        <v>0</v>
      </c>
      <c r="I67" s="130">
        <v>0</v>
      </c>
      <c r="J67" s="130">
        <v>0</v>
      </c>
      <c r="K67" s="130">
        <v>0.442</v>
      </c>
    </row>
    <row r="68" spans="1:11" x14ac:dyDescent="0.25">
      <c r="A68">
        <v>63</v>
      </c>
      <c r="B68" s="33" t="s">
        <v>2257</v>
      </c>
      <c r="C68" s="130">
        <v>0.45</v>
      </c>
      <c r="D68" s="130">
        <v>0</v>
      </c>
      <c r="E68" s="130">
        <v>0</v>
      </c>
      <c r="F68" s="130">
        <v>0</v>
      </c>
      <c r="G68" s="130">
        <v>0</v>
      </c>
      <c r="H68" s="130">
        <v>0</v>
      </c>
      <c r="I68" s="130">
        <v>0</v>
      </c>
      <c r="J68" s="130">
        <v>0</v>
      </c>
      <c r="K68" s="130">
        <v>0.30099999999999999</v>
      </c>
    </row>
    <row r="69" spans="1:11" x14ac:dyDescent="0.25">
      <c r="A69">
        <v>64</v>
      </c>
      <c r="B69" s="33" t="s">
        <v>2258</v>
      </c>
      <c r="C69" s="130">
        <v>0.46</v>
      </c>
      <c r="D69" s="130">
        <v>0</v>
      </c>
      <c r="E69" s="130">
        <v>0</v>
      </c>
      <c r="F69" s="130">
        <v>0</v>
      </c>
      <c r="G69" s="130">
        <v>0</v>
      </c>
      <c r="H69" s="130">
        <v>0</v>
      </c>
      <c r="I69" s="130">
        <v>0</v>
      </c>
      <c r="J69" s="130">
        <v>0</v>
      </c>
      <c r="K69" s="130">
        <v>0.314</v>
      </c>
    </row>
    <row r="70" spans="1:11" x14ac:dyDescent="0.25">
      <c r="A70">
        <v>65</v>
      </c>
      <c r="B70" s="33" t="s">
        <v>2258</v>
      </c>
      <c r="C70" s="130">
        <v>0.46</v>
      </c>
      <c r="D70" s="130">
        <v>0</v>
      </c>
      <c r="E70" s="130">
        <v>0</v>
      </c>
      <c r="F70" s="130">
        <v>0</v>
      </c>
      <c r="G70" s="130">
        <v>0</v>
      </c>
      <c r="H70" s="130">
        <v>0</v>
      </c>
      <c r="I70" s="130">
        <v>0</v>
      </c>
      <c r="J70" s="130">
        <v>0</v>
      </c>
      <c r="K70" s="130">
        <v>0.36599999999999999</v>
      </c>
    </row>
    <row r="71" spans="1:11" s="12" customFormat="1" x14ac:dyDescent="0.25">
      <c r="A71" s="12">
        <v>66</v>
      </c>
      <c r="B71" s="174" t="s">
        <v>2258</v>
      </c>
      <c r="C71" s="122">
        <v>0.46</v>
      </c>
      <c r="D71" s="122">
        <v>0</v>
      </c>
      <c r="E71" s="122">
        <v>0</v>
      </c>
      <c r="F71" s="122">
        <v>0</v>
      </c>
      <c r="G71" s="122">
        <v>0</v>
      </c>
      <c r="H71" s="122">
        <v>0</v>
      </c>
      <c r="I71" s="122">
        <v>0</v>
      </c>
      <c r="J71" s="122">
        <v>0</v>
      </c>
      <c r="K71" s="122">
        <v>0.32400000000000001</v>
      </c>
    </row>
    <row r="72" spans="1:11" s="12" customFormat="1" x14ac:dyDescent="0.25">
      <c r="A72" s="12">
        <v>67</v>
      </c>
      <c r="B72" s="174" t="s">
        <v>2259</v>
      </c>
      <c r="C72" s="122">
        <v>0.82</v>
      </c>
      <c r="D72" s="122">
        <v>0</v>
      </c>
      <c r="E72" s="122">
        <v>0</v>
      </c>
      <c r="F72" s="122">
        <v>0</v>
      </c>
      <c r="G72" s="122">
        <v>0</v>
      </c>
      <c r="H72" s="122">
        <v>0.99</v>
      </c>
      <c r="I72" s="122">
        <v>0</v>
      </c>
      <c r="J72" s="122">
        <v>0</v>
      </c>
      <c r="K72" s="122">
        <v>0.28100000000000003</v>
      </c>
    </row>
    <row r="73" spans="1:11" s="12" customFormat="1" x14ac:dyDescent="0.25">
      <c r="A73" s="12">
        <v>68</v>
      </c>
      <c r="B73" s="174" t="s">
        <v>2259</v>
      </c>
      <c r="C73" s="122">
        <v>0.82</v>
      </c>
      <c r="D73" s="122">
        <v>0</v>
      </c>
      <c r="E73" s="122">
        <v>0</v>
      </c>
      <c r="F73" s="122">
        <v>0</v>
      </c>
      <c r="G73" s="122">
        <v>0</v>
      </c>
      <c r="H73" s="122">
        <v>0</v>
      </c>
      <c r="I73" s="122">
        <v>0</v>
      </c>
      <c r="J73" s="122">
        <v>0</v>
      </c>
      <c r="K73" s="122">
        <v>0.44700000000000001</v>
      </c>
    </row>
    <row r="74" spans="1:11" s="12" customFormat="1" x14ac:dyDescent="0.25">
      <c r="A74" s="12">
        <v>69</v>
      </c>
      <c r="B74" s="174" t="s">
        <v>2439</v>
      </c>
      <c r="C74" s="122">
        <v>0.18</v>
      </c>
      <c r="D74" s="122">
        <v>0.46</v>
      </c>
      <c r="E74" s="122">
        <v>0</v>
      </c>
      <c r="F74" s="122">
        <v>0</v>
      </c>
      <c r="G74" s="122">
        <v>0</v>
      </c>
      <c r="H74" s="122">
        <v>0.99</v>
      </c>
      <c r="I74" s="122">
        <v>0</v>
      </c>
      <c r="J74" s="122">
        <v>0</v>
      </c>
      <c r="K74" s="122">
        <v>0</v>
      </c>
    </row>
    <row r="75" spans="1:11" x14ac:dyDescent="0.25">
      <c r="A75">
        <v>70</v>
      </c>
      <c r="B75" s="33" t="s">
        <v>2440</v>
      </c>
      <c r="C75" s="130">
        <v>2E-3</v>
      </c>
      <c r="D75" s="130">
        <v>7.0000000000000001E-3</v>
      </c>
      <c r="E75" s="130">
        <v>0</v>
      </c>
      <c r="F75" s="130">
        <v>2.1999999999999999E-2</v>
      </c>
      <c r="G75" s="130">
        <v>4.0000000000000001E-3</v>
      </c>
      <c r="H75" s="130">
        <v>0.97199999999999998</v>
      </c>
      <c r="I75" s="130">
        <v>0.35</v>
      </c>
      <c r="J75" s="130">
        <v>0</v>
      </c>
      <c r="K75" s="130">
        <v>0</v>
      </c>
    </row>
    <row r="76" spans="1:11" x14ac:dyDescent="0.25">
      <c r="A76">
        <v>71</v>
      </c>
      <c r="B76" s="33" t="s">
        <v>2260</v>
      </c>
      <c r="C76" s="130">
        <v>2E-3</v>
      </c>
      <c r="D76" s="130">
        <v>7.0000000000000001E-3</v>
      </c>
      <c r="E76" s="130">
        <v>0</v>
      </c>
      <c r="F76" s="130">
        <v>2.1999999999999999E-2</v>
      </c>
      <c r="G76" s="130">
        <v>4.0000000000000001E-3</v>
      </c>
      <c r="H76" s="130">
        <v>0.97199999999999998</v>
      </c>
      <c r="I76" s="130">
        <v>0.35</v>
      </c>
      <c r="J76" s="130">
        <v>0</v>
      </c>
      <c r="K76" s="130">
        <v>0</v>
      </c>
    </row>
    <row r="77" spans="1:11" x14ac:dyDescent="0.25">
      <c r="A77">
        <v>72</v>
      </c>
      <c r="B77" s="33" t="s">
        <v>2261</v>
      </c>
      <c r="C77" s="130">
        <v>3.0000000000000001E-3</v>
      </c>
      <c r="D77" s="130">
        <v>1E-3</v>
      </c>
      <c r="E77" s="130">
        <v>0</v>
      </c>
      <c r="F77" s="130">
        <v>1E-3</v>
      </c>
      <c r="G77" s="130">
        <v>1E-3</v>
      </c>
      <c r="H77" s="130">
        <v>0.98699999999999999</v>
      </c>
      <c r="I77" s="130">
        <v>0.35</v>
      </c>
      <c r="J77" s="130">
        <v>0</v>
      </c>
      <c r="K77" s="130">
        <v>0</v>
      </c>
    </row>
    <row r="92" spans="34:34" x14ac:dyDescent="0.25">
      <c r="AH92" t="s">
        <v>28</v>
      </c>
    </row>
    <row r="93" spans="34:34" x14ac:dyDescent="0.25">
      <c r="AH93" t="s">
        <v>29</v>
      </c>
    </row>
  </sheetData>
  <pageMargins left="0.7" right="0.7" top="0.75" bottom="0.75" header="0.3" footer="0.3"/>
  <drawing r:id="rId1"/>
  <legacyDrawing r:id="rId2"/>
  <controls>
    <mc:AlternateContent xmlns:mc="http://schemas.openxmlformats.org/markup-compatibility/2006">
      <mc:Choice Requires="x14">
        <control shapeId="17426" r:id="rId3" name="cmdGetFert">
          <controlPr defaultSize="0" autoLine="0" r:id="rId4">
            <anchor moveWithCells="1">
              <from>
                <xdr:col>5</xdr:col>
                <xdr:colOff>19050</xdr:colOff>
                <xdr:row>0</xdr:row>
                <xdr:rowOff>238125</xdr:rowOff>
              </from>
              <to>
                <xdr:col>6</xdr:col>
                <xdr:colOff>428625</xdr:colOff>
                <xdr:row>1</xdr:row>
                <xdr:rowOff>238125</xdr:rowOff>
              </to>
            </anchor>
          </controlPr>
        </control>
      </mc:Choice>
      <mc:Fallback>
        <control shapeId="17426" r:id="rId3" name="cmdGetFert"/>
      </mc:Fallback>
    </mc:AlternateContent>
    <mc:AlternateContent xmlns:mc="http://schemas.openxmlformats.org/markup-compatibility/2006">
      <mc:Choice Requires="x14">
        <control shapeId="17424" r:id="rId5" name="cmbBoxFert">
          <controlPr defaultSize="0" autoLine="0" linkedCell="B2" r:id="rId6">
            <anchor moveWithCells="1">
              <from>
                <xdr:col>1</xdr:col>
                <xdr:colOff>19050</xdr:colOff>
                <xdr:row>1</xdr:row>
                <xdr:rowOff>19050</xdr:rowOff>
              </from>
              <to>
                <xdr:col>3</xdr:col>
                <xdr:colOff>47625</xdr:colOff>
                <xdr:row>2</xdr:row>
                <xdr:rowOff>9525</xdr:rowOff>
              </to>
            </anchor>
          </controlPr>
        </control>
      </mc:Choice>
      <mc:Fallback>
        <control shapeId="17424" r:id="rId5" name="cmbBoxFert"/>
      </mc:Fallback>
    </mc:AlternateContent>
    <mc:AlternateContent xmlns:mc="http://schemas.openxmlformats.org/markup-compatibility/2006">
      <mc:Choice Requires="x14">
        <control shapeId="17421" r:id="rId7" name="cmdWriteFert">
          <controlPr defaultSize="0" autoLine="0" r:id="rId8">
            <anchor moveWithCells="1">
              <from>
                <xdr:col>8</xdr:col>
                <xdr:colOff>342900</xdr:colOff>
                <xdr:row>0</xdr:row>
                <xdr:rowOff>238125</xdr:rowOff>
              </from>
              <to>
                <xdr:col>10</xdr:col>
                <xdr:colOff>142875</xdr:colOff>
                <xdr:row>1</xdr:row>
                <xdr:rowOff>238125</xdr:rowOff>
              </to>
            </anchor>
          </controlPr>
        </control>
      </mc:Choice>
      <mc:Fallback>
        <control shapeId="17421" r:id="rId7" name="cmdWriteFert"/>
      </mc:Fallback>
    </mc:AlternateContent>
    <mc:AlternateContent xmlns:mc="http://schemas.openxmlformats.org/markup-compatibility/2006">
      <mc:Choice Requires="x14">
        <control shapeId="17420" r:id="rId9" name="cmdReadFert">
          <controlPr defaultSize="0" autoLine="0" r:id="rId10">
            <anchor moveWithCells="1">
              <from>
                <xdr:col>6</xdr:col>
                <xdr:colOff>514350</xdr:colOff>
                <xdr:row>0</xdr:row>
                <xdr:rowOff>238125</xdr:rowOff>
              </from>
              <to>
                <xdr:col>8</xdr:col>
                <xdr:colOff>314325</xdr:colOff>
                <xdr:row>1</xdr:row>
                <xdr:rowOff>238125</xdr:rowOff>
              </to>
            </anchor>
          </controlPr>
        </control>
      </mc:Choice>
      <mc:Fallback>
        <control shapeId="17420" r:id="rId9" name="cmdReadFert"/>
      </mc:Fallback>
    </mc:AlternateContent>
    <mc:AlternateContent xmlns:mc="http://schemas.openxmlformats.org/markup-compatibility/2006">
      <mc:Choice Requires="x14">
        <control shapeId="17422" r:id="rId11" name="cmdRun">
          <controlPr defaultSize="0" autoLine="0" r:id="rId12">
            <anchor moveWithCells="1">
              <from>
                <xdr:col>10</xdr:col>
                <xdr:colOff>219075</xdr:colOff>
                <xdr:row>0</xdr:row>
                <xdr:rowOff>238125</xdr:rowOff>
              </from>
              <to>
                <xdr:col>12</xdr:col>
                <xdr:colOff>9525</xdr:colOff>
                <xdr:row>1</xdr:row>
                <xdr:rowOff>238125</xdr:rowOff>
              </to>
            </anchor>
          </controlPr>
        </control>
      </mc:Choice>
      <mc:Fallback>
        <control shapeId="17422" r:id="rId11" name="cmdRu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I295"/>
  <sheetViews>
    <sheetView workbookViewId="0">
      <pane ySplit="5" topLeftCell="A6" activePane="bottomLeft" state="frozen"/>
      <selection pane="bottomLeft" activeCell="A6" sqref="A6"/>
    </sheetView>
  </sheetViews>
  <sheetFormatPr defaultRowHeight="15" x14ac:dyDescent="0.25"/>
  <cols>
    <col min="1" max="1" width="12.28515625" customWidth="1"/>
    <col min="2" max="2" width="19.7109375" customWidth="1"/>
    <col min="3" max="8" width="10.28515625" style="29" customWidth="1"/>
  </cols>
  <sheetData>
    <row r="1" spans="1:9" ht="25.35" customHeight="1" x14ac:dyDescent="0.25">
      <c r="A1" s="129" t="s">
        <v>1142</v>
      </c>
      <c r="C1"/>
      <c r="D1"/>
      <c r="E1"/>
      <c r="F1"/>
      <c r="G1"/>
      <c r="H1"/>
    </row>
    <row r="2" spans="1:9" ht="19.899999999999999" customHeight="1" x14ac:dyDescent="0.25">
      <c r="A2" s="32" t="s">
        <v>1033</v>
      </c>
      <c r="B2" s="114" t="s">
        <v>1526</v>
      </c>
      <c r="C2" s="32"/>
      <c r="D2" s="115"/>
      <c r="E2"/>
      <c r="F2"/>
      <c r="G2"/>
      <c r="H2"/>
    </row>
    <row r="3" spans="1:9" ht="15.6" customHeight="1" x14ac:dyDescent="0.25">
      <c r="A3" s="123" t="s">
        <v>984</v>
      </c>
      <c r="B3" s="124"/>
      <c r="C3" s="125" t="s">
        <v>985</v>
      </c>
      <c r="D3"/>
      <c r="E3"/>
      <c r="F3"/>
      <c r="G3"/>
      <c r="H3"/>
    </row>
    <row r="4" spans="1:9" x14ac:dyDescent="0.25">
      <c r="A4" s="1">
        <v>1</v>
      </c>
      <c r="B4" s="1" t="s">
        <v>1076</v>
      </c>
      <c r="C4" s="1">
        <v>3</v>
      </c>
      <c r="D4" s="1">
        <v>4</v>
      </c>
      <c r="E4" s="1">
        <v>5</v>
      </c>
      <c r="F4" s="1">
        <v>6</v>
      </c>
      <c r="G4" s="1">
        <v>7</v>
      </c>
      <c r="H4" s="1">
        <v>8</v>
      </c>
      <c r="I4" s="1"/>
    </row>
    <row r="5" spans="1:9" s="6" customFormat="1" x14ac:dyDescent="0.25">
      <c r="A5" s="8" t="s">
        <v>211</v>
      </c>
      <c r="B5" s="8" t="s">
        <v>212</v>
      </c>
      <c r="C5" s="8" t="s">
        <v>213</v>
      </c>
      <c r="D5" s="8" t="s">
        <v>214</v>
      </c>
      <c r="E5" s="8" t="s">
        <v>215</v>
      </c>
      <c r="F5" s="8" t="s">
        <v>216</v>
      </c>
      <c r="G5" s="8" t="s">
        <v>217</v>
      </c>
      <c r="H5" s="8" t="s">
        <v>218</v>
      </c>
      <c r="I5" s="8"/>
    </row>
    <row r="6" spans="1:9" x14ac:dyDescent="0.25">
      <c r="A6">
        <v>3</v>
      </c>
      <c r="B6" t="s">
        <v>2443</v>
      </c>
      <c r="C6" s="29" t="s">
        <v>2444</v>
      </c>
      <c r="D6" s="29" t="s">
        <v>2445</v>
      </c>
      <c r="E6" s="29" t="s">
        <v>2446</v>
      </c>
      <c r="F6" s="29">
        <v>0</v>
      </c>
    </row>
    <row r="7" spans="1:9" x14ac:dyDescent="0.25">
      <c r="A7">
        <v>4</v>
      </c>
      <c r="B7" t="s">
        <v>2447</v>
      </c>
      <c r="C7" s="29" t="s">
        <v>2448</v>
      </c>
      <c r="D7" s="29" t="s">
        <v>2445</v>
      </c>
      <c r="E7" s="29" t="s">
        <v>2449</v>
      </c>
      <c r="F7" s="29">
        <v>0</v>
      </c>
    </row>
    <row r="8" spans="1:9" x14ac:dyDescent="0.25">
      <c r="A8">
        <v>5</v>
      </c>
      <c r="B8" t="s">
        <v>2450</v>
      </c>
      <c r="C8" s="29" t="s">
        <v>2451</v>
      </c>
      <c r="D8" s="29" t="s">
        <v>2452</v>
      </c>
      <c r="E8" s="29" t="s">
        <v>2453</v>
      </c>
      <c r="F8" s="29">
        <v>0</v>
      </c>
    </row>
    <row r="9" spans="1:9" x14ac:dyDescent="0.25">
      <c r="A9">
        <v>6</v>
      </c>
      <c r="B9" t="s">
        <v>2454</v>
      </c>
      <c r="C9" s="29">
        <v>100000</v>
      </c>
      <c r="D9" s="29" t="s">
        <v>2455</v>
      </c>
      <c r="E9" s="29" t="s">
        <v>2456</v>
      </c>
      <c r="F9" s="29">
        <v>0</v>
      </c>
    </row>
    <row r="10" spans="1:9" x14ac:dyDescent="0.25">
      <c r="A10">
        <v>7</v>
      </c>
      <c r="B10" t="s">
        <v>2457</v>
      </c>
      <c r="C10" s="29">
        <v>0.8</v>
      </c>
      <c r="D10" s="29" t="s">
        <v>2458</v>
      </c>
      <c r="E10" s="29" t="s">
        <v>2459</v>
      </c>
      <c r="F10" s="29">
        <v>0</v>
      </c>
    </row>
    <row r="11" spans="1:9" x14ac:dyDescent="0.25">
      <c r="A11">
        <v>8</v>
      </c>
      <c r="B11" t="s">
        <v>2460</v>
      </c>
      <c r="C11" s="29" t="s">
        <v>2461</v>
      </c>
      <c r="D11" s="29" t="s">
        <v>2462</v>
      </c>
      <c r="E11" s="29" t="s">
        <v>2463</v>
      </c>
      <c r="F11" s="29">
        <v>0</v>
      </c>
    </row>
    <row r="12" spans="1:9" x14ac:dyDescent="0.25">
      <c r="A12">
        <v>9</v>
      </c>
      <c r="B12" t="s">
        <v>2464</v>
      </c>
      <c r="C12" s="29" t="s">
        <v>2465</v>
      </c>
      <c r="D12" s="29" t="s">
        <v>2466</v>
      </c>
      <c r="E12" s="29" t="s">
        <v>2456</v>
      </c>
      <c r="F12" s="29">
        <v>0</v>
      </c>
    </row>
    <row r="13" spans="1:9" x14ac:dyDescent="0.25">
      <c r="A13">
        <v>10</v>
      </c>
      <c r="B13" t="s">
        <v>2467</v>
      </c>
      <c r="C13" s="29">
        <v>100000</v>
      </c>
      <c r="D13" s="29" t="s">
        <v>2468</v>
      </c>
      <c r="E13" s="29" t="s">
        <v>2469</v>
      </c>
      <c r="F13" s="29">
        <v>0</v>
      </c>
      <c r="I13" s="1"/>
    </row>
    <row r="14" spans="1:9" x14ac:dyDescent="0.25">
      <c r="A14">
        <v>11</v>
      </c>
      <c r="B14" t="s">
        <v>2470</v>
      </c>
      <c r="C14" s="29" t="s">
        <v>2471</v>
      </c>
      <c r="D14" s="29" t="s">
        <v>2472</v>
      </c>
      <c r="E14" s="29" t="s">
        <v>2473</v>
      </c>
      <c r="F14" s="29">
        <v>0</v>
      </c>
    </row>
    <row r="15" spans="1:9" x14ac:dyDescent="0.25">
      <c r="A15">
        <v>12</v>
      </c>
      <c r="B15" t="s">
        <v>2474</v>
      </c>
      <c r="C15" s="29">
        <v>120000</v>
      </c>
      <c r="D15" s="29" t="s">
        <v>2475</v>
      </c>
      <c r="E15" s="29" t="s">
        <v>2456</v>
      </c>
      <c r="F15" s="29">
        <v>0</v>
      </c>
    </row>
    <row r="16" spans="1:9" x14ac:dyDescent="0.25">
      <c r="A16">
        <v>13</v>
      </c>
      <c r="B16" t="s">
        <v>2476</v>
      </c>
      <c r="C16" s="29" t="s">
        <v>2477</v>
      </c>
      <c r="D16" s="29" t="s">
        <v>2478</v>
      </c>
      <c r="E16" s="29" t="s">
        <v>2479</v>
      </c>
      <c r="F16" s="29">
        <v>0</v>
      </c>
    </row>
    <row r="17" spans="1:6" x14ac:dyDescent="0.25">
      <c r="A17">
        <v>14</v>
      </c>
      <c r="B17" t="s">
        <v>2480</v>
      </c>
      <c r="C17" s="29" t="s">
        <v>2481</v>
      </c>
      <c r="D17" s="29" t="s">
        <v>2462</v>
      </c>
      <c r="E17" s="29" t="s">
        <v>2482</v>
      </c>
      <c r="F17" s="29">
        <v>0</v>
      </c>
    </row>
    <row r="18" spans="1:6" x14ac:dyDescent="0.25">
      <c r="A18">
        <v>15</v>
      </c>
      <c r="B18" t="s">
        <v>2483</v>
      </c>
      <c r="C18" s="29" t="s">
        <v>2484</v>
      </c>
      <c r="D18" s="29" t="s">
        <v>2466</v>
      </c>
      <c r="E18" s="29" t="s">
        <v>2485</v>
      </c>
      <c r="F18" s="29">
        <v>0</v>
      </c>
    </row>
    <row r="19" spans="1:6" x14ac:dyDescent="0.25">
      <c r="A19">
        <v>16</v>
      </c>
      <c r="B19" t="s">
        <v>2486</v>
      </c>
      <c r="C19" s="29" t="s">
        <v>2487</v>
      </c>
      <c r="D19" s="29" t="s">
        <v>2445</v>
      </c>
      <c r="E19" s="29" t="s">
        <v>2488</v>
      </c>
      <c r="F19" s="29">
        <v>0</v>
      </c>
    </row>
    <row r="20" spans="1:6" x14ac:dyDescent="0.25">
      <c r="A20">
        <v>17</v>
      </c>
      <c r="B20" t="s">
        <v>2489</v>
      </c>
      <c r="C20" s="29" t="s">
        <v>2490</v>
      </c>
      <c r="D20" s="29" t="s">
        <v>2491</v>
      </c>
      <c r="E20" s="29" t="s">
        <v>2492</v>
      </c>
      <c r="F20" s="29">
        <v>0</v>
      </c>
    </row>
    <row r="21" spans="1:6" x14ac:dyDescent="0.25">
      <c r="A21">
        <v>18</v>
      </c>
      <c r="B21" t="s">
        <v>2493</v>
      </c>
      <c r="C21" s="29" t="s">
        <v>2448</v>
      </c>
      <c r="D21" s="29" t="s">
        <v>2445</v>
      </c>
      <c r="E21" s="29" t="s">
        <v>2494</v>
      </c>
      <c r="F21" s="29">
        <v>0</v>
      </c>
    </row>
    <row r="22" spans="1:6" x14ac:dyDescent="0.25">
      <c r="A22">
        <v>19</v>
      </c>
      <c r="B22" t="s">
        <v>2495</v>
      </c>
      <c r="C22" s="29" t="s">
        <v>2496</v>
      </c>
      <c r="D22" s="29" t="s">
        <v>2497</v>
      </c>
      <c r="E22" s="29" t="s">
        <v>2498</v>
      </c>
      <c r="F22" s="29">
        <v>0</v>
      </c>
    </row>
    <row r="23" spans="1:6" x14ac:dyDescent="0.25">
      <c r="A23">
        <v>20</v>
      </c>
      <c r="B23" t="s">
        <v>2499</v>
      </c>
      <c r="C23" s="29" t="s">
        <v>2500</v>
      </c>
      <c r="D23" s="29" t="s">
        <v>2478</v>
      </c>
      <c r="E23" s="29" t="s">
        <v>2501</v>
      </c>
      <c r="F23" s="29">
        <v>0</v>
      </c>
    </row>
    <row r="24" spans="1:6" x14ac:dyDescent="0.25">
      <c r="A24">
        <v>21</v>
      </c>
      <c r="B24" t="s">
        <v>2502</v>
      </c>
      <c r="C24" s="29" t="s">
        <v>2503</v>
      </c>
      <c r="D24" s="29" t="s">
        <v>2478</v>
      </c>
      <c r="E24" s="29" t="s">
        <v>2492</v>
      </c>
      <c r="F24" s="29">
        <v>0</v>
      </c>
    </row>
    <row r="25" spans="1:6" x14ac:dyDescent="0.25">
      <c r="A25">
        <v>22</v>
      </c>
      <c r="B25" t="s">
        <v>2504</v>
      </c>
      <c r="C25" s="29" t="s">
        <v>2505</v>
      </c>
      <c r="D25" s="29" t="s">
        <v>2478</v>
      </c>
      <c r="E25" s="29" t="s">
        <v>2506</v>
      </c>
      <c r="F25" s="29">
        <v>0</v>
      </c>
    </row>
    <row r="26" spans="1:6" x14ac:dyDescent="0.25">
      <c r="A26">
        <v>23</v>
      </c>
      <c r="B26" t="s">
        <v>2507</v>
      </c>
      <c r="C26" s="29" t="s">
        <v>2448</v>
      </c>
      <c r="D26" s="29" t="s">
        <v>2508</v>
      </c>
      <c r="E26" s="29" t="s">
        <v>2509</v>
      </c>
      <c r="F26" s="29">
        <v>0</v>
      </c>
    </row>
    <row r="27" spans="1:6" x14ac:dyDescent="0.25">
      <c r="A27">
        <v>24</v>
      </c>
      <c r="B27" t="s">
        <v>2510</v>
      </c>
      <c r="C27" s="29" t="s">
        <v>2511</v>
      </c>
      <c r="D27" s="29" t="s">
        <v>2512</v>
      </c>
      <c r="E27" s="29" t="s">
        <v>2513</v>
      </c>
      <c r="F27" s="29">
        <v>0</v>
      </c>
    </row>
    <row r="28" spans="1:6" x14ac:dyDescent="0.25">
      <c r="A28">
        <v>25</v>
      </c>
      <c r="B28" t="s">
        <v>2510</v>
      </c>
      <c r="C28" s="29" t="s">
        <v>2514</v>
      </c>
      <c r="D28" s="29" t="s">
        <v>2512</v>
      </c>
      <c r="E28" s="29" t="s">
        <v>2515</v>
      </c>
      <c r="F28" s="29">
        <v>0</v>
      </c>
    </row>
    <row r="29" spans="1:6" x14ac:dyDescent="0.25">
      <c r="A29">
        <v>26</v>
      </c>
      <c r="B29" t="s">
        <v>2516</v>
      </c>
      <c r="C29" s="29" t="s">
        <v>2517</v>
      </c>
      <c r="D29" s="29" t="s">
        <v>2518</v>
      </c>
      <c r="E29" s="29" t="s">
        <v>2519</v>
      </c>
      <c r="F29" s="29">
        <v>0</v>
      </c>
    </row>
    <row r="30" spans="1:6" x14ac:dyDescent="0.25">
      <c r="A30">
        <v>27</v>
      </c>
      <c r="B30" t="s">
        <v>2520</v>
      </c>
      <c r="C30" s="29">
        <v>550000</v>
      </c>
      <c r="D30" s="29" t="s">
        <v>2521</v>
      </c>
      <c r="E30" s="29" t="s">
        <v>2522</v>
      </c>
      <c r="F30" s="29">
        <v>0</v>
      </c>
    </row>
    <row r="31" spans="1:6" x14ac:dyDescent="0.25">
      <c r="A31">
        <v>28</v>
      </c>
      <c r="B31" t="s">
        <v>2523</v>
      </c>
      <c r="C31" s="29" t="s">
        <v>2524</v>
      </c>
      <c r="D31" s="29" t="s">
        <v>2478</v>
      </c>
      <c r="E31" s="29" t="s">
        <v>2525</v>
      </c>
      <c r="F31" s="29">
        <v>0</v>
      </c>
    </row>
    <row r="32" spans="1:6" x14ac:dyDescent="0.25">
      <c r="A32">
        <v>29</v>
      </c>
      <c r="B32" t="s">
        <v>2526</v>
      </c>
      <c r="C32" s="29" t="s">
        <v>2527</v>
      </c>
      <c r="D32" s="29" t="s">
        <v>2528</v>
      </c>
      <c r="E32" s="29" t="s">
        <v>2529</v>
      </c>
      <c r="F32" s="29">
        <v>0</v>
      </c>
    </row>
    <row r="33" spans="1:6" x14ac:dyDescent="0.25">
      <c r="A33">
        <v>30</v>
      </c>
      <c r="B33" t="s">
        <v>2530</v>
      </c>
      <c r="C33" s="29" t="s">
        <v>2531</v>
      </c>
      <c r="D33" s="29" t="s">
        <v>2452</v>
      </c>
      <c r="E33" s="29" t="s">
        <v>2532</v>
      </c>
      <c r="F33" s="29">
        <v>0</v>
      </c>
    </row>
    <row r="34" spans="1:6" x14ac:dyDescent="0.25">
      <c r="A34">
        <v>31</v>
      </c>
      <c r="B34" t="s">
        <v>2533</v>
      </c>
      <c r="C34" s="29" t="s">
        <v>2527</v>
      </c>
      <c r="D34" s="29" t="s">
        <v>2518</v>
      </c>
      <c r="E34" s="29" t="s">
        <v>2534</v>
      </c>
      <c r="F34" s="29">
        <v>0</v>
      </c>
    </row>
    <row r="35" spans="1:6" x14ac:dyDescent="0.25">
      <c r="A35">
        <v>32</v>
      </c>
      <c r="B35" t="s">
        <v>2535</v>
      </c>
      <c r="C35" s="29" t="s">
        <v>2536</v>
      </c>
      <c r="D35" s="29" t="s">
        <v>2537</v>
      </c>
      <c r="E35" s="29" t="s">
        <v>2538</v>
      </c>
      <c r="F35" s="29">
        <v>0</v>
      </c>
    </row>
    <row r="36" spans="1:6" x14ac:dyDescent="0.25">
      <c r="A36">
        <v>33</v>
      </c>
      <c r="B36" t="s">
        <v>2539</v>
      </c>
      <c r="C36" s="29" t="s">
        <v>2540</v>
      </c>
      <c r="D36" s="29" t="s">
        <v>2528</v>
      </c>
      <c r="E36" s="29" t="s">
        <v>2541</v>
      </c>
      <c r="F36" s="29">
        <v>0</v>
      </c>
    </row>
    <row r="37" spans="1:6" x14ac:dyDescent="0.25">
      <c r="A37">
        <v>34</v>
      </c>
      <c r="B37" t="s">
        <v>2542</v>
      </c>
      <c r="C37" s="29">
        <v>1370000</v>
      </c>
      <c r="D37" s="29" t="s">
        <v>2468</v>
      </c>
      <c r="E37" s="29" t="s">
        <v>2492</v>
      </c>
      <c r="F37" s="29">
        <v>0</v>
      </c>
    </row>
    <row r="38" spans="1:6" x14ac:dyDescent="0.25">
      <c r="A38">
        <v>35</v>
      </c>
      <c r="B38" t="s">
        <v>2543</v>
      </c>
      <c r="C38" s="29" t="s">
        <v>2544</v>
      </c>
      <c r="D38" s="29" t="s">
        <v>2462</v>
      </c>
      <c r="E38" s="29" t="s">
        <v>2545</v>
      </c>
      <c r="F38" s="29">
        <v>0</v>
      </c>
    </row>
    <row r="39" spans="1:6" x14ac:dyDescent="0.25">
      <c r="A39">
        <v>36</v>
      </c>
      <c r="B39" t="s">
        <v>2546</v>
      </c>
      <c r="C39" s="29" t="s">
        <v>2547</v>
      </c>
      <c r="D39" s="29" t="s">
        <v>2548</v>
      </c>
      <c r="E39" s="29" t="s">
        <v>2549</v>
      </c>
      <c r="F39" s="29">
        <v>0</v>
      </c>
    </row>
    <row r="40" spans="1:6" x14ac:dyDescent="0.25">
      <c r="A40">
        <v>37</v>
      </c>
      <c r="B40" t="s">
        <v>2550</v>
      </c>
      <c r="C40" s="29" t="s">
        <v>2551</v>
      </c>
      <c r="D40" s="29" t="s">
        <v>2552</v>
      </c>
      <c r="E40" s="29" t="s">
        <v>2553</v>
      </c>
      <c r="F40" s="29">
        <v>0</v>
      </c>
    </row>
    <row r="41" spans="1:6" x14ac:dyDescent="0.25">
      <c r="A41">
        <v>38</v>
      </c>
      <c r="B41" t="s">
        <v>2554</v>
      </c>
      <c r="C41" s="29" t="s">
        <v>2448</v>
      </c>
      <c r="D41" s="29" t="s">
        <v>2445</v>
      </c>
      <c r="E41" s="29" t="s">
        <v>2494</v>
      </c>
      <c r="F41" s="29">
        <v>0</v>
      </c>
    </row>
    <row r="42" spans="1:6" x14ac:dyDescent="0.25">
      <c r="A42">
        <v>39</v>
      </c>
      <c r="B42" t="s">
        <v>2555</v>
      </c>
      <c r="C42" s="29" t="s">
        <v>2556</v>
      </c>
      <c r="D42" s="29" t="s">
        <v>2557</v>
      </c>
      <c r="E42" s="29" t="s">
        <v>2558</v>
      </c>
      <c r="F42" s="29">
        <v>0</v>
      </c>
    </row>
    <row r="43" spans="1:6" x14ac:dyDescent="0.25">
      <c r="A43">
        <v>40</v>
      </c>
      <c r="B43" t="s">
        <v>2559</v>
      </c>
      <c r="C43" s="29" t="s">
        <v>2560</v>
      </c>
      <c r="D43" s="29" t="s">
        <v>2561</v>
      </c>
      <c r="E43" s="29" t="s">
        <v>2562</v>
      </c>
      <c r="F43" s="29">
        <v>0</v>
      </c>
    </row>
    <row r="44" spans="1:6" x14ac:dyDescent="0.25">
      <c r="A44">
        <v>41</v>
      </c>
      <c r="B44" t="s">
        <v>2563</v>
      </c>
      <c r="C44" s="29" t="s">
        <v>2564</v>
      </c>
      <c r="D44" s="29" t="s">
        <v>2445</v>
      </c>
      <c r="E44" s="29" t="s">
        <v>2565</v>
      </c>
      <c r="F44" s="29">
        <v>0</v>
      </c>
    </row>
    <row r="45" spans="1:6" x14ac:dyDescent="0.25">
      <c r="A45">
        <v>42</v>
      </c>
      <c r="B45" t="s">
        <v>2566</v>
      </c>
      <c r="C45" s="29" t="s">
        <v>2567</v>
      </c>
      <c r="D45" s="29" t="s">
        <v>2445</v>
      </c>
      <c r="E45" s="29" t="s">
        <v>2568</v>
      </c>
      <c r="F45" s="29">
        <v>0</v>
      </c>
    </row>
    <row r="46" spans="1:6" x14ac:dyDescent="0.25">
      <c r="A46">
        <v>43</v>
      </c>
      <c r="B46" t="s">
        <v>2569</v>
      </c>
      <c r="C46" s="29" t="s">
        <v>2570</v>
      </c>
      <c r="D46" s="29" t="s">
        <v>2571</v>
      </c>
      <c r="E46" s="29" t="s">
        <v>2572</v>
      </c>
      <c r="F46" s="29">
        <v>0</v>
      </c>
    </row>
    <row r="47" spans="1:6" x14ac:dyDescent="0.25">
      <c r="A47">
        <v>44</v>
      </c>
      <c r="B47" t="s">
        <v>2573</v>
      </c>
      <c r="C47" s="29" t="s">
        <v>2574</v>
      </c>
      <c r="D47" s="29" t="s">
        <v>2491</v>
      </c>
      <c r="E47" s="29" t="s">
        <v>2575</v>
      </c>
      <c r="F47" s="29">
        <v>0</v>
      </c>
    </row>
    <row r="48" spans="1:6" x14ac:dyDescent="0.25">
      <c r="A48">
        <v>45</v>
      </c>
      <c r="B48" t="s">
        <v>2576</v>
      </c>
      <c r="C48" s="29" t="s">
        <v>2577</v>
      </c>
      <c r="D48" s="29" t="s">
        <v>2578</v>
      </c>
      <c r="E48" s="29" t="s">
        <v>2579</v>
      </c>
      <c r="F48" s="29">
        <v>0</v>
      </c>
    </row>
    <row r="49" spans="1:6" x14ac:dyDescent="0.25">
      <c r="A49">
        <v>46</v>
      </c>
      <c r="B49" t="s">
        <v>2580</v>
      </c>
      <c r="C49" s="29" t="s">
        <v>2581</v>
      </c>
      <c r="D49" s="29" t="s">
        <v>2582</v>
      </c>
      <c r="E49" s="29" t="s">
        <v>2583</v>
      </c>
      <c r="F49" s="29">
        <v>0</v>
      </c>
    </row>
    <row r="50" spans="1:6" x14ac:dyDescent="0.25">
      <c r="A50">
        <v>47</v>
      </c>
      <c r="B50" t="s">
        <v>2584</v>
      </c>
      <c r="C50" s="29" t="s">
        <v>2585</v>
      </c>
      <c r="D50" s="29" t="s">
        <v>2508</v>
      </c>
      <c r="E50" s="29" t="s">
        <v>2586</v>
      </c>
      <c r="F50" s="29">
        <v>0</v>
      </c>
    </row>
    <row r="51" spans="1:6" x14ac:dyDescent="0.25">
      <c r="A51">
        <v>48</v>
      </c>
      <c r="B51" t="s">
        <v>2587</v>
      </c>
      <c r="C51" s="29" t="s">
        <v>2588</v>
      </c>
      <c r="D51" s="29" t="s">
        <v>2589</v>
      </c>
      <c r="E51" s="29" t="s">
        <v>2586</v>
      </c>
      <c r="F51" s="29">
        <v>0</v>
      </c>
    </row>
    <row r="52" spans="1:6" x14ac:dyDescent="0.25">
      <c r="A52">
        <v>49</v>
      </c>
      <c r="B52" t="s">
        <v>2590</v>
      </c>
      <c r="C52" s="29" t="s">
        <v>2591</v>
      </c>
      <c r="D52" s="29" t="s">
        <v>2445</v>
      </c>
      <c r="E52" s="29" t="s">
        <v>2592</v>
      </c>
      <c r="F52" s="29">
        <v>0</v>
      </c>
    </row>
    <row r="53" spans="1:6" x14ac:dyDescent="0.25">
      <c r="A53">
        <v>50</v>
      </c>
      <c r="B53" t="s">
        <v>2593</v>
      </c>
      <c r="C53" s="29" t="s">
        <v>2594</v>
      </c>
      <c r="D53" s="29" t="s">
        <v>2595</v>
      </c>
      <c r="E53" s="29" t="s">
        <v>2596</v>
      </c>
      <c r="F53" s="29">
        <v>0</v>
      </c>
    </row>
    <row r="54" spans="1:6" x14ac:dyDescent="0.25">
      <c r="A54">
        <v>51</v>
      </c>
      <c r="B54" t="s">
        <v>2597</v>
      </c>
      <c r="C54" s="29" t="s">
        <v>2598</v>
      </c>
      <c r="D54" s="29" t="s">
        <v>2462</v>
      </c>
      <c r="E54" s="29" t="s">
        <v>2599</v>
      </c>
      <c r="F54" s="29">
        <v>0</v>
      </c>
    </row>
    <row r="55" spans="1:6" x14ac:dyDescent="0.25">
      <c r="A55">
        <v>52</v>
      </c>
      <c r="B55" t="s">
        <v>2600</v>
      </c>
      <c r="C55" s="29">
        <v>0.1</v>
      </c>
      <c r="D55" s="29" t="s">
        <v>2521</v>
      </c>
      <c r="E55" s="29" t="s">
        <v>2601</v>
      </c>
      <c r="F55" s="29">
        <v>0</v>
      </c>
    </row>
    <row r="56" spans="1:6" x14ac:dyDescent="0.25">
      <c r="A56">
        <v>53</v>
      </c>
      <c r="B56" t="s">
        <v>2602</v>
      </c>
      <c r="C56" s="29">
        <v>8</v>
      </c>
      <c r="D56" s="29" t="s">
        <v>2603</v>
      </c>
      <c r="E56" s="29" t="s">
        <v>2604</v>
      </c>
      <c r="F56" s="29">
        <v>0</v>
      </c>
    </row>
    <row r="57" spans="1:6" x14ac:dyDescent="0.25">
      <c r="A57">
        <v>54</v>
      </c>
      <c r="B57" t="s">
        <v>2605</v>
      </c>
      <c r="C57" s="29" t="s">
        <v>2444</v>
      </c>
      <c r="D57" s="29" t="s">
        <v>2452</v>
      </c>
      <c r="E57" s="29" t="s">
        <v>2606</v>
      </c>
      <c r="F57" s="29">
        <v>0</v>
      </c>
    </row>
    <row r="58" spans="1:6" x14ac:dyDescent="0.25">
      <c r="A58">
        <v>55</v>
      </c>
      <c r="B58" t="s">
        <v>2607</v>
      </c>
      <c r="C58" s="29" t="s">
        <v>2608</v>
      </c>
      <c r="D58" s="29" t="s">
        <v>2521</v>
      </c>
      <c r="E58" s="29" t="s">
        <v>2609</v>
      </c>
      <c r="F58" s="29">
        <v>0</v>
      </c>
    </row>
    <row r="59" spans="1:6" x14ac:dyDescent="0.25">
      <c r="A59">
        <v>56</v>
      </c>
      <c r="B59" t="s">
        <v>2610</v>
      </c>
      <c r="C59" s="29" t="s">
        <v>2611</v>
      </c>
      <c r="D59" s="29" t="s">
        <v>2612</v>
      </c>
      <c r="E59" s="29" t="s">
        <v>2613</v>
      </c>
      <c r="F59" s="29">
        <v>0</v>
      </c>
    </row>
    <row r="60" spans="1:6" x14ac:dyDescent="0.25">
      <c r="A60">
        <v>57</v>
      </c>
      <c r="B60" t="s">
        <v>2614</v>
      </c>
      <c r="C60" s="29" t="s">
        <v>2615</v>
      </c>
      <c r="D60" s="29" t="s">
        <v>2445</v>
      </c>
      <c r="E60" s="29" t="s">
        <v>2616</v>
      </c>
      <c r="F60" s="29">
        <v>0</v>
      </c>
    </row>
    <row r="61" spans="1:6" x14ac:dyDescent="0.25">
      <c r="A61">
        <v>58</v>
      </c>
      <c r="B61" t="s">
        <v>2617</v>
      </c>
      <c r="C61" s="29" t="s">
        <v>2618</v>
      </c>
      <c r="D61" s="29" t="s">
        <v>2478</v>
      </c>
      <c r="E61" s="29" t="s">
        <v>2534</v>
      </c>
      <c r="F61" s="29">
        <v>0</v>
      </c>
    </row>
    <row r="62" spans="1:6" x14ac:dyDescent="0.25">
      <c r="A62">
        <v>59</v>
      </c>
      <c r="B62" t="s">
        <v>2619</v>
      </c>
      <c r="C62" s="29" t="s">
        <v>2620</v>
      </c>
      <c r="D62" s="29" t="s">
        <v>2445</v>
      </c>
      <c r="E62" s="29" t="s">
        <v>2621</v>
      </c>
      <c r="F62" s="29">
        <v>0</v>
      </c>
    </row>
    <row r="63" spans="1:6" x14ac:dyDescent="0.25">
      <c r="A63">
        <v>60</v>
      </c>
      <c r="B63" t="s">
        <v>2622</v>
      </c>
      <c r="C63" s="29" t="s">
        <v>2623</v>
      </c>
      <c r="D63" s="29" t="s">
        <v>2528</v>
      </c>
      <c r="E63" s="29" t="s">
        <v>2624</v>
      </c>
      <c r="F63" s="29">
        <v>0</v>
      </c>
    </row>
    <row r="64" spans="1:6" x14ac:dyDescent="0.25">
      <c r="A64">
        <v>61</v>
      </c>
      <c r="B64" t="s">
        <v>2625</v>
      </c>
      <c r="C64" s="29" t="s">
        <v>2626</v>
      </c>
      <c r="D64" s="29" t="s">
        <v>2627</v>
      </c>
      <c r="E64" s="29" t="s">
        <v>2628</v>
      </c>
      <c r="F64" s="29">
        <v>0</v>
      </c>
    </row>
    <row r="65" spans="1:6" x14ac:dyDescent="0.25">
      <c r="A65">
        <v>62</v>
      </c>
      <c r="B65" t="s">
        <v>2629</v>
      </c>
      <c r="C65" s="29" t="s">
        <v>2630</v>
      </c>
      <c r="D65" s="29" t="s">
        <v>2478</v>
      </c>
      <c r="E65" s="29" t="s">
        <v>2631</v>
      </c>
      <c r="F65" s="29">
        <v>0</v>
      </c>
    </row>
    <row r="66" spans="1:6" x14ac:dyDescent="0.25">
      <c r="A66">
        <v>63</v>
      </c>
      <c r="B66" t="s">
        <v>2632</v>
      </c>
      <c r="C66" s="29" t="s">
        <v>2633</v>
      </c>
      <c r="D66" s="29" t="s">
        <v>2518</v>
      </c>
      <c r="E66" s="29" t="s">
        <v>2634</v>
      </c>
      <c r="F66" s="29">
        <v>0</v>
      </c>
    </row>
    <row r="67" spans="1:6" x14ac:dyDescent="0.25">
      <c r="A67">
        <v>64</v>
      </c>
      <c r="B67" t="s">
        <v>2635</v>
      </c>
      <c r="C67" s="29">
        <v>0.1</v>
      </c>
      <c r="D67" s="29" t="s">
        <v>2636</v>
      </c>
      <c r="E67" s="29" t="s">
        <v>2637</v>
      </c>
      <c r="F67" s="29">
        <v>0</v>
      </c>
    </row>
    <row r="68" spans="1:6" x14ac:dyDescent="0.25">
      <c r="A68">
        <v>65</v>
      </c>
      <c r="B68" t="s">
        <v>2638</v>
      </c>
      <c r="C68" s="29" t="s">
        <v>2639</v>
      </c>
      <c r="D68" s="29" t="s">
        <v>2640</v>
      </c>
      <c r="E68" s="29" t="s">
        <v>2641</v>
      </c>
      <c r="F68" s="29">
        <v>0</v>
      </c>
    </row>
    <row r="69" spans="1:6" x14ac:dyDescent="0.25">
      <c r="A69">
        <v>66</v>
      </c>
      <c r="B69" t="s">
        <v>2642</v>
      </c>
      <c r="C69" s="29" t="s">
        <v>2643</v>
      </c>
      <c r="D69" s="29" t="s">
        <v>2644</v>
      </c>
      <c r="E69" s="29" t="s">
        <v>2645</v>
      </c>
      <c r="F69" s="29">
        <v>0</v>
      </c>
    </row>
    <row r="70" spans="1:6" x14ac:dyDescent="0.25">
      <c r="A70">
        <v>67</v>
      </c>
      <c r="B70" t="s">
        <v>2646</v>
      </c>
      <c r="C70" s="29" t="s">
        <v>2647</v>
      </c>
      <c r="D70" s="29" t="s">
        <v>2648</v>
      </c>
      <c r="E70" s="29" t="s">
        <v>2649</v>
      </c>
      <c r="F70" s="29">
        <v>0</v>
      </c>
    </row>
    <row r="71" spans="1:6" x14ac:dyDescent="0.25">
      <c r="A71">
        <v>68</v>
      </c>
      <c r="B71" t="s">
        <v>2650</v>
      </c>
      <c r="C71" s="29">
        <v>5</v>
      </c>
      <c r="D71" s="29" t="s">
        <v>2651</v>
      </c>
      <c r="E71" s="29" t="s">
        <v>2652</v>
      </c>
      <c r="F71" s="29">
        <v>0</v>
      </c>
    </row>
    <row r="72" spans="1:6" x14ac:dyDescent="0.25">
      <c r="A72">
        <v>69</v>
      </c>
      <c r="B72" t="s">
        <v>2653</v>
      </c>
      <c r="C72" s="29" t="s">
        <v>2654</v>
      </c>
      <c r="D72" s="29" t="s">
        <v>2655</v>
      </c>
      <c r="E72" s="29" t="s">
        <v>2456</v>
      </c>
      <c r="F72" s="29">
        <v>0</v>
      </c>
    </row>
    <row r="73" spans="1:6" x14ac:dyDescent="0.25">
      <c r="A73">
        <v>70</v>
      </c>
      <c r="B73" t="s">
        <v>2656</v>
      </c>
      <c r="C73" s="29">
        <v>28</v>
      </c>
      <c r="D73" s="29" t="s">
        <v>2657</v>
      </c>
      <c r="E73" s="29" t="s">
        <v>2658</v>
      </c>
      <c r="F73" s="29">
        <v>0</v>
      </c>
    </row>
    <row r="74" spans="1:6" x14ac:dyDescent="0.25">
      <c r="A74">
        <v>71</v>
      </c>
      <c r="B74" t="s">
        <v>2659</v>
      </c>
      <c r="C74" s="29">
        <v>39800</v>
      </c>
      <c r="D74" s="29" t="s">
        <v>2521</v>
      </c>
      <c r="E74" s="29" t="s">
        <v>2456</v>
      </c>
      <c r="F74" s="29">
        <v>0</v>
      </c>
    </row>
    <row r="75" spans="1:6" x14ac:dyDescent="0.25">
      <c r="A75">
        <v>72</v>
      </c>
      <c r="B75" t="s">
        <v>2660</v>
      </c>
      <c r="C75" s="29" t="s">
        <v>2661</v>
      </c>
      <c r="D75" s="29" t="s">
        <v>2452</v>
      </c>
      <c r="E75" s="29" t="s">
        <v>2662</v>
      </c>
      <c r="F75" s="29">
        <v>0</v>
      </c>
    </row>
    <row r="76" spans="1:6" x14ac:dyDescent="0.25">
      <c r="A76">
        <v>73</v>
      </c>
      <c r="B76" t="s">
        <v>2663</v>
      </c>
      <c r="C76" s="29">
        <v>130</v>
      </c>
      <c r="D76" s="29" t="s">
        <v>2664</v>
      </c>
      <c r="E76" s="29" t="s">
        <v>2613</v>
      </c>
      <c r="F76" s="29">
        <v>0</v>
      </c>
    </row>
    <row r="77" spans="1:6" x14ac:dyDescent="0.25">
      <c r="A77">
        <v>74</v>
      </c>
      <c r="B77" t="s">
        <v>2665</v>
      </c>
      <c r="C77" s="29" t="s">
        <v>2666</v>
      </c>
      <c r="D77" s="29" t="s">
        <v>2445</v>
      </c>
      <c r="E77" s="29" t="s">
        <v>2667</v>
      </c>
      <c r="F77" s="29">
        <v>0</v>
      </c>
    </row>
    <row r="78" spans="1:6" x14ac:dyDescent="0.25">
      <c r="A78">
        <v>75</v>
      </c>
      <c r="B78" t="s">
        <v>2668</v>
      </c>
      <c r="C78" s="29" t="s">
        <v>2669</v>
      </c>
      <c r="D78" s="29" t="s">
        <v>2452</v>
      </c>
      <c r="E78" s="29" t="s">
        <v>2670</v>
      </c>
      <c r="F78" s="29">
        <v>0</v>
      </c>
    </row>
    <row r="79" spans="1:6" x14ac:dyDescent="0.25">
      <c r="A79">
        <v>76</v>
      </c>
      <c r="B79" t="s">
        <v>2668</v>
      </c>
      <c r="C79" s="29" t="s">
        <v>2671</v>
      </c>
      <c r="D79" s="29" t="s">
        <v>2452</v>
      </c>
      <c r="E79" s="29" t="s">
        <v>2670</v>
      </c>
      <c r="F79" s="29">
        <v>0</v>
      </c>
    </row>
    <row r="80" spans="1:6" x14ac:dyDescent="0.25">
      <c r="A80">
        <v>77</v>
      </c>
      <c r="B80" t="s">
        <v>2672</v>
      </c>
      <c r="C80" s="29" t="s">
        <v>2673</v>
      </c>
      <c r="D80" s="29" t="s">
        <v>2462</v>
      </c>
      <c r="E80" s="29" t="s">
        <v>2674</v>
      </c>
      <c r="F80" s="29">
        <v>0</v>
      </c>
    </row>
    <row r="81" spans="1:6" x14ac:dyDescent="0.25">
      <c r="A81">
        <v>78</v>
      </c>
      <c r="B81" t="s">
        <v>2675</v>
      </c>
      <c r="C81" s="29" t="s">
        <v>2676</v>
      </c>
      <c r="D81" s="29" t="s">
        <v>2462</v>
      </c>
      <c r="E81" s="29" t="s">
        <v>2677</v>
      </c>
      <c r="F81" s="29">
        <v>0</v>
      </c>
    </row>
    <row r="82" spans="1:6" x14ac:dyDescent="0.25">
      <c r="A82">
        <v>79</v>
      </c>
      <c r="B82" t="s">
        <v>2678</v>
      </c>
      <c r="C82" s="29" t="s">
        <v>2679</v>
      </c>
      <c r="D82" s="29" t="s">
        <v>2680</v>
      </c>
      <c r="E82" s="29" t="s">
        <v>2529</v>
      </c>
      <c r="F82" s="29">
        <v>0</v>
      </c>
    </row>
    <row r="83" spans="1:6" x14ac:dyDescent="0.25">
      <c r="A83">
        <v>80</v>
      </c>
      <c r="B83" t="s">
        <v>2681</v>
      </c>
      <c r="C83" s="29" t="s">
        <v>2682</v>
      </c>
      <c r="D83" s="29" t="s">
        <v>2683</v>
      </c>
      <c r="E83" s="29" t="s">
        <v>2506</v>
      </c>
      <c r="F83" s="29">
        <v>0</v>
      </c>
    </row>
    <row r="84" spans="1:6" x14ac:dyDescent="0.25">
      <c r="A84">
        <v>81</v>
      </c>
      <c r="B84" t="s">
        <v>2684</v>
      </c>
      <c r="C84" s="29" t="s">
        <v>2685</v>
      </c>
      <c r="D84" s="29" t="s">
        <v>2452</v>
      </c>
      <c r="E84" s="29" t="s">
        <v>2686</v>
      </c>
      <c r="F84" s="29">
        <v>0</v>
      </c>
    </row>
    <row r="85" spans="1:6" x14ac:dyDescent="0.25">
      <c r="A85">
        <v>82</v>
      </c>
      <c r="B85" t="s">
        <v>2687</v>
      </c>
      <c r="C85" s="29" t="s">
        <v>2688</v>
      </c>
      <c r="D85" s="29" t="s">
        <v>2689</v>
      </c>
      <c r="E85" s="29" t="s">
        <v>2456</v>
      </c>
      <c r="F85" s="29">
        <v>0</v>
      </c>
    </row>
    <row r="86" spans="1:6" x14ac:dyDescent="0.25">
      <c r="A86">
        <v>83</v>
      </c>
      <c r="B86" t="s">
        <v>2690</v>
      </c>
      <c r="C86" s="29" t="s">
        <v>2691</v>
      </c>
      <c r="D86" s="29" t="s">
        <v>2692</v>
      </c>
      <c r="E86" s="29" t="s">
        <v>2670</v>
      </c>
      <c r="F86" s="29">
        <v>0</v>
      </c>
    </row>
    <row r="87" spans="1:6" x14ac:dyDescent="0.25">
      <c r="A87">
        <v>84</v>
      </c>
      <c r="B87" t="s">
        <v>2693</v>
      </c>
      <c r="C87" s="29">
        <v>17000.000100000001</v>
      </c>
      <c r="D87" s="29" t="s">
        <v>2694</v>
      </c>
      <c r="E87" s="29" t="s">
        <v>2621</v>
      </c>
      <c r="F87" s="29">
        <v>0</v>
      </c>
    </row>
    <row r="88" spans="1:6" x14ac:dyDescent="0.25">
      <c r="A88">
        <v>85</v>
      </c>
      <c r="B88" t="s">
        <v>2695</v>
      </c>
      <c r="C88" s="29" t="s">
        <v>2696</v>
      </c>
      <c r="D88" s="29" t="s">
        <v>2518</v>
      </c>
      <c r="E88" s="29" t="s">
        <v>2697</v>
      </c>
      <c r="F88" s="29">
        <v>0</v>
      </c>
    </row>
    <row r="89" spans="1:6" x14ac:dyDescent="0.25">
      <c r="A89">
        <v>86</v>
      </c>
      <c r="B89" t="s">
        <v>2698</v>
      </c>
      <c r="C89" s="29">
        <v>2000</v>
      </c>
      <c r="D89" s="29" t="s">
        <v>2699</v>
      </c>
      <c r="E89" s="29" t="s">
        <v>2700</v>
      </c>
      <c r="F89" s="29">
        <v>0</v>
      </c>
    </row>
    <row r="90" spans="1:6" x14ac:dyDescent="0.25">
      <c r="A90">
        <v>87</v>
      </c>
      <c r="B90" t="s">
        <v>2701</v>
      </c>
      <c r="C90" s="29" t="s">
        <v>2702</v>
      </c>
      <c r="D90" s="29" t="s">
        <v>2445</v>
      </c>
      <c r="E90" s="29" t="s">
        <v>2703</v>
      </c>
      <c r="F90" s="29">
        <v>0</v>
      </c>
    </row>
    <row r="91" spans="1:6" x14ac:dyDescent="0.25">
      <c r="A91">
        <v>88</v>
      </c>
      <c r="B91" t="s">
        <v>2704</v>
      </c>
      <c r="C91" s="29" t="s">
        <v>2705</v>
      </c>
      <c r="D91" s="29" t="s">
        <v>2706</v>
      </c>
      <c r="E91" s="29" t="s">
        <v>2707</v>
      </c>
      <c r="F91" s="29">
        <v>0</v>
      </c>
    </row>
    <row r="92" spans="1:6" x14ac:dyDescent="0.25">
      <c r="A92">
        <v>89</v>
      </c>
      <c r="B92" t="s">
        <v>2708</v>
      </c>
      <c r="C92" s="29" t="s">
        <v>2709</v>
      </c>
      <c r="D92" s="29" t="s">
        <v>2561</v>
      </c>
      <c r="E92" s="29" t="s">
        <v>2652</v>
      </c>
      <c r="F92" s="29">
        <v>0</v>
      </c>
    </row>
    <row r="93" spans="1:6" x14ac:dyDescent="0.25">
      <c r="A93">
        <v>90</v>
      </c>
      <c r="B93" t="s">
        <v>2708</v>
      </c>
      <c r="C93" s="29" t="s">
        <v>2710</v>
      </c>
      <c r="D93" s="29" t="s">
        <v>2452</v>
      </c>
      <c r="E93" s="29" t="s">
        <v>2711</v>
      </c>
      <c r="F93" s="29">
        <v>0</v>
      </c>
    </row>
    <row r="94" spans="1:6" x14ac:dyDescent="0.25">
      <c r="A94">
        <v>91</v>
      </c>
      <c r="B94" t="s">
        <v>2712</v>
      </c>
      <c r="C94" s="29" t="s">
        <v>2713</v>
      </c>
      <c r="D94" s="29" t="s">
        <v>2478</v>
      </c>
      <c r="E94" s="29" t="s">
        <v>2534</v>
      </c>
      <c r="F94" s="29">
        <v>0</v>
      </c>
    </row>
    <row r="95" spans="1:6" x14ac:dyDescent="0.25">
      <c r="A95">
        <v>92</v>
      </c>
      <c r="B95" t="s">
        <v>2714</v>
      </c>
      <c r="C95" s="29" t="s">
        <v>2709</v>
      </c>
      <c r="D95" s="29" t="s">
        <v>2715</v>
      </c>
      <c r="E95" s="29" t="s">
        <v>2716</v>
      </c>
      <c r="F95" s="29">
        <v>0</v>
      </c>
    </row>
    <row r="96" spans="1:6" x14ac:dyDescent="0.25">
      <c r="A96">
        <v>93</v>
      </c>
      <c r="B96" t="s">
        <v>2717</v>
      </c>
      <c r="C96" s="29" t="s">
        <v>2718</v>
      </c>
      <c r="D96" s="29" t="s">
        <v>2561</v>
      </c>
      <c r="E96" s="29" t="s">
        <v>2719</v>
      </c>
      <c r="F96" s="29">
        <v>0</v>
      </c>
    </row>
    <row r="97" spans="1:6" x14ac:dyDescent="0.25">
      <c r="A97">
        <v>94</v>
      </c>
      <c r="B97" t="s">
        <v>2720</v>
      </c>
      <c r="C97" s="29" t="s">
        <v>2721</v>
      </c>
      <c r="D97" s="29" t="s">
        <v>2452</v>
      </c>
      <c r="E97" s="29" t="s">
        <v>2722</v>
      </c>
      <c r="F97" s="29">
        <v>0</v>
      </c>
    </row>
    <row r="98" spans="1:6" x14ac:dyDescent="0.25">
      <c r="A98">
        <v>95</v>
      </c>
      <c r="B98" t="s">
        <v>2723</v>
      </c>
      <c r="C98" s="29" t="s">
        <v>2724</v>
      </c>
      <c r="D98" s="29" t="s">
        <v>2680</v>
      </c>
      <c r="E98" s="29" t="s">
        <v>2725</v>
      </c>
      <c r="F98" s="29">
        <v>0</v>
      </c>
    </row>
    <row r="99" spans="1:6" x14ac:dyDescent="0.25">
      <c r="A99">
        <v>96</v>
      </c>
      <c r="B99" t="s">
        <v>2726</v>
      </c>
      <c r="C99" s="29" t="s">
        <v>2727</v>
      </c>
      <c r="D99" s="29" t="s">
        <v>2561</v>
      </c>
      <c r="E99" s="29" t="s">
        <v>2728</v>
      </c>
      <c r="F99" s="29">
        <v>0</v>
      </c>
    </row>
    <row r="100" spans="1:6" x14ac:dyDescent="0.25">
      <c r="A100">
        <v>97</v>
      </c>
      <c r="B100" t="s">
        <v>2729</v>
      </c>
      <c r="C100" s="29" t="s">
        <v>2730</v>
      </c>
      <c r="D100" s="29" t="s">
        <v>2478</v>
      </c>
      <c r="E100" s="29" t="s">
        <v>2621</v>
      </c>
      <c r="F100" s="29">
        <v>0</v>
      </c>
    </row>
    <row r="101" spans="1:6" x14ac:dyDescent="0.25">
      <c r="A101">
        <v>98</v>
      </c>
      <c r="B101" t="s">
        <v>2731</v>
      </c>
      <c r="C101" s="29" t="s">
        <v>2732</v>
      </c>
      <c r="D101" s="29" t="s">
        <v>2445</v>
      </c>
      <c r="E101" s="29" t="s">
        <v>2733</v>
      </c>
      <c r="F101" s="29">
        <v>0</v>
      </c>
    </row>
    <row r="102" spans="1:6" x14ac:dyDescent="0.25">
      <c r="A102">
        <v>99</v>
      </c>
      <c r="B102" t="s">
        <v>2734</v>
      </c>
      <c r="C102" s="29" t="s">
        <v>2735</v>
      </c>
      <c r="D102" s="29" t="s">
        <v>2512</v>
      </c>
      <c r="E102" s="29" t="s">
        <v>2736</v>
      </c>
      <c r="F102" s="29">
        <v>0</v>
      </c>
    </row>
    <row r="103" spans="1:6" x14ac:dyDescent="0.25">
      <c r="A103">
        <v>100</v>
      </c>
      <c r="B103" t="s">
        <v>2737</v>
      </c>
      <c r="C103" s="29" t="s">
        <v>2738</v>
      </c>
      <c r="D103" s="29" t="s">
        <v>2627</v>
      </c>
      <c r="E103" s="29" t="s">
        <v>2739</v>
      </c>
      <c r="F103" s="29">
        <v>0</v>
      </c>
    </row>
    <row r="104" spans="1:6" x14ac:dyDescent="0.25">
      <c r="A104">
        <v>101</v>
      </c>
      <c r="B104" t="s">
        <v>2740</v>
      </c>
      <c r="C104" s="29" t="s">
        <v>2741</v>
      </c>
      <c r="D104" s="29" t="s">
        <v>2561</v>
      </c>
      <c r="E104" s="29" t="s">
        <v>2469</v>
      </c>
      <c r="F104" s="29">
        <v>0</v>
      </c>
    </row>
    <row r="105" spans="1:6" x14ac:dyDescent="0.25">
      <c r="A105">
        <v>102</v>
      </c>
      <c r="B105" t="s">
        <v>2742</v>
      </c>
      <c r="C105" s="29" t="s">
        <v>2743</v>
      </c>
      <c r="D105" s="29" t="s">
        <v>2445</v>
      </c>
      <c r="E105" s="29" t="s">
        <v>2744</v>
      </c>
      <c r="F105" s="29">
        <v>0</v>
      </c>
    </row>
    <row r="106" spans="1:6" x14ac:dyDescent="0.25">
      <c r="A106">
        <v>103</v>
      </c>
      <c r="B106" t="s">
        <v>2745</v>
      </c>
      <c r="C106" s="29" t="s">
        <v>2746</v>
      </c>
      <c r="D106" s="29" t="s">
        <v>2747</v>
      </c>
      <c r="E106" s="29" t="s">
        <v>2545</v>
      </c>
      <c r="F106" s="29">
        <v>0</v>
      </c>
    </row>
    <row r="107" spans="1:6" x14ac:dyDescent="0.25">
      <c r="A107">
        <v>104</v>
      </c>
      <c r="B107" t="s">
        <v>2748</v>
      </c>
      <c r="C107" s="29">
        <v>8</v>
      </c>
      <c r="D107" s="29" t="s">
        <v>2699</v>
      </c>
      <c r="E107" s="29" t="s">
        <v>2749</v>
      </c>
      <c r="F107" s="29">
        <v>0</v>
      </c>
    </row>
    <row r="108" spans="1:6" x14ac:dyDescent="0.25">
      <c r="A108">
        <v>105</v>
      </c>
      <c r="B108" t="s">
        <v>2750</v>
      </c>
      <c r="C108" s="29" t="s">
        <v>2751</v>
      </c>
      <c r="D108" s="29" t="s">
        <v>2752</v>
      </c>
      <c r="E108" s="29" t="s">
        <v>2456</v>
      </c>
      <c r="F108" s="29">
        <v>0</v>
      </c>
    </row>
    <row r="109" spans="1:6" x14ac:dyDescent="0.25">
      <c r="A109">
        <v>106</v>
      </c>
      <c r="B109" t="s">
        <v>2753</v>
      </c>
      <c r="C109" s="29">
        <v>0.5</v>
      </c>
      <c r="D109" s="29" t="s">
        <v>2754</v>
      </c>
      <c r="E109" s="29" t="s">
        <v>2755</v>
      </c>
      <c r="F109" s="29">
        <v>0</v>
      </c>
    </row>
    <row r="110" spans="1:6" x14ac:dyDescent="0.25">
      <c r="A110">
        <v>107</v>
      </c>
      <c r="B110" t="s">
        <v>2756</v>
      </c>
      <c r="C110" s="29">
        <v>344</v>
      </c>
      <c r="D110" s="29" t="s">
        <v>2757</v>
      </c>
      <c r="E110" s="29" t="s">
        <v>2758</v>
      </c>
      <c r="F110" s="29">
        <v>0</v>
      </c>
    </row>
    <row r="111" spans="1:6" x14ac:dyDescent="0.25">
      <c r="A111">
        <v>108</v>
      </c>
      <c r="B111" t="s">
        <v>2759</v>
      </c>
      <c r="C111" s="29" t="s">
        <v>2760</v>
      </c>
      <c r="D111" s="29" t="s">
        <v>2692</v>
      </c>
      <c r="E111" s="29" t="s">
        <v>2761</v>
      </c>
      <c r="F111" s="29">
        <v>0</v>
      </c>
    </row>
    <row r="112" spans="1:6" x14ac:dyDescent="0.25">
      <c r="A112">
        <v>109</v>
      </c>
      <c r="B112" t="s">
        <v>2762</v>
      </c>
      <c r="C112" s="29" t="s">
        <v>2763</v>
      </c>
      <c r="D112" s="29" t="s">
        <v>2445</v>
      </c>
      <c r="E112" s="29" t="s">
        <v>2764</v>
      </c>
      <c r="F112" s="29">
        <v>0</v>
      </c>
    </row>
    <row r="113" spans="1:6" x14ac:dyDescent="0.25">
      <c r="A113">
        <v>110</v>
      </c>
      <c r="B113" t="s">
        <v>2765</v>
      </c>
      <c r="C113" s="29" t="s">
        <v>2766</v>
      </c>
      <c r="D113" s="29" t="s">
        <v>2518</v>
      </c>
      <c r="E113" s="29" t="s">
        <v>2719</v>
      </c>
      <c r="F113" s="29">
        <v>0</v>
      </c>
    </row>
    <row r="114" spans="1:6" x14ac:dyDescent="0.25">
      <c r="A114">
        <v>111</v>
      </c>
      <c r="B114" t="s">
        <v>2767</v>
      </c>
      <c r="C114" s="29" t="s">
        <v>2768</v>
      </c>
      <c r="D114" s="29" t="s">
        <v>2769</v>
      </c>
      <c r="E114" s="29" t="s">
        <v>2770</v>
      </c>
      <c r="F114" s="29">
        <v>0</v>
      </c>
    </row>
    <row r="115" spans="1:6" x14ac:dyDescent="0.25">
      <c r="A115">
        <v>112</v>
      </c>
      <c r="B115" t="s">
        <v>2771</v>
      </c>
      <c r="C115" s="29" t="s">
        <v>2772</v>
      </c>
      <c r="D115" s="29" t="s">
        <v>2478</v>
      </c>
      <c r="E115" s="29" t="s">
        <v>2456</v>
      </c>
      <c r="F115" s="29">
        <v>0</v>
      </c>
    </row>
    <row r="116" spans="1:6" x14ac:dyDescent="0.25">
      <c r="A116">
        <v>113</v>
      </c>
      <c r="B116" t="s">
        <v>2773</v>
      </c>
      <c r="C116" s="29">
        <v>30</v>
      </c>
      <c r="D116" s="29" t="s">
        <v>2657</v>
      </c>
      <c r="E116" s="29" t="s">
        <v>2658</v>
      </c>
      <c r="F116" s="29">
        <v>0</v>
      </c>
    </row>
    <row r="117" spans="1:6" x14ac:dyDescent="0.25">
      <c r="A117">
        <v>114</v>
      </c>
      <c r="B117" t="s">
        <v>2774</v>
      </c>
      <c r="C117" s="29" t="s">
        <v>2775</v>
      </c>
      <c r="D117" s="29" t="s">
        <v>2561</v>
      </c>
      <c r="E117" s="29" t="s">
        <v>2456</v>
      </c>
      <c r="F117" s="29">
        <v>0</v>
      </c>
    </row>
    <row r="118" spans="1:6" x14ac:dyDescent="0.25">
      <c r="A118">
        <v>115</v>
      </c>
      <c r="B118" t="s">
        <v>2776</v>
      </c>
      <c r="C118" s="29" t="s">
        <v>2777</v>
      </c>
      <c r="D118" s="29" t="s">
        <v>2462</v>
      </c>
      <c r="E118" s="29" t="s">
        <v>2778</v>
      </c>
      <c r="F118" s="29">
        <v>0</v>
      </c>
    </row>
    <row r="119" spans="1:6" x14ac:dyDescent="0.25">
      <c r="A119">
        <v>116</v>
      </c>
      <c r="B119" t="s">
        <v>2779</v>
      </c>
      <c r="C119" s="29" t="s">
        <v>2780</v>
      </c>
      <c r="D119" s="29" t="s">
        <v>2781</v>
      </c>
      <c r="E119" s="29" t="s">
        <v>2621</v>
      </c>
      <c r="F119" s="29">
        <v>0</v>
      </c>
    </row>
    <row r="120" spans="1:6" x14ac:dyDescent="0.25">
      <c r="A120">
        <v>117</v>
      </c>
      <c r="B120" t="s">
        <v>2782</v>
      </c>
      <c r="C120" s="29" t="s">
        <v>2783</v>
      </c>
      <c r="D120" s="29" t="s">
        <v>2784</v>
      </c>
      <c r="E120" s="29" t="s">
        <v>2785</v>
      </c>
      <c r="F120" s="29">
        <v>0</v>
      </c>
    </row>
    <row r="121" spans="1:6" x14ac:dyDescent="0.25">
      <c r="A121">
        <v>118</v>
      </c>
      <c r="B121" t="s">
        <v>2786</v>
      </c>
      <c r="C121" s="29" t="s">
        <v>2787</v>
      </c>
      <c r="D121" s="29" t="s">
        <v>2528</v>
      </c>
      <c r="E121" s="29" t="s">
        <v>2788</v>
      </c>
      <c r="F121" s="29">
        <v>0</v>
      </c>
    </row>
    <row r="122" spans="1:6" x14ac:dyDescent="0.25">
      <c r="A122">
        <v>119</v>
      </c>
      <c r="B122" t="s">
        <v>2789</v>
      </c>
      <c r="C122" s="29" t="s">
        <v>2790</v>
      </c>
      <c r="D122" s="29" t="s">
        <v>2791</v>
      </c>
      <c r="E122" s="29" t="s">
        <v>2792</v>
      </c>
      <c r="F122" s="29">
        <v>0</v>
      </c>
    </row>
    <row r="123" spans="1:6" x14ac:dyDescent="0.25">
      <c r="A123">
        <v>120</v>
      </c>
      <c r="B123" t="s">
        <v>2793</v>
      </c>
      <c r="C123" s="29" t="s">
        <v>2794</v>
      </c>
      <c r="D123" s="29" t="s">
        <v>2478</v>
      </c>
      <c r="E123" s="29" t="s">
        <v>2795</v>
      </c>
      <c r="F123" s="29">
        <v>0</v>
      </c>
    </row>
    <row r="124" spans="1:6" x14ac:dyDescent="0.25">
      <c r="A124">
        <v>121</v>
      </c>
      <c r="B124" t="s">
        <v>2796</v>
      </c>
      <c r="C124" s="29" t="s">
        <v>2531</v>
      </c>
      <c r="D124" s="29" t="s">
        <v>2508</v>
      </c>
      <c r="E124" s="29" t="s">
        <v>2494</v>
      </c>
      <c r="F124" s="29">
        <v>0</v>
      </c>
    </row>
    <row r="125" spans="1:6" x14ac:dyDescent="0.25">
      <c r="A125">
        <v>122</v>
      </c>
      <c r="B125" t="s">
        <v>2797</v>
      </c>
      <c r="C125" s="29" t="s">
        <v>2798</v>
      </c>
      <c r="D125" s="29" t="s">
        <v>2528</v>
      </c>
      <c r="E125" s="29" t="s">
        <v>2799</v>
      </c>
      <c r="F125" s="29">
        <v>0</v>
      </c>
    </row>
    <row r="126" spans="1:6" x14ac:dyDescent="0.25">
      <c r="A126">
        <v>123</v>
      </c>
      <c r="B126" t="s">
        <v>2800</v>
      </c>
      <c r="C126" s="29" t="s">
        <v>2801</v>
      </c>
      <c r="D126" s="29" t="s">
        <v>2802</v>
      </c>
      <c r="E126" s="29" t="s">
        <v>2803</v>
      </c>
      <c r="F126" s="29">
        <v>0</v>
      </c>
    </row>
    <row r="127" spans="1:6" x14ac:dyDescent="0.25">
      <c r="A127">
        <v>124</v>
      </c>
      <c r="B127" t="s">
        <v>2804</v>
      </c>
      <c r="C127" s="29" t="s">
        <v>2673</v>
      </c>
      <c r="D127" s="29" t="s">
        <v>2561</v>
      </c>
      <c r="E127" s="29" t="s">
        <v>2805</v>
      </c>
      <c r="F127" s="29">
        <v>0</v>
      </c>
    </row>
    <row r="128" spans="1:6" x14ac:dyDescent="0.25">
      <c r="A128">
        <v>125</v>
      </c>
      <c r="B128" t="s">
        <v>2806</v>
      </c>
      <c r="C128" s="29" t="s">
        <v>2807</v>
      </c>
      <c r="D128" s="29" t="s">
        <v>2808</v>
      </c>
      <c r="E128" s="29" t="s">
        <v>2809</v>
      </c>
      <c r="F128" s="29">
        <v>0</v>
      </c>
    </row>
    <row r="129" spans="1:6" x14ac:dyDescent="0.25">
      <c r="A129">
        <v>126</v>
      </c>
      <c r="B129" t="s">
        <v>2810</v>
      </c>
      <c r="C129" s="29" t="s">
        <v>2811</v>
      </c>
      <c r="D129" s="29" t="s">
        <v>2812</v>
      </c>
      <c r="E129" s="29" t="s">
        <v>2813</v>
      </c>
      <c r="F129" s="29">
        <v>0</v>
      </c>
    </row>
    <row r="130" spans="1:6" x14ac:dyDescent="0.25">
      <c r="A130">
        <v>127</v>
      </c>
      <c r="B130" t="s">
        <v>2810</v>
      </c>
      <c r="C130" s="29" t="s">
        <v>2811</v>
      </c>
      <c r="D130" s="29" t="s">
        <v>2814</v>
      </c>
      <c r="E130" s="29" t="s">
        <v>2815</v>
      </c>
      <c r="F130" s="29">
        <v>0</v>
      </c>
    </row>
    <row r="131" spans="1:6" x14ac:dyDescent="0.25">
      <c r="A131">
        <v>128</v>
      </c>
      <c r="B131" t="s">
        <v>2816</v>
      </c>
      <c r="C131" s="29" t="s">
        <v>2727</v>
      </c>
      <c r="D131" s="29" t="s">
        <v>2817</v>
      </c>
      <c r="E131" s="29" t="s">
        <v>2818</v>
      </c>
      <c r="F131" s="29">
        <v>0</v>
      </c>
    </row>
    <row r="132" spans="1:6" x14ac:dyDescent="0.25">
      <c r="A132">
        <v>129</v>
      </c>
      <c r="B132" t="s">
        <v>2819</v>
      </c>
      <c r="C132" s="29" t="s">
        <v>2820</v>
      </c>
      <c r="D132" s="29" t="s">
        <v>2627</v>
      </c>
      <c r="E132" s="29" t="s">
        <v>2821</v>
      </c>
      <c r="F132" s="29">
        <v>0</v>
      </c>
    </row>
    <row r="133" spans="1:6" x14ac:dyDescent="0.25">
      <c r="A133">
        <v>130</v>
      </c>
      <c r="B133" t="s">
        <v>2822</v>
      </c>
      <c r="C133" s="29" t="s">
        <v>2448</v>
      </c>
      <c r="D133" s="29" t="s">
        <v>2445</v>
      </c>
      <c r="E133" s="29" t="s">
        <v>2823</v>
      </c>
      <c r="F133" s="29">
        <v>0</v>
      </c>
    </row>
    <row r="134" spans="1:6" x14ac:dyDescent="0.25">
      <c r="A134">
        <v>131</v>
      </c>
      <c r="B134" t="s">
        <v>2824</v>
      </c>
      <c r="C134" s="29" t="s">
        <v>2825</v>
      </c>
      <c r="D134" s="29" t="s">
        <v>2752</v>
      </c>
      <c r="E134" s="29" t="s">
        <v>2826</v>
      </c>
      <c r="F134" s="29">
        <v>0</v>
      </c>
    </row>
    <row r="135" spans="1:6" x14ac:dyDescent="0.25">
      <c r="A135">
        <v>132</v>
      </c>
      <c r="B135" t="s">
        <v>2827</v>
      </c>
      <c r="C135" s="29" t="s">
        <v>2828</v>
      </c>
      <c r="D135" s="29" t="s">
        <v>2478</v>
      </c>
      <c r="E135" s="29" t="s">
        <v>2829</v>
      </c>
      <c r="F135" s="29">
        <v>0</v>
      </c>
    </row>
    <row r="136" spans="1:6" x14ac:dyDescent="0.25">
      <c r="A136">
        <v>133</v>
      </c>
      <c r="B136" t="s">
        <v>2830</v>
      </c>
      <c r="C136" s="29" t="s">
        <v>2831</v>
      </c>
      <c r="D136" s="29" t="s">
        <v>2589</v>
      </c>
      <c r="E136" s="29" t="s">
        <v>2832</v>
      </c>
      <c r="F136" s="29">
        <v>0</v>
      </c>
    </row>
    <row r="137" spans="1:6" x14ac:dyDescent="0.25">
      <c r="A137">
        <v>134</v>
      </c>
      <c r="B137" t="s">
        <v>2833</v>
      </c>
      <c r="C137" s="29" t="s">
        <v>2834</v>
      </c>
      <c r="D137" s="29" t="s">
        <v>2812</v>
      </c>
      <c r="E137" s="29" t="s">
        <v>2835</v>
      </c>
      <c r="F137" s="29">
        <v>0</v>
      </c>
    </row>
    <row r="138" spans="1:6" x14ac:dyDescent="0.25">
      <c r="A138">
        <v>135</v>
      </c>
      <c r="B138" t="s">
        <v>2836</v>
      </c>
      <c r="C138" s="29">
        <v>1790000</v>
      </c>
      <c r="D138" s="29" t="s">
        <v>2837</v>
      </c>
      <c r="E138" s="29" t="s">
        <v>2838</v>
      </c>
      <c r="F138" s="29">
        <v>0</v>
      </c>
    </row>
    <row r="139" spans="1:6" x14ac:dyDescent="0.25">
      <c r="A139">
        <v>136</v>
      </c>
      <c r="B139" t="s">
        <v>2839</v>
      </c>
      <c r="C139" s="29" t="s">
        <v>2840</v>
      </c>
      <c r="D139" s="29" t="s">
        <v>2582</v>
      </c>
      <c r="E139" s="29" t="s">
        <v>2841</v>
      </c>
      <c r="F139" s="29">
        <v>0</v>
      </c>
    </row>
    <row r="140" spans="1:6" x14ac:dyDescent="0.25">
      <c r="A140">
        <v>137</v>
      </c>
      <c r="B140" t="s">
        <v>2842</v>
      </c>
      <c r="C140" s="29" t="s">
        <v>2843</v>
      </c>
      <c r="D140" s="29" t="s">
        <v>2478</v>
      </c>
      <c r="E140" s="29" t="s">
        <v>2844</v>
      </c>
      <c r="F140" s="29">
        <v>0</v>
      </c>
    </row>
    <row r="141" spans="1:6" x14ac:dyDescent="0.25">
      <c r="A141">
        <v>138</v>
      </c>
      <c r="B141" t="s">
        <v>2845</v>
      </c>
      <c r="C141" s="29">
        <v>19.100000000000001</v>
      </c>
      <c r="D141" s="29" t="s">
        <v>2468</v>
      </c>
      <c r="E141" s="29" t="s">
        <v>2846</v>
      </c>
      <c r="F141" s="29">
        <v>0</v>
      </c>
    </row>
    <row r="142" spans="1:6" x14ac:dyDescent="0.25">
      <c r="A142">
        <v>139</v>
      </c>
      <c r="B142" t="s">
        <v>2847</v>
      </c>
      <c r="C142" s="29" t="s">
        <v>2848</v>
      </c>
      <c r="D142" s="29" t="s">
        <v>2612</v>
      </c>
      <c r="E142" s="29" t="s">
        <v>2849</v>
      </c>
      <c r="F142" s="29">
        <v>0</v>
      </c>
    </row>
    <row r="143" spans="1:6" x14ac:dyDescent="0.25">
      <c r="A143">
        <v>140</v>
      </c>
      <c r="B143" t="s">
        <v>2850</v>
      </c>
      <c r="C143" s="29" t="s">
        <v>2851</v>
      </c>
      <c r="D143" s="29" t="s">
        <v>2752</v>
      </c>
      <c r="E143" s="29" t="s">
        <v>2852</v>
      </c>
      <c r="F143" s="29">
        <v>0</v>
      </c>
    </row>
    <row r="144" spans="1:6" x14ac:dyDescent="0.25">
      <c r="A144">
        <v>141</v>
      </c>
      <c r="B144" t="s">
        <v>2853</v>
      </c>
      <c r="C144" s="29">
        <v>6</v>
      </c>
      <c r="D144" s="29" t="s">
        <v>2854</v>
      </c>
      <c r="E144" s="29" t="s">
        <v>2463</v>
      </c>
      <c r="F144" s="29">
        <v>0</v>
      </c>
    </row>
    <row r="145" spans="1:6" x14ac:dyDescent="0.25">
      <c r="A145">
        <v>142</v>
      </c>
      <c r="B145" t="s">
        <v>2855</v>
      </c>
      <c r="C145" s="29">
        <v>120</v>
      </c>
      <c r="D145" s="29" t="s">
        <v>2595</v>
      </c>
      <c r="E145" s="29" t="s">
        <v>2856</v>
      </c>
      <c r="F145" s="29">
        <v>0</v>
      </c>
    </row>
    <row r="146" spans="1:6" x14ac:dyDescent="0.25">
      <c r="A146">
        <v>143</v>
      </c>
      <c r="B146" t="s">
        <v>2857</v>
      </c>
      <c r="C146" s="29" t="s">
        <v>2858</v>
      </c>
      <c r="D146" s="29" t="s">
        <v>2528</v>
      </c>
      <c r="E146" s="29" t="s">
        <v>2859</v>
      </c>
      <c r="F146" s="29">
        <v>0</v>
      </c>
    </row>
    <row r="147" spans="1:6" x14ac:dyDescent="0.25">
      <c r="A147">
        <v>144</v>
      </c>
      <c r="B147" t="s">
        <v>2860</v>
      </c>
      <c r="C147" s="29" t="s">
        <v>2861</v>
      </c>
      <c r="D147" s="29" t="s">
        <v>2518</v>
      </c>
      <c r="E147" s="29" t="s">
        <v>2697</v>
      </c>
      <c r="F147" s="29">
        <v>0</v>
      </c>
    </row>
    <row r="148" spans="1:6" x14ac:dyDescent="0.25">
      <c r="A148">
        <v>145</v>
      </c>
      <c r="B148" t="s">
        <v>2862</v>
      </c>
      <c r="C148" s="29" t="s">
        <v>2863</v>
      </c>
      <c r="D148" s="29" t="s">
        <v>2864</v>
      </c>
      <c r="E148" s="29" t="s">
        <v>2865</v>
      </c>
      <c r="F148" s="29">
        <v>0</v>
      </c>
    </row>
    <row r="149" spans="1:6" x14ac:dyDescent="0.25">
      <c r="A149">
        <v>146</v>
      </c>
      <c r="B149" t="s">
        <v>2866</v>
      </c>
      <c r="C149" s="29" t="s">
        <v>2867</v>
      </c>
      <c r="D149" s="29" t="s">
        <v>2802</v>
      </c>
      <c r="E149" s="29" t="s">
        <v>2799</v>
      </c>
      <c r="F149" s="29">
        <v>0</v>
      </c>
    </row>
    <row r="150" spans="1:6" x14ac:dyDescent="0.25">
      <c r="A150">
        <v>147</v>
      </c>
      <c r="B150" t="s">
        <v>2868</v>
      </c>
      <c r="C150" s="29" t="s">
        <v>2685</v>
      </c>
      <c r="D150" s="29" t="s">
        <v>2557</v>
      </c>
      <c r="E150" s="29" t="s">
        <v>2869</v>
      </c>
      <c r="F150" s="29">
        <v>0</v>
      </c>
    </row>
    <row r="151" spans="1:6" x14ac:dyDescent="0.25">
      <c r="A151">
        <v>148</v>
      </c>
      <c r="B151" t="s">
        <v>2870</v>
      </c>
      <c r="C151" s="29">
        <v>915</v>
      </c>
      <c r="D151" s="29" t="s">
        <v>2871</v>
      </c>
      <c r="E151" s="29" t="s">
        <v>2492</v>
      </c>
      <c r="F151" s="29">
        <v>0</v>
      </c>
    </row>
    <row r="152" spans="1:6" x14ac:dyDescent="0.25">
      <c r="A152">
        <v>149</v>
      </c>
      <c r="B152" t="s">
        <v>2872</v>
      </c>
      <c r="C152" s="29" t="s">
        <v>2448</v>
      </c>
      <c r="D152" s="29" t="s">
        <v>2692</v>
      </c>
      <c r="E152" s="29" t="s">
        <v>2873</v>
      </c>
      <c r="F152" s="29">
        <v>0</v>
      </c>
    </row>
    <row r="153" spans="1:6" x14ac:dyDescent="0.25">
      <c r="A153">
        <v>150</v>
      </c>
      <c r="B153" t="s">
        <v>2874</v>
      </c>
      <c r="C153" s="29" t="s">
        <v>2875</v>
      </c>
      <c r="D153" s="29" t="s">
        <v>2876</v>
      </c>
      <c r="E153" s="29" t="s">
        <v>2877</v>
      </c>
      <c r="F153" s="29">
        <v>0</v>
      </c>
    </row>
    <row r="154" spans="1:6" x14ac:dyDescent="0.25">
      <c r="A154">
        <v>151</v>
      </c>
      <c r="B154" t="s">
        <v>2878</v>
      </c>
      <c r="C154" s="29" t="s">
        <v>2879</v>
      </c>
      <c r="D154" s="29" t="s">
        <v>2561</v>
      </c>
      <c r="E154" s="29" t="s">
        <v>2469</v>
      </c>
      <c r="F154" s="29">
        <v>0</v>
      </c>
    </row>
    <row r="155" spans="1:6" x14ac:dyDescent="0.25">
      <c r="A155">
        <v>152</v>
      </c>
      <c r="B155" t="s">
        <v>2880</v>
      </c>
      <c r="C155" s="29" t="s">
        <v>2881</v>
      </c>
      <c r="D155" s="29" t="s">
        <v>2462</v>
      </c>
      <c r="E155" s="29" t="s">
        <v>2882</v>
      </c>
      <c r="F155" s="29">
        <v>0</v>
      </c>
    </row>
    <row r="156" spans="1:6" x14ac:dyDescent="0.25">
      <c r="A156">
        <v>153</v>
      </c>
      <c r="B156" t="s">
        <v>2883</v>
      </c>
      <c r="C156" s="29">
        <v>60</v>
      </c>
      <c r="D156" s="29" t="s">
        <v>2612</v>
      </c>
      <c r="E156" s="29" t="s">
        <v>2884</v>
      </c>
      <c r="F156" s="29">
        <v>0</v>
      </c>
    </row>
    <row r="157" spans="1:6" x14ac:dyDescent="0.25">
      <c r="A157">
        <v>154</v>
      </c>
      <c r="B157" t="s">
        <v>2885</v>
      </c>
      <c r="C157" s="29" t="s">
        <v>2886</v>
      </c>
      <c r="D157" s="29" t="s">
        <v>2754</v>
      </c>
      <c r="E157" s="29" t="s">
        <v>2887</v>
      </c>
      <c r="F157" s="29">
        <v>0</v>
      </c>
    </row>
    <row r="158" spans="1:6" x14ac:dyDescent="0.25">
      <c r="A158">
        <v>155</v>
      </c>
      <c r="B158" t="s">
        <v>2888</v>
      </c>
      <c r="C158" s="29" t="s">
        <v>2889</v>
      </c>
      <c r="D158" s="29" t="s">
        <v>2491</v>
      </c>
      <c r="E158" s="29" t="s">
        <v>2488</v>
      </c>
      <c r="F158" s="29">
        <v>0</v>
      </c>
    </row>
    <row r="159" spans="1:6" x14ac:dyDescent="0.25">
      <c r="A159">
        <v>156</v>
      </c>
      <c r="B159" t="s">
        <v>2890</v>
      </c>
      <c r="C159" s="29">
        <v>1</v>
      </c>
      <c r="D159" s="29" t="s">
        <v>2891</v>
      </c>
      <c r="E159" s="29" t="s">
        <v>2892</v>
      </c>
      <c r="F159" s="29">
        <v>0</v>
      </c>
    </row>
    <row r="160" spans="1:6" x14ac:dyDescent="0.25">
      <c r="A160">
        <v>157</v>
      </c>
      <c r="B160" t="s">
        <v>2893</v>
      </c>
      <c r="C160" s="29" t="s">
        <v>2894</v>
      </c>
      <c r="D160" s="29" t="s">
        <v>2595</v>
      </c>
      <c r="E160" s="29" t="s">
        <v>2778</v>
      </c>
      <c r="F160" s="29">
        <v>0</v>
      </c>
    </row>
    <row r="161" spans="1:6" x14ac:dyDescent="0.25">
      <c r="A161">
        <v>158</v>
      </c>
      <c r="B161" t="s">
        <v>2895</v>
      </c>
      <c r="C161" s="29">
        <v>0.4</v>
      </c>
      <c r="D161" s="29" t="s">
        <v>2521</v>
      </c>
      <c r="E161" s="29" t="s">
        <v>2896</v>
      </c>
      <c r="F161" s="29">
        <v>0</v>
      </c>
    </row>
    <row r="162" spans="1:6" x14ac:dyDescent="0.25">
      <c r="A162">
        <v>159</v>
      </c>
      <c r="B162" t="s">
        <v>2897</v>
      </c>
      <c r="C162" s="29">
        <v>1000000</v>
      </c>
      <c r="D162" s="29" t="s">
        <v>2871</v>
      </c>
      <c r="E162" s="29" t="s">
        <v>2898</v>
      </c>
      <c r="F162" s="29">
        <v>0</v>
      </c>
    </row>
    <row r="163" spans="1:6" x14ac:dyDescent="0.25">
      <c r="A163">
        <v>160</v>
      </c>
      <c r="B163" t="s">
        <v>2899</v>
      </c>
      <c r="C163" s="29" t="s">
        <v>2900</v>
      </c>
      <c r="D163" s="29" t="s">
        <v>2452</v>
      </c>
      <c r="E163" s="29" t="s">
        <v>2901</v>
      </c>
      <c r="F163" s="29">
        <v>0</v>
      </c>
    </row>
    <row r="164" spans="1:6" x14ac:dyDescent="0.25">
      <c r="A164">
        <v>161</v>
      </c>
      <c r="B164" t="s">
        <v>2902</v>
      </c>
      <c r="C164" s="29" t="s">
        <v>2903</v>
      </c>
      <c r="D164" s="29" t="s">
        <v>2452</v>
      </c>
      <c r="E164" s="29" t="s">
        <v>2904</v>
      </c>
      <c r="F164" s="29">
        <v>0</v>
      </c>
    </row>
    <row r="165" spans="1:6" x14ac:dyDescent="0.25">
      <c r="A165">
        <v>162</v>
      </c>
      <c r="B165" t="s">
        <v>2905</v>
      </c>
      <c r="C165" s="29" t="s">
        <v>2906</v>
      </c>
      <c r="D165" s="29" t="s">
        <v>2462</v>
      </c>
      <c r="E165" s="29" t="s">
        <v>2907</v>
      </c>
      <c r="F165" s="29">
        <v>0</v>
      </c>
    </row>
    <row r="166" spans="1:6" x14ac:dyDescent="0.25">
      <c r="A166">
        <v>163</v>
      </c>
      <c r="B166" t="s">
        <v>2905</v>
      </c>
      <c r="C166" s="29">
        <v>400</v>
      </c>
      <c r="D166" s="29" t="s">
        <v>2595</v>
      </c>
      <c r="E166" s="29" t="s">
        <v>2882</v>
      </c>
      <c r="F166" s="29">
        <v>0</v>
      </c>
    </row>
    <row r="167" spans="1:6" x14ac:dyDescent="0.25">
      <c r="A167">
        <v>164</v>
      </c>
      <c r="B167" t="s">
        <v>2908</v>
      </c>
      <c r="C167" s="29" t="s">
        <v>2909</v>
      </c>
      <c r="D167" s="29" t="s">
        <v>2910</v>
      </c>
      <c r="E167" s="29" t="s">
        <v>2911</v>
      </c>
      <c r="F167" s="29">
        <v>0</v>
      </c>
    </row>
    <row r="168" spans="1:6" x14ac:dyDescent="0.25">
      <c r="A168">
        <v>165</v>
      </c>
      <c r="B168" t="s">
        <v>2912</v>
      </c>
      <c r="C168" s="29" t="s">
        <v>2913</v>
      </c>
      <c r="D168" s="29" t="s">
        <v>2914</v>
      </c>
      <c r="E168" s="29" t="s">
        <v>2915</v>
      </c>
      <c r="F168" s="29">
        <v>0</v>
      </c>
    </row>
    <row r="169" spans="1:6" x14ac:dyDescent="0.25">
      <c r="A169">
        <v>166</v>
      </c>
      <c r="B169" t="s">
        <v>2916</v>
      </c>
      <c r="C169" s="29" t="s">
        <v>2917</v>
      </c>
      <c r="D169" s="29" t="s">
        <v>2452</v>
      </c>
      <c r="E169" s="29" t="s">
        <v>2918</v>
      </c>
      <c r="F169" s="29">
        <v>0</v>
      </c>
    </row>
    <row r="170" spans="1:6" x14ac:dyDescent="0.25">
      <c r="A170">
        <v>167</v>
      </c>
      <c r="B170" t="s">
        <v>2919</v>
      </c>
      <c r="C170" s="29" t="s">
        <v>2920</v>
      </c>
      <c r="D170" s="29" t="s">
        <v>2462</v>
      </c>
      <c r="E170" s="29" t="s">
        <v>2921</v>
      </c>
      <c r="F170" s="29">
        <v>0</v>
      </c>
    </row>
    <row r="171" spans="1:6" x14ac:dyDescent="0.25">
      <c r="A171">
        <v>168</v>
      </c>
      <c r="B171" t="s">
        <v>2922</v>
      </c>
      <c r="C171" s="29" t="s">
        <v>2923</v>
      </c>
      <c r="D171" s="29" t="s">
        <v>2478</v>
      </c>
      <c r="E171" s="29" t="s">
        <v>2924</v>
      </c>
      <c r="F171" s="29">
        <v>0</v>
      </c>
    </row>
    <row r="172" spans="1:6" x14ac:dyDescent="0.25">
      <c r="A172">
        <v>169</v>
      </c>
      <c r="B172" t="s">
        <v>2925</v>
      </c>
      <c r="C172" s="29" t="s">
        <v>2926</v>
      </c>
      <c r="D172" s="29" t="s">
        <v>2478</v>
      </c>
      <c r="E172" s="29" t="s">
        <v>2927</v>
      </c>
      <c r="F172" s="29">
        <v>0</v>
      </c>
    </row>
    <row r="173" spans="1:6" x14ac:dyDescent="0.25">
      <c r="A173">
        <v>170</v>
      </c>
      <c r="B173" t="s">
        <v>2928</v>
      </c>
      <c r="C173" s="29" t="s">
        <v>2929</v>
      </c>
      <c r="D173" s="29" t="s">
        <v>2854</v>
      </c>
      <c r="E173" s="29" t="s">
        <v>2930</v>
      </c>
      <c r="F173" s="29">
        <v>0</v>
      </c>
    </row>
    <row r="174" spans="1:6" x14ac:dyDescent="0.25">
      <c r="A174">
        <v>171</v>
      </c>
      <c r="B174" t="s">
        <v>2931</v>
      </c>
      <c r="C174" s="29">
        <v>818000</v>
      </c>
      <c r="D174" s="29" t="s">
        <v>2932</v>
      </c>
      <c r="E174" s="29" t="s">
        <v>2933</v>
      </c>
      <c r="F174" s="29">
        <v>0</v>
      </c>
    </row>
    <row r="175" spans="1:6" x14ac:dyDescent="0.25">
      <c r="A175">
        <v>172</v>
      </c>
      <c r="B175" t="s">
        <v>2934</v>
      </c>
      <c r="C175" s="29">
        <v>5.0999999999999996</v>
      </c>
      <c r="D175" s="29" t="s">
        <v>2935</v>
      </c>
      <c r="E175" s="29" t="s">
        <v>2733</v>
      </c>
      <c r="F175" s="29">
        <v>0</v>
      </c>
    </row>
    <row r="176" spans="1:6" x14ac:dyDescent="0.25">
      <c r="A176">
        <v>173</v>
      </c>
      <c r="B176" t="s">
        <v>2936</v>
      </c>
      <c r="C176" s="29" t="s">
        <v>2937</v>
      </c>
      <c r="D176" s="29" t="s">
        <v>2452</v>
      </c>
      <c r="E176" s="29" t="s">
        <v>2938</v>
      </c>
      <c r="F176" s="29">
        <v>0</v>
      </c>
    </row>
    <row r="177" spans="1:6" x14ac:dyDescent="0.25">
      <c r="A177">
        <v>174</v>
      </c>
      <c r="B177" t="s">
        <v>2939</v>
      </c>
      <c r="C177" s="29" t="s">
        <v>2626</v>
      </c>
      <c r="D177" s="29" t="s">
        <v>2462</v>
      </c>
      <c r="E177" s="29" t="s">
        <v>2940</v>
      </c>
      <c r="F177" s="29">
        <v>0</v>
      </c>
    </row>
    <row r="178" spans="1:6" x14ac:dyDescent="0.25">
      <c r="A178">
        <v>175</v>
      </c>
      <c r="B178" t="s">
        <v>2941</v>
      </c>
      <c r="C178" s="29" t="s">
        <v>2630</v>
      </c>
      <c r="D178" s="29" t="s">
        <v>2817</v>
      </c>
      <c r="E178" s="29" t="s">
        <v>2449</v>
      </c>
      <c r="F178" s="29">
        <v>0</v>
      </c>
    </row>
    <row r="179" spans="1:6" x14ac:dyDescent="0.25">
      <c r="A179">
        <v>176</v>
      </c>
      <c r="B179" t="s">
        <v>2942</v>
      </c>
      <c r="C179" s="29" t="s">
        <v>2471</v>
      </c>
      <c r="D179" s="29" t="s">
        <v>2784</v>
      </c>
      <c r="E179" s="29" t="s">
        <v>2494</v>
      </c>
      <c r="F179" s="29">
        <v>0</v>
      </c>
    </row>
    <row r="180" spans="1:6" x14ac:dyDescent="0.25">
      <c r="A180">
        <v>177</v>
      </c>
      <c r="B180" t="s">
        <v>2943</v>
      </c>
      <c r="C180" s="29">
        <v>60</v>
      </c>
      <c r="D180" s="29" t="s">
        <v>2612</v>
      </c>
      <c r="E180" s="29" t="s">
        <v>2944</v>
      </c>
      <c r="F180" s="29">
        <v>0</v>
      </c>
    </row>
    <row r="181" spans="1:6" x14ac:dyDescent="0.25">
      <c r="A181">
        <v>178</v>
      </c>
      <c r="B181" t="s">
        <v>2945</v>
      </c>
      <c r="C181" s="29">
        <v>3</v>
      </c>
      <c r="D181" s="29" t="s">
        <v>2946</v>
      </c>
      <c r="E181" s="29" t="s">
        <v>2628</v>
      </c>
      <c r="F181" s="29">
        <v>0</v>
      </c>
    </row>
    <row r="182" spans="1:6" x14ac:dyDescent="0.25">
      <c r="A182">
        <v>179</v>
      </c>
      <c r="B182" t="s">
        <v>2947</v>
      </c>
      <c r="C182" s="29">
        <v>600000</v>
      </c>
      <c r="D182" s="29" t="s">
        <v>2948</v>
      </c>
      <c r="E182" s="29" t="s">
        <v>2949</v>
      </c>
      <c r="F182" s="29">
        <v>0</v>
      </c>
    </row>
    <row r="183" spans="1:6" x14ac:dyDescent="0.25">
      <c r="A183">
        <v>180</v>
      </c>
      <c r="B183" t="s">
        <v>2950</v>
      </c>
      <c r="C183" s="29" t="s">
        <v>2951</v>
      </c>
      <c r="D183" s="29" t="s">
        <v>2683</v>
      </c>
      <c r="E183" s="29" t="s">
        <v>2952</v>
      </c>
      <c r="F183" s="29">
        <v>0</v>
      </c>
    </row>
    <row r="184" spans="1:6" x14ac:dyDescent="0.25">
      <c r="A184">
        <v>181</v>
      </c>
      <c r="B184" t="s">
        <v>2953</v>
      </c>
      <c r="C184" s="29" t="s">
        <v>2954</v>
      </c>
      <c r="D184" s="29" t="s">
        <v>2452</v>
      </c>
      <c r="E184" s="29" t="s">
        <v>2955</v>
      </c>
      <c r="F184" s="29">
        <v>0</v>
      </c>
    </row>
    <row r="185" spans="1:6" x14ac:dyDescent="0.25">
      <c r="A185">
        <v>182</v>
      </c>
      <c r="B185" t="s">
        <v>2956</v>
      </c>
      <c r="C185" s="29" t="s">
        <v>2957</v>
      </c>
      <c r="D185" s="29" t="s">
        <v>2478</v>
      </c>
      <c r="E185" s="29" t="s">
        <v>2534</v>
      </c>
      <c r="F185" s="29">
        <v>0</v>
      </c>
    </row>
    <row r="186" spans="1:6" x14ac:dyDescent="0.25">
      <c r="A186">
        <v>183</v>
      </c>
      <c r="B186" t="s">
        <v>2958</v>
      </c>
      <c r="C186" s="29" t="s">
        <v>2643</v>
      </c>
      <c r="D186" s="29" t="s">
        <v>2452</v>
      </c>
      <c r="E186" s="29" t="s">
        <v>2959</v>
      </c>
      <c r="F186" s="29">
        <v>0</v>
      </c>
    </row>
    <row r="187" spans="1:6" x14ac:dyDescent="0.25">
      <c r="A187">
        <v>184</v>
      </c>
      <c r="B187" t="s">
        <v>2960</v>
      </c>
      <c r="C187" s="29" t="s">
        <v>2961</v>
      </c>
      <c r="D187" s="29" t="s">
        <v>2497</v>
      </c>
      <c r="E187" s="29" t="s">
        <v>2456</v>
      </c>
      <c r="F187" s="29">
        <v>0</v>
      </c>
    </row>
    <row r="188" spans="1:6" x14ac:dyDescent="0.25">
      <c r="A188">
        <v>185</v>
      </c>
      <c r="B188" t="s">
        <v>2962</v>
      </c>
      <c r="C188" s="29">
        <v>4390</v>
      </c>
      <c r="D188" s="29" t="s">
        <v>2612</v>
      </c>
      <c r="E188" s="29" t="s">
        <v>2963</v>
      </c>
      <c r="F188" s="29">
        <v>0</v>
      </c>
    </row>
    <row r="189" spans="1:6" x14ac:dyDescent="0.25">
      <c r="A189">
        <v>186</v>
      </c>
      <c r="B189" t="s">
        <v>2964</v>
      </c>
      <c r="C189" s="29" t="s">
        <v>2471</v>
      </c>
      <c r="D189" s="29" t="s">
        <v>2692</v>
      </c>
      <c r="E189" s="29" t="s">
        <v>2965</v>
      </c>
      <c r="F189" s="29">
        <v>0</v>
      </c>
    </row>
    <row r="190" spans="1:6" x14ac:dyDescent="0.25">
      <c r="A190">
        <v>187</v>
      </c>
      <c r="B190" t="s">
        <v>2966</v>
      </c>
      <c r="C190" s="29" t="s">
        <v>2448</v>
      </c>
      <c r="D190" s="29" t="s">
        <v>2752</v>
      </c>
      <c r="E190" s="29" t="s">
        <v>2967</v>
      </c>
      <c r="F190" s="29">
        <v>0</v>
      </c>
    </row>
    <row r="191" spans="1:6" x14ac:dyDescent="0.25">
      <c r="A191">
        <v>188</v>
      </c>
      <c r="B191" t="s">
        <v>2968</v>
      </c>
      <c r="C191" s="29" t="s">
        <v>2969</v>
      </c>
      <c r="D191" s="29" t="s">
        <v>2478</v>
      </c>
      <c r="E191" s="29" t="s">
        <v>2970</v>
      </c>
      <c r="F191" s="29">
        <v>0</v>
      </c>
    </row>
    <row r="192" spans="1:6" x14ac:dyDescent="0.25">
      <c r="A192">
        <v>189</v>
      </c>
      <c r="B192" t="s">
        <v>2971</v>
      </c>
      <c r="C192" s="29" t="s">
        <v>2972</v>
      </c>
      <c r="D192" s="29" t="s">
        <v>2478</v>
      </c>
      <c r="E192" s="29" t="s">
        <v>2892</v>
      </c>
      <c r="F192" s="29">
        <v>0</v>
      </c>
    </row>
    <row r="193" spans="1:6" x14ac:dyDescent="0.25">
      <c r="A193">
        <v>190</v>
      </c>
      <c r="B193" t="s">
        <v>2973</v>
      </c>
      <c r="C193" s="29" t="s">
        <v>2974</v>
      </c>
      <c r="D193" s="29" t="s">
        <v>2478</v>
      </c>
      <c r="E193" s="29" t="s">
        <v>2449</v>
      </c>
      <c r="F193" s="29">
        <v>0</v>
      </c>
    </row>
    <row r="194" spans="1:6" x14ac:dyDescent="0.25">
      <c r="A194">
        <v>191</v>
      </c>
      <c r="B194" t="s">
        <v>2975</v>
      </c>
      <c r="C194" s="29" t="s">
        <v>2471</v>
      </c>
      <c r="D194" s="29" t="s">
        <v>2692</v>
      </c>
      <c r="E194" s="29" t="s">
        <v>2896</v>
      </c>
      <c r="F194" s="29">
        <v>0</v>
      </c>
    </row>
    <row r="195" spans="1:6" x14ac:dyDescent="0.25">
      <c r="A195">
        <v>192</v>
      </c>
      <c r="B195" t="s">
        <v>2976</v>
      </c>
      <c r="C195" s="29" t="s">
        <v>2977</v>
      </c>
      <c r="D195" s="29" t="s">
        <v>2445</v>
      </c>
      <c r="E195" s="29" t="s">
        <v>2978</v>
      </c>
      <c r="F195" s="29">
        <v>0</v>
      </c>
    </row>
    <row r="196" spans="1:6" x14ac:dyDescent="0.25">
      <c r="A196">
        <v>193</v>
      </c>
      <c r="B196" t="s">
        <v>2979</v>
      </c>
      <c r="C196" s="29" t="s">
        <v>2980</v>
      </c>
      <c r="D196" s="29" t="s">
        <v>2491</v>
      </c>
      <c r="E196" s="29" t="s">
        <v>2981</v>
      </c>
      <c r="F196" s="29">
        <v>0</v>
      </c>
    </row>
    <row r="197" spans="1:6" x14ac:dyDescent="0.25">
      <c r="A197">
        <v>194</v>
      </c>
      <c r="B197" t="s">
        <v>2982</v>
      </c>
      <c r="C197" s="29" t="s">
        <v>2983</v>
      </c>
      <c r="D197" s="29" t="s">
        <v>2478</v>
      </c>
      <c r="E197" s="29" t="s">
        <v>2984</v>
      </c>
      <c r="F197" s="29">
        <v>0</v>
      </c>
    </row>
    <row r="198" spans="1:6" x14ac:dyDescent="0.25">
      <c r="A198">
        <v>195</v>
      </c>
      <c r="B198" t="s">
        <v>2985</v>
      </c>
      <c r="C198" s="29" t="s">
        <v>2986</v>
      </c>
      <c r="D198" s="29" t="s">
        <v>2812</v>
      </c>
      <c r="E198" s="29" t="s">
        <v>2469</v>
      </c>
      <c r="F198" s="29">
        <v>0</v>
      </c>
    </row>
    <row r="199" spans="1:6" x14ac:dyDescent="0.25">
      <c r="A199">
        <v>196</v>
      </c>
      <c r="B199" t="s">
        <v>2987</v>
      </c>
      <c r="C199" s="29" t="s">
        <v>2448</v>
      </c>
      <c r="D199" s="29" t="s">
        <v>2988</v>
      </c>
      <c r="E199" s="29" t="s">
        <v>2989</v>
      </c>
      <c r="F199" s="29">
        <v>0</v>
      </c>
    </row>
    <row r="200" spans="1:6" x14ac:dyDescent="0.25">
      <c r="A200">
        <v>197</v>
      </c>
      <c r="B200" t="s">
        <v>2990</v>
      </c>
      <c r="C200" s="29" t="s">
        <v>2991</v>
      </c>
      <c r="D200" s="29" t="s">
        <v>2784</v>
      </c>
      <c r="E200" s="29" t="s">
        <v>2992</v>
      </c>
      <c r="F200" s="29">
        <v>0</v>
      </c>
    </row>
    <row r="201" spans="1:6" x14ac:dyDescent="0.25">
      <c r="A201">
        <v>198</v>
      </c>
      <c r="B201" t="s">
        <v>2993</v>
      </c>
      <c r="C201" s="29">
        <v>613</v>
      </c>
      <c r="D201" s="29" t="s">
        <v>2757</v>
      </c>
      <c r="E201" s="29" t="s">
        <v>2446</v>
      </c>
      <c r="F201" s="29">
        <v>0</v>
      </c>
    </row>
    <row r="202" spans="1:6" x14ac:dyDescent="0.25">
      <c r="A202">
        <v>199</v>
      </c>
      <c r="B202" t="s">
        <v>2994</v>
      </c>
      <c r="C202" s="29" t="s">
        <v>2995</v>
      </c>
      <c r="D202" s="29" t="s">
        <v>2478</v>
      </c>
      <c r="E202" s="29" t="s">
        <v>2996</v>
      </c>
      <c r="F202" s="29">
        <v>0</v>
      </c>
    </row>
    <row r="203" spans="1:6" x14ac:dyDescent="0.25">
      <c r="A203">
        <v>200</v>
      </c>
      <c r="B203" t="s">
        <v>2997</v>
      </c>
      <c r="C203" s="29" t="s">
        <v>2998</v>
      </c>
      <c r="D203" s="29" t="s">
        <v>2876</v>
      </c>
      <c r="E203" s="29" t="s">
        <v>2667</v>
      </c>
      <c r="F203" s="29">
        <v>0</v>
      </c>
    </row>
    <row r="204" spans="1:6" x14ac:dyDescent="0.25">
      <c r="A204">
        <v>201</v>
      </c>
      <c r="B204" t="s">
        <v>2999</v>
      </c>
      <c r="C204" s="29" t="s">
        <v>3000</v>
      </c>
      <c r="D204" s="29" t="s">
        <v>2478</v>
      </c>
      <c r="E204" s="29" t="s">
        <v>3001</v>
      </c>
      <c r="F204" s="29">
        <v>0</v>
      </c>
    </row>
    <row r="205" spans="1:6" x14ac:dyDescent="0.25">
      <c r="A205">
        <v>202</v>
      </c>
      <c r="B205" t="s">
        <v>3002</v>
      </c>
      <c r="C205" s="29" t="s">
        <v>3003</v>
      </c>
      <c r="D205" s="29" t="s">
        <v>2528</v>
      </c>
      <c r="E205" s="29" t="s">
        <v>3004</v>
      </c>
      <c r="F205" s="29">
        <v>0</v>
      </c>
    </row>
    <row r="206" spans="1:6" x14ac:dyDescent="0.25">
      <c r="A206">
        <v>203</v>
      </c>
      <c r="B206" t="s">
        <v>3005</v>
      </c>
      <c r="C206" s="29" t="s">
        <v>3006</v>
      </c>
      <c r="D206" s="29" t="s">
        <v>2812</v>
      </c>
      <c r="E206" s="29" t="s">
        <v>3007</v>
      </c>
      <c r="F206" s="29">
        <v>0</v>
      </c>
    </row>
    <row r="207" spans="1:6" x14ac:dyDescent="0.25">
      <c r="A207">
        <v>204</v>
      </c>
      <c r="B207" t="s">
        <v>3008</v>
      </c>
      <c r="C207" s="29" t="s">
        <v>3009</v>
      </c>
      <c r="D207" s="29" t="s">
        <v>3010</v>
      </c>
      <c r="E207" s="29" t="s">
        <v>3011</v>
      </c>
      <c r="F207" s="29">
        <v>0</v>
      </c>
    </row>
    <row r="208" spans="1:6" x14ac:dyDescent="0.25">
      <c r="A208">
        <v>205</v>
      </c>
      <c r="B208" t="s">
        <v>3012</v>
      </c>
      <c r="C208" s="29" t="s">
        <v>3013</v>
      </c>
      <c r="D208" s="29" t="s">
        <v>2491</v>
      </c>
      <c r="E208" s="29" t="s">
        <v>3014</v>
      </c>
      <c r="F208" s="29">
        <v>0</v>
      </c>
    </row>
    <row r="209" spans="1:6" x14ac:dyDescent="0.25">
      <c r="A209">
        <v>206</v>
      </c>
      <c r="B209" t="s">
        <v>3015</v>
      </c>
      <c r="C209" s="29" t="s">
        <v>3016</v>
      </c>
      <c r="D209" s="29" t="s">
        <v>2452</v>
      </c>
      <c r="E209" s="29" t="s">
        <v>2456</v>
      </c>
      <c r="F209" s="29">
        <v>0</v>
      </c>
    </row>
    <row r="210" spans="1:6" x14ac:dyDescent="0.25">
      <c r="A210">
        <v>207</v>
      </c>
      <c r="B210" t="s">
        <v>3017</v>
      </c>
      <c r="C210" s="29" t="s">
        <v>3018</v>
      </c>
      <c r="D210" s="29" t="s">
        <v>2478</v>
      </c>
      <c r="E210" s="29" t="s">
        <v>3019</v>
      </c>
      <c r="F210" s="29">
        <v>0</v>
      </c>
    </row>
    <row r="211" spans="1:6" x14ac:dyDescent="0.25">
      <c r="A211">
        <v>208</v>
      </c>
      <c r="B211" t="s">
        <v>3020</v>
      </c>
      <c r="C211" s="29" t="s">
        <v>3021</v>
      </c>
      <c r="D211" s="29" t="s">
        <v>2445</v>
      </c>
      <c r="E211" s="29" t="s">
        <v>3022</v>
      </c>
      <c r="F211" s="29">
        <v>0</v>
      </c>
    </row>
    <row r="212" spans="1:6" x14ac:dyDescent="0.25">
      <c r="A212">
        <v>209</v>
      </c>
      <c r="B212" t="s">
        <v>3023</v>
      </c>
      <c r="C212" s="29" t="s">
        <v>3024</v>
      </c>
      <c r="D212" s="29" t="s">
        <v>2445</v>
      </c>
      <c r="E212" s="29" t="s">
        <v>3025</v>
      </c>
      <c r="F212" s="29">
        <v>0</v>
      </c>
    </row>
    <row r="213" spans="1:6" x14ac:dyDescent="0.25">
      <c r="A213">
        <v>210</v>
      </c>
      <c r="B213" t="s">
        <v>3026</v>
      </c>
      <c r="C213" s="29" t="s">
        <v>3027</v>
      </c>
      <c r="D213" s="29" t="s">
        <v>2812</v>
      </c>
      <c r="E213" s="29" t="s">
        <v>2456</v>
      </c>
      <c r="F213" s="29">
        <v>0</v>
      </c>
    </row>
    <row r="214" spans="1:6" x14ac:dyDescent="0.25">
      <c r="A214">
        <v>211</v>
      </c>
      <c r="B214" t="s">
        <v>3028</v>
      </c>
      <c r="C214" s="29" t="s">
        <v>3029</v>
      </c>
      <c r="D214" s="29" t="s">
        <v>2445</v>
      </c>
      <c r="E214" s="29" t="s">
        <v>3030</v>
      </c>
      <c r="F214" s="29">
        <v>0</v>
      </c>
    </row>
    <row r="215" spans="1:6" x14ac:dyDescent="0.25">
      <c r="A215">
        <v>212</v>
      </c>
      <c r="B215" t="s">
        <v>3031</v>
      </c>
      <c r="C215" s="29" t="s">
        <v>2608</v>
      </c>
      <c r="D215" s="29" t="s">
        <v>2692</v>
      </c>
      <c r="E215" s="29" t="s">
        <v>2764</v>
      </c>
      <c r="F215" s="29">
        <v>0</v>
      </c>
    </row>
    <row r="216" spans="1:6" x14ac:dyDescent="0.25">
      <c r="A216">
        <v>213</v>
      </c>
      <c r="B216" t="s">
        <v>3032</v>
      </c>
      <c r="C216" s="29" t="s">
        <v>3033</v>
      </c>
      <c r="D216" s="29" t="s">
        <v>2445</v>
      </c>
      <c r="E216" s="29" t="s">
        <v>3034</v>
      </c>
      <c r="F216" s="29">
        <v>0</v>
      </c>
    </row>
    <row r="217" spans="1:6" x14ac:dyDescent="0.25">
      <c r="A217">
        <v>214</v>
      </c>
      <c r="B217" t="s">
        <v>3035</v>
      </c>
      <c r="C217" s="29" t="s">
        <v>3036</v>
      </c>
      <c r="D217" s="29" t="s">
        <v>2478</v>
      </c>
      <c r="E217" s="29" t="s">
        <v>3037</v>
      </c>
      <c r="F217" s="29">
        <v>0</v>
      </c>
    </row>
    <row r="218" spans="1:6" x14ac:dyDescent="0.25">
      <c r="A218">
        <v>215</v>
      </c>
      <c r="B218" t="s">
        <v>3038</v>
      </c>
      <c r="C218" s="29" t="s">
        <v>3039</v>
      </c>
      <c r="D218" s="29" t="s">
        <v>2452</v>
      </c>
      <c r="E218" s="29" t="s">
        <v>3040</v>
      </c>
      <c r="F218" s="29">
        <v>0</v>
      </c>
    </row>
    <row r="219" spans="1:6" x14ac:dyDescent="0.25">
      <c r="A219">
        <v>216</v>
      </c>
      <c r="B219" t="s">
        <v>3041</v>
      </c>
      <c r="C219" s="29" t="s">
        <v>2517</v>
      </c>
      <c r="D219" s="29" t="s">
        <v>2589</v>
      </c>
      <c r="E219" s="29" t="s">
        <v>3042</v>
      </c>
      <c r="F219" s="29">
        <v>0</v>
      </c>
    </row>
    <row r="220" spans="1:6" x14ac:dyDescent="0.25">
      <c r="A220">
        <v>217</v>
      </c>
      <c r="B220" t="s">
        <v>3043</v>
      </c>
      <c r="C220" s="29" t="s">
        <v>2851</v>
      </c>
      <c r="D220" s="29" t="s">
        <v>2854</v>
      </c>
      <c r="E220" s="29" t="s">
        <v>2463</v>
      </c>
      <c r="F220" s="29">
        <v>0</v>
      </c>
    </row>
    <row r="221" spans="1:6" x14ac:dyDescent="0.25">
      <c r="A221">
        <v>218</v>
      </c>
      <c r="B221" t="s">
        <v>3044</v>
      </c>
      <c r="C221" s="29" t="s">
        <v>3045</v>
      </c>
      <c r="D221" s="29" t="s">
        <v>2589</v>
      </c>
      <c r="E221" s="29" t="s">
        <v>3046</v>
      </c>
      <c r="F221" s="29">
        <v>0</v>
      </c>
    </row>
    <row r="222" spans="1:6" x14ac:dyDescent="0.25">
      <c r="A222">
        <v>219</v>
      </c>
      <c r="B222" t="s">
        <v>3047</v>
      </c>
      <c r="C222" s="29" t="s">
        <v>3048</v>
      </c>
      <c r="D222" s="29" t="s">
        <v>2478</v>
      </c>
      <c r="E222" s="29" t="s">
        <v>3049</v>
      </c>
      <c r="F222" s="29">
        <v>0</v>
      </c>
    </row>
    <row r="223" spans="1:6" x14ac:dyDescent="0.25">
      <c r="A223">
        <v>220</v>
      </c>
      <c r="B223" t="s">
        <v>3050</v>
      </c>
      <c r="C223" s="29" t="s">
        <v>3051</v>
      </c>
      <c r="D223" s="29" t="s">
        <v>2752</v>
      </c>
      <c r="E223" s="29" t="s">
        <v>3052</v>
      </c>
      <c r="F223" s="29">
        <v>0</v>
      </c>
    </row>
    <row r="224" spans="1:6" x14ac:dyDescent="0.25">
      <c r="A224">
        <v>221</v>
      </c>
      <c r="B224" t="s">
        <v>3053</v>
      </c>
      <c r="C224" s="29">
        <v>200</v>
      </c>
      <c r="D224" s="29" t="s">
        <v>3054</v>
      </c>
      <c r="E224" s="29" t="s">
        <v>3055</v>
      </c>
      <c r="F224" s="29">
        <v>0</v>
      </c>
    </row>
    <row r="225" spans="1:6" x14ac:dyDescent="0.25">
      <c r="A225">
        <v>222</v>
      </c>
      <c r="B225" t="s">
        <v>3056</v>
      </c>
      <c r="C225" s="29">
        <v>220</v>
      </c>
      <c r="D225" s="29" t="s">
        <v>2521</v>
      </c>
      <c r="E225" s="29" t="s">
        <v>3052</v>
      </c>
      <c r="F225" s="29">
        <v>0</v>
      </c>
    </row>
    <row r="226" spans="1:6" x14ac:dyDescent="0.25">
      <c r="A226">
        <v>223</v>
      </c>
      <c r="B226" t="s">
        <v>3057</v>
      </c>
      <c r="C226" s="29" t="s">
        <v>3033</v>
      </c>
      <c r="D226" s="29" t="s">
        <v>2445</v>
      </c>
      <c r="E226" s="29" t="s">
        <v>3019</v>
      </c>
      <c r="F226" s="29">
        <v>0</v>
      </c>
    </row>
    <row r="227" spans="1:6" x14ac:dyDescent="0.25">
      <c r="A227">
        <v>224</v>
      </c>
      <c r="B227" t="s">
        <v>3058</v>
      </c>
      <c r="C227" s="29" t="s">
        <v>3059</v>
      </c>
      <c r="D227" s="29" t="s">
        <v>3060</v>
      </c>
      <c r="E227" s="29" t="s">
        <v>3061</v>
      </c>
      <c r="F227" s="29">
        <v>0</v>
      </c>
    </row>
    <row r="228" spans="1:6" x14ac:dyDescent="0.25">
      <c r="A228">
        <v>225</v>
      </c>
      <c r="B228" t="s">
        <v>3062</v>
      </c>
      <c r="C228" s="29" t="s">
        <v>2879</v>
      </c>
      <c r="D228" s="29" t="s">
        <v>3063</v>
      </c>
      <c r="E228" s="29" t="s">
        <v>3064</v>
      </c>
      <c r="F228" s="29">
        <v>0</v>
      </c>
    </row>
    <row r="229" spans="1:6" x14ac:dyDescent="0.25">
      <c r="A229">
        <v>226</v>
      </c>
      <c r="B229" t="s">
        <v>3065</v>
      </c>
      <c r="C229" s="29" t="s">
        <v>3066</v>
      </c>
      <c r="D229" s="29" t="s">
        <v>2491</v>
      </c>
      <c r="E229" s="29" t="s">
        <v>3067</v>
      </c>
      <c r="F229" s="29">
        <v>0</v>
      </c>
    </row>
    <row r="230" spans="1:6" x14ac:dyDescent="0.25">
      <c r="A230">
        <v>227</v>
      </c>
      <c r="B230" t="s">
        <v>3068</v>
      </c>
      <c r="C230" s="29" t="s">
        <v>2471</v>
      </c>
      <c r="D230" s="29" t="s">
        <v>3069</v>
      </c>
      <c r="E230" s="29" t="s">
        <v>3070</v>
      </c>
      <c r="F230" s="29">
        <v>0</v>
      </c>
    </row>
    <row r="231" spans="1:6" x14ac:dyDescent="0.25">
      <c r="A231">
        <v>228</v>
      </c>
      <c r="B231" t="s">
        <v>3071</v>
      </c>
      <c r="C231" s="29" t="s">
        <v>3072</v>
      </c>
      <c r="D231" s="29" t="s">
        <v>3073</v>
      </c>
      <c r="E231" s="29" t="s">
        <v>3074</v>
      </c>
      <c r="F231" s="29">
        <v>0</v>
      </c>
    </row>
    <row r="232" spans="1:6" x14ac:dyDescent="0.25">
      <c r="A232">
        <v>229</v>
      </c>
      <c r="B232" t="s">
        <v>3075</v>
      </c>
      <c r="C232" s="29" t="s">
        <v>3076</v>
      </c>
      <c r="D232" s="29" t="s">
        <v>2528</v>
      </c>
      <c r="E232" s="29" t="s">
        <v>3077</v>
      </c>
      <c r="F232" s="29">
        <v>0</v>
      </c>
    </row>
    <row r="233" spans="1:6" x14ac:dyDescent="0.25">
      <c r="A233">
        <v>230</v>
      </c>
      <c r="B233" t="s">
        <v>3078</v>
      </c>
      <c r="C233" s="29">
        <v>40</v>
      </c>
      <c r="D233" s="29" t="s">
        <v>2612</v>
      </c>
      <c r="E233" s="29" t="s">
        <v>3079</v>
      </c>
      <c r="F233" s="29">
        <v>0</v>
      </c>
    </row>
    <row r="234" spans="1:6" x14ac:dyDescent="0.25">
      <c r="A234">
        <v>231</v>
      </c>
      <c r="B234" t="s">
        <v>3080</v>
      </c>
      <c r="C234" s="29" t="s">
        <v>3081</v>
      </c>
      <c r="D234" s="29" t="s">
        <v>3082</v>
      </c>
      <c r="E234" s="29" t="s">
        <v>3083</v>
      </c>
      <c r="F234" s="29">
        <v>0</v>
      </c>
    </row>
    <row r="235" spans="1:6" x14ac:dyDescent="0.25">
      <c r="A235">
        <v>232</v>
      </c>
      <c r="B235" t="s">
        <v>3084</v>
      </c>
      <c r="C235" s="29">
        <v>2270</v>
      </c>
      <c r="D235" s="29" t="s">
        <v>3054</v>
      </c>
      <c r="E235" s="29" t="s">
        <v>3085</v>
      </c>
      <c r="F235" s="29">
        <v>0</v>
      </c>
    </row>
    <row r="236" spans="1:6" x14ac:dyDescent="0.25">
      <c r="A236">
        <v>233</v>
      </c>
      <c r="B236" t="s">
        <v>3086</v>
      </c>
      <c r="C236" s="29" t="s">
        <v>3087</v>
      </c>
      <c r="D236" s="29" t="s">
        <v>2445</v>
      </c>
      <c r="E236" s="29" t="s">
        <v>3088</v>
      </c>
      <c r="F236" s="29">
        <v>0</v>
      </c>
    </row>
    <row r="237" spans="1:6" x14ac:dyDescent="0.25">
      <c r="A237">
        <v>234</v>
      </c>
      <c r="B237" t="s">
        <v>3089</v>
      </c>
      <c r="C237" s="29" t="s">
        <v>3090</v>
      </c>
      <c r="D237" s="29" t="s">
        <v>2452</v>
      </c>
      <c r="E237" s="29" t="s">
        <v>2911</v>
      </c>
      <c r="F237" s="29">
        <v>0</v>
      </c>
    </row>
    <row r="238" spans="1:6" x14ac:dyDescent="0.25">
      <c r="A238">
        <v>235</v>
      </c>
      <c r="B238" t="s">
        <v>3089</v>
      </c>
      <c r="C238" s="29">
        <v>6000</v>
      </c>
      <c r="D238" s="29" t="s">
        <v>3091</v>
      </c>
      <c r="E238" s="29" t="s">
        <v>2911</v>
      </c>
      <c r="F238" s="29">
        <v>0</v>
      </c>
    </row>
    <row r="239" spans="1:6" x14ac:dyDescent="0.25">
      <c r="A239">
        <v>236</v>
      </c>
      <c r="B239" t="s">
        <v>3092</v>
      </c>
      <c r="C239" s="29" t="s">
        <v>3093</v>
      </c>
      <c r="D239" s="29" t="s">
        <v>2692</v>
      </c>
      <c r="E239" s="29" t="s">
        <v>2545</v>
      </c>
      <c r="F239" s="29">
        <v>0</v>
      </c>
    </row>
    <row r="240" spans="1:6" x14ac:dyDescent="0.25">
      <c r="A240">
        <v>237</v>
      </c>
      <c r="B240" t="s">
        <v>3094</v>
      </c>
      <c r="C240" s="29" t="s">
        <v>3095</v>
      </c>
      <c r="D240" s="29" t="s">
        <v>2557</v>
      </c>
      <c r="E240" s="29" t="s">
        <v>3096</v>
      </c>
      <c r="F240" s="29">
        <v>0</v>
      </c>
    </row>
    <row r="241" spans="1:6" x14ac:dyDescent="0.25">
      <c r="A241">
        <v>238</v>
      </c>
      <c r="B241" t="s">
        <v>3097</v>
      </c>
      <c r="C241" s="29" t="s">
        <v>3098</v>
      </c>
      <c r="D241" s="29" t="s">
        <v>2518</v>
      </c>
      <c r="E241" s="29" t="s">
        <v>2981</v>
      </c>
      <c r="F241" s="29">
        <v>0</v>
      </c>
    </row>
    <row r="242" spans="1:6" x14ac:dyDescent="0.25">
      <c r="A242">
        <v>239</v>
      </c>
      <c r="B242" t="s">
        <v>3099</v>
      </c>
      <c r="C242" s="29" t="s">
        <v>3100</v>
      </c>
      <c r="D242" s="29" t="s">
        <v>3101</v>
      </c>
      <c r="E242" s="29" t="s">
        <v>3102</v>
      </c>
      <c r="F242" s="29">
        <v>0</v>
      </c>
    </row>
    <row r="243" spans="1:6" x14ac:dyDescent="0.25">
      <c r="A243">
        <v>240</v>
      </c>
      <c r="B243" t="s">
        <v>3103</v>
      </c>
      <c r="C243" s="29" t="s">
        <v>3104</v>
      </c>
      <c r="D243" s="29" t="s">
        <v>3105</v>
      </c>
      <c r="E243" s="29" t="s">
        <v>2984</v>
      </c>
      <c r="F243" s="29">
        <v>0</v>
      </c>
    </row>
    <row r="244" spans="1:6" x14ac:dyDescent="0.25">
      <c r="A244">
        <v>241</v>
      </c>
      <c r="B244" t="s">
        <v>3106</v>
      </c>
      <c r="C244" s="29" t="s">
        <v>3107</v>
      </c>
      <c r="D244" s="29" t="s">
        <v>2478</v>
      </c>
      <c r="E244" s="29" t="s">
        <v>3108</v>
      </c>
      <c r="F244" s="29">
        <v>0</v>
      </c>
    </row>
    <row r="245" spans="1:6" x14ac:dyDescent="0.25">
      <c r="A245">
        <v>242</v>
      </c>
      <c r="B245" t="s">
        <v>3109</v>
      </c>
      <c r="C245" s="29" t="s">
        <v>2709</v>
      </c>
      <c r="D245" s="29" t="s">
        <v>2561</v>
      </c>
      <c r="E245" s="29" t="s">
        <v>2799</v>
      </c>
      <c r="F245" s="29">
        <v>0</v>
      </c>
    </row>
    <row r="246" spans="1:6" x14ac:dyDescent="0.25">
      <c r="A246">
        <v>243</v>
      </c>
      <c r="B246" t="s">
        <v>3110</v>
      </c>
      <c r="C246" s="29" t="s">
        <v>3111</v>
      </c>
      <c r="D246" s="29" t="s">
        <v>2528</v>
      </c>
      <c r="E246" s="29" t="s">
        <v>2799</v>
      </c>
      <c r="F246" s="29">
        <v>0</v>
      </c>
    </row>
    <row r="247" spans="1:6" x14ac:dyDescent="0.25">
      <c r="A247">
        <v>244</v>
      </c>
      <c r="B247" t="s">
        <v>3112</v>
      </c>
      <c r="C247" s="29" t="s">
        <v>3113</v>
      </c>
      <c r="D247" s="29" t="s">
        <v>2561</v>
      </c>
      <c r="E247" s="29" t="s">
        <v>3114</v>
      </c>
      <c r="F247" s="29">
        <v>0</v>
      </c>
    </row>
    <row r="248" spans="1:6" x14ac:dyDescent="0.25">
      <c r="A248">
        <v>245</v>
      </c>
      <c r="B248" t="s">
        <v>3115</v>
      </c>
      <c r="C248" s="29" t="s">
        <v>3116</v>
      </c>
      <c r="D248" s="29" t="s">
        <v>2508</v>
      </c>
      <c r="E248" s="29" t="s">
        <v>3117</v>
      </c>
      <c r="F248" s="29">
        <v>0</v>
      </c>
    </row>
    <row r="249" spans="1:6" x14ac:dyDescent="0.25">
      <c r="A249">
        <v>246</v>
      </c>
      <c r="B249" t="s">
        <v>3118</v>
      </c>
      <c r="C249" s="29" t="s">
        <v>2775</v>
      </c>
      <c r="D249" s="29" t="s">
        <v>2466</v>
      </c>
      <c r="E249" s="29" t="s">
        <v>2456</v>
      </c>
      <c r="F249" s="29">
        <v>0</v>
      </c>
    </row>
    <row r="250" spans="1:6" x14ac:dyDescent="0.25">
      <c r="A250">
        <v>247</v>
      </c>
      <c r="B250" t="s">
        <v>3119</v>
      </c>
      <c r="C250" s="29" t="s">
        <v>2487</v>
      </c>
      <c r="D250" s="29" t="s">
        <v>2683</v>
      </c>
      <c r="E250" s="29" t="s">
        <v>3120</v>
      </c>
      <c r="F250" s="29">
        <v>0</v>
      </c>
    </row>
    <row r="251" spans="1:6" x14ac:dyDescent="0.25">
      <c r="A251">
        <v>248</v>
      </c>
      <c r="B251" t="s">
        <v>3121</v>
      </c>
      <c r="C251" s="29" t="s">
        <v>3122</v>
      </c>
      <c r="D251" s="29" t="s">
        <v>2478</v>
      </c>
      <c r="E251" s="29" t="s">
        <v>2852</v>
      </c>
      <c r="F251" s="29">
        <v>0</v>
      </c>
    </row>
    <row r="252" spans="1:6" x14ac:dyDescent="0.25">
      <c r="A252">
        <v>249</v>
      </c>
      <c r="B252" t="s">
        <v>3123</v>
      </c>
      <c r="C252" s="29" t="s">
        <v>3124</v>
      </c>
      <c r="D252" s="29" t="s">
        <v>2781</v>
      </c>
      <c r="E252" s="29" t="s">
        <v>3125</v>
      </c>
      <c r="F252" s="29">
        <v>0</v>
      </c>
    </row>
    <row r="253" spans="1:6" x14ac:dyDescent="0.25">
      <c r="A253">
        <v>250</v>
      </c>
      <c r="B253" t="s">
        <v>3126</v>
      </c>
      <c r="C253" s="29" t="s">
        <v>3127</v>
      </c>
      <c r="D253" s="29" t="s">
        <v>2445</v>
      </c>
      <c r="E253" s="29" t="s">
        <v>3128</v>
      </c>
      <c r="F253" s="29">
        <v>0</v>
      </c>
    </row>
    <row r="254" spans="1:6" x14ac:dyDescent="0.25">
      <c r="A254">
        <v>251</v>
      </c>
      <c r="B254" t="s">
        <v>3129</v>
      </c>
      <c r="C254" s="29" t="s">
        <v>3130</v>
      </c>
      <c r="D254" s="29" t="s">
        <v>2752</v>
      </c>
      <c r="E254" s="29" t="s">
        <v>3131</v>
      </c>
      <c r="F254" s="29">
        <v>0</v>
      </c>
    </row>
    <row r="255" spans="1:6" x14ac:dyDescent="0.25">
      <c r="A255">
        <v>252</v>
      </c>
      <c r="B255" t="s">
        <v>3132</v>
      </c>
      <c r="C255" s="29" t="s">
        <v>2986</v>
      </c>
      <c r="D255" s="29" t="s">
        <v>2752</v>
      </c>
      <c r="E255" s="29" t="s">
        <v>3133</v>
      </c>
      <c r="F255" s="29">
        <v>0</v>
      </c>
    </row>
    <row r="256" spans="1:6" x14ac:dyDescent="0.25">
      <c r="A256">
        <v>253</v>
      </c>
      <c r="B256" t="s">
        <v>3134</v>
      </c>
      <c r="C256" s="29" t="s">
        <v>3135</v>
      </c>
      <c r="D256" s="29" t="s">
        <v>2528</v>
      </c>
      <c r="E256" s="29" t="s">
        <v>3136</v>
      </c>
      <c r="F256" s="29">
        <v>0</v>
      </c>
    </row>
    <row r="257" spans="1:6" x14ac:dyDescent="0.25">
      <c r="A257">
        <v>254</v>
      </c>
      <c r="B257" t="s">
        <v>3137</v>
      </c>
      <c r="C257" s="29" t="s">
        <v>2682</v>
      </c>
      <c r="D257" s="29" t="s">
        <v>3138</v>
      </c>
      <c r="E257" s="29" t="s">
        <v>2494</v>
      </c>
      <c r="F257" s="29">
        <v>0</v>
      </c>
    </row>
    <row r="258" spans="1:6" x14ac:dyDescent="0.25">
      <c r="A258">
        <v>255</v>
      </c>
      <c r="B258" t="s">
        <v>3139</v>
      </c>
      <c r="C258" s="29" t="s">
        <v>2517</v>
      </c>
      <c r="D258" s="29" t="s">
        <v>2561</v>
      </c>
      <c r="E258" s="29" t="s">
        <v>3140</v>
      </c>
      <c r="F258" s="29">
        <v>0</v>
      </c>
    </row>
    <row r="259" spans="1:6" x14ac:dyDescent="0.25">
      <c r="A259">
        <v>256</v>
      </c>
      <c r="B259" t="s">
        <v>3141</v>
      </c>
      <c r="C259" s="29" t="s">
        <v>3142</v>
      </c>
      <c r="D259" s="29" t="s">
        <v>2445</v>
      </c>
      <c r="E259" s="29" t="s">
        <v>3143</v>
      </c>
      <c r="F259" s="29">
        <v>0</v>
      </c>
    </row>
    <row r="260" spans="1:6" x14ac:dyDescent="0.25">
      <c r="A260">
        <v>257</v>
      </c>
      <c r="B260" t="s">
        <v>3144</v>
      </c>
      <c r="C260" s="29" t="s">
        <v>3145</v>
      </c>
      <c r="D260" s="29" t="s">
        <v>3146</v>
      </c>
      <c r="E260" s="29" t="s">
        <v>3147</v>
      </c>
      <c r="F260" s="29">
        <v>0</v>
      </c>
    </row>
    <row r="261" spans="1:6" x14ac:dyDescent="0.25">
      <c r="A261">
        <v>258</v>
      </c>
      <c r="B261" t="s">
        <v>3148</v>
      </c>
      <c r="C261" s="29" t="s">
        <v>3149</v>
      </c>
      <c r="D261" s="29" t="s">
        <v>2478</v>
      </c>
      <c r="E261" s="29" t="s">
        <v>3150</v>
      </c>
      <c r="F261" s="29">
        <v>0</v>
      </c>
    </row>
    <row r="262" spans="1:6" x14ac:dyDescent="0.25">
      <c r="A262">
        <v>259</v>
      </c>
      <c r="B262" t="s">
        <v>3151</v>
      </c>
      <c r="C262" s="29" t="s">
        <v>3152</v>
      </c>
      <c r="D262" s="29" t="s">
        <v>2655</v>
      </c>
      <c r="E262" s="29" t="s">
        <v>3153</v>
      </c>
      <c r="F262" s="29">
        <v>0</v>
      </c>
    </row>
    <row r="263" spans="1:6" x14ac:dyDescent="0.25">
      <c r="A263">
        <v>260</v>
      </c>
      <c r="B263" t="s">
        <v>3154</v>
      </c>
      <c r="C263" s="29">
        <v>963000</v>
      </c>
      <c r="D263" s="29" t="s">
        <v>3155</v>
      </c>
      <c r="E263" s="29" t="s">
        <v>3096</v>
      </c>
      <c r="F263" s="29">
        <v>0</v>
      </c>
    </row>
    <row r="264" spans="1:6" x14ac:dyDescent="0.25">
      <c r="A264">
        <v>261</v>
      </c>
      <c r="B264" t="s">
        <v>3156</v>
      </c>
      <c r="C264" s="29" t="s">
        <v>3157</v>
      </c>
      <c r="D264" s="29" t="s">
        <v>2478</v>
      </c>
      <c r="E264" s="29" t="s">
        <v>3158</v>
      </c>
      <c r="F264" s="29">
        <v>0</v>
      </c>
    </row>
    <row r="265" spans="1:6" x14ac:dyDescent="0.25">
      <c r="A265">
        <v>262</v>
      </c>
      <c r="B265" t="s">
        <v>3159</v>
      </c>
      <c r="C265" s="29" t="s">
        <v>3160</v>
      </c>
      <c r="D265" s="29" t="s">
        <v>2478</v>
      </c>
      <c r="E265" s="29" t="s">
        <v>3161</v>
      </c>
      <c r="F265" s="29">
        <v>0</v>
      </c>
    </row>
    <row r="266" spans="1:6" x14ac:dyDescent="0.25">
      <c r="A266">
        <v>263</v>
      </c>
      <c r="B266" t="s">
        <v>3162</v>
      </c>
      <c r="C266" s="29" t="s">
        <v>3163</v>
      </c>
      <c r="D266" s="29" t="s">
        <v>3164</v>
      </c>
      <c r="E266" s="29" t="s">
        <v>3165</v>
      </c>
      <c r="F266" s="29">
        <v>0</v>
      </c>
    </row>
    <row r="267" spans="1:6" x14ac:dyDescent="0.25">
      <c r="A267">
        <v>264</v>
      </c>
      <c r="B267" t="s">
        <v>3166</v>
      </c>
      <c r="C267" s="29">
        <v>195</v>
      </c>
      <c r="D267" s="29" t="s">
        <v>3155</v>
      </c>
      <c r="E267" s="29" t="s">
        <v>3167</v>
      </c>
      <c r="F267" s="29">
        <v>0</v>
      </c>
    </row>
    <row r="268" spans="1:6" x14ac:dyDescent="0.25">
      <c r="A268">
        <v>265</v>
      </c>
      <c r="B268" t="s">
        <v>3168</v>
      </c>
      <c r="C268" s="29" t="s">
        <v>2487</v>
      </c>
      <c r="D268" s="29" t="s">
        <v>2528</v>
      </c>
      <c r="E268" s="29" t="s">
        <v>2799</v>
      </c>
      <c r="F268" s="29">
        <v>0</v>
      </c>
    </row>
    <row r="269" spans="1:6" x14ac:dyDescent="0.25">
      <c r="A269">
        <v>266</v>
      </c>
      <c r="B269" t="s">
        <v>3169</v>
      </c>
      <c r="C269" s="29" t="s">
        <v>3170</v>
      </c>
      <c r="D269" s="29" t="s">
        <v>2462</v>
      </c>
      <c r="E269" s="29" t="s">
        <v>3096</v>
      </c>
      <c r="F269" s="29">
        <v>0</v>
      </c>
    </row>
    <row r="270" spans="1:6" x14ac:dyDescent="0.25">
      <c r="A270">
        <v>267</v>
      </c>
      <c r="B270" t="s">
        <v>3171</v>
      </c>
      <c r="C270" s="29">
        <v>282000</v>
      </c>
      <c r="D270" s="29" t="s">
        <v>2683</v>
      </c>
      <c r="E270" s="29" t="s">
        <v>3172</v>
      </c>
      <c r="F270" s="29">
        <v>0</v>
      </c>
    </row>
    <row r="271" spans="1:6" x14ac:dyDescent="0.25">
      <c r="A271">
        <v>268</v>
      </c>
      <c r="B271" t="s">
        <v>3173</v>
      </c>
      <c r="C271" s="29" t="s">
        <v>3174</v>
      </c>
      <c r="D271" s="29" t="s">
        <v>2876</v>
      </c>
      <c r="E271" s="29" t="s">
        <v>2667</v>
      </c>
      <c r="F271" s="29">
        <v>0</v>
      </c>
    </row>
    <row r="272" spans="1:6" x14ac:dyDescent="0.25">
      <c r="A272">
        <v>269</v>
      </c>
      <c r="B272" t="s">
        <v>3175</v>
      </c>
      <c r="C272" s="29" t="s">
        <v>3176</v>
      </c>
      <c r="D272" s="29" t="s">
        <v>3177</v>
      </c>
      <c r="E272" s="29" t="s">
        <v>2446</v>
      </c>
      <c r="F272" s="29">
        <v>0</v>
      </c>
    </row>
    <row r="273" spans="1:6" x14ac:dyDescent="0.25">
      <c r="A273">
        <v>270</v>
      </c>
      <c r="B273" t="s">
        <v>3178</v>
      </c>
      <c r="C273" s="29" t="s">
        <v>3179</v>
      </c>
      <c r="D273" s="29" t="s">
        <v>2876</v>
      </c>
      <c r="E273" s="29" t="s">
        <v>2892</v>
      </c>
      <c r="F273" s="29">
        <v>0</v>
      </c>
    </row>
    <row r="274" spans="1:6" x14ac:dyDescent="0.25">
      <c r="A274">
        <v>271</v>
      </c>
      <c r="B274" t="s">
        <v>3180</v>
      </c>
      <c r="C274" s="29" t="s">
        <v>3181</v>
      </c>
      <c r="D274" s="29" t="s">
        <v>3182</v>
      </c>
      <c r="E274" s="29" t="s">
        <v>3183</v>
      </c>
      <c r="F274" s="29">
        <v>0</v>
      </c>
    </row>
    <row r="275" spans="1:6" x14ac:dyDescent="0.25">
      <c r="A275">
        <v>272</v>
      </c>
      <c r="B275" t="s">
        <v>3184</v>
      </c>
      <c r="C275" s="29" t="s">
        <v>3185</v>
      </c>
      <c r="D275" s="29" t="s">
        <v>3186</v>
      </c>
      <c r="E275" s="29" t="s">
        <v>3001</v>
      </c>
      <c r="F275" s="29">
        <v>0</v>
      </c>
    </row>
    <row r="276" spans="1:6" x14ac:dyDescent="0.25">
      <c r="A276">
        <v>278</v>
      </c>
      <c r="B276" t="s">
        <v>3187</v>
      </c>
      <c r="C276" s="29" t="s">
        <v>3188</v>
      </c>
      <c r="D276" s="29" t="s">
        <v>3189</v>
      </c>
      <c r="E276" s="29" t="s">
        <v>3183</v>
      </c>
      <c r="F276" s="29">
        <v>0</v>
      </c>
    </row>
    <row r="277" spans="1:6" x14ac:dyDescent="0.25">
      <c r="A277">
        <v>279</v>
      </c>
      <c r="B277" t="s">
        <v>3190</v>
      </c>
      <c r="C277" s="29" t="s">
        <v>3188</v>
      </c>
      <c r="D277" s="29" t="s">
        <v>3189</v>
      </c>
      <c r="E277" s="29" t="s">
        <v>3183</v>
      </c>
      <c r="F277" s="29">
        <v>0</v>
      </c>
    </row>
    <row r="278" spans="1:6" x14ac:dyDescent="0.25">
      <c r="A278">
        <v>280</v>
      </c>
      <c r="B278" t="s">
        <v>3191</v>
      </c>
      <c r="C278" s="29" t="s">
        <v>3192</v>
      </c>
      <c r="D278" s="29" t="s">
        <v>3193</v>
      </c>
      <c r="E278" s="29" t="s">
        <v>3183</v>
      </c>
      <c r="F278" s="29">
        <v>0</v>
      </c>
    </row>
    <row r="279" spans="1:6" x14ac:dyDescent="0.25">
      <c r="A279">
        <v>281</v>
      </c>
      <c r="B279" t="s">
        <v>3194</v>
      </c>
      <c r="C279" s="29" t="s">
        <v>3195</v>
      </c>
      <c r="D279" s="29" t="s">
        <v>3193</v>
      </c>
      <c r="E279" s="29" t="s">
        <v>3183</v>
      </c>
      <c r="F279" s="29">
        <v>25</v>
      </c>
    </row>
    <row r="280" spans="1:6" x14ac:dyDescent="0.25">
      <c r="A280">
        <v>283</v>
      </c>
      <c r="B280" t="s">
        <v>3196</v>
      </c>
      <c r="C280" s="29" t="s">
        <v>3195</v>
      </c>
      <c r="D280" s="29" t="s">
        <v>3193</v>
      </c>
      <c r="E280" s="29" t="s">
        <v>2488</v>
      </c>
      <c r="F280" s="29">
        <v>1</v>
      </c>
    </row>
    <row r="281" spans="1:6" x14ac:dyDescent="0.25">
      <c r="A281">
        <v>285</v>
      </c>
      <c r="B281" t="s">
        <v>3197</v>
      </c>
      <c r="C281" s="29" t="s">
        <v>3198</v>
      </c>
      <c r="D281" s="29" t="s">
        <v>2876</v>
      </c>
      <c r="E281" s="29" t="s">
        <v>3199</v>
      </c>
      <c r="F281" s="29">
        <v>25</v>
      </c>
    </row>
    <row r="291" ht="15.75" customHeight="1" x14ac:dyDescent="0.25"/>
    <row r="292" ht="15.75" customHeight="1" x14ac:dyDescent="0.25"/>
    <row r="293" ht="15.75" customHeight="1" x14ac:dyDescent="0.25"/>
    <row r="294" ht="15.75" customHeight="1" x14ac:dyDescent="0.25"/>
    <row r="295" ht="15.75" customHeight="1" x14ac:dyDescent="0.25"/>
  </sheetData>
  <pageMargins left="0.7" right="0.7" top="0.75" bottom="0.75" header="0.3" footer="0.3"/>
  <drawing r:id="rId1"/>
  <legacyDrawing r:id="rId2"/>
  <controls>
    <mc:AlternateContent xmlns:mc="http://schemas.openxmlformats.org/markup-compatibility/2006">
      <mc:Choice Requires="x14">
        <control shapeId="18446" r:id="rId3" name="cmdGetPest">
          <controlPr defaultSize="0" autoLine="0" r:id="rId4">
            <anchor moveWithCells="1">
              <from>
                <xdr:col>4</xdr:col>
                <xdr:colOff>57150</xdr:colOff>
                <xdr:row>0</xdr:row>
                <xdr:rowOff>247650</xdr:rowOff>
              </from>
              <to>
                <xdr:col>5</xdr:col>
                <xdr:colOff>438150</xdr:colOff>
                <xdr:row>2</xdr:row>
                <xdr:rowOff>0</xdr:rowOff>
              </to>
            </anchor>
          </controlPr>
        </control>
      </mc:Choice>
      <mc:Fallback>
        <control shapeId="18446" r:id="rId3" name="cmdGetPest"/>
      </mc:Fallback>
    </mc:AlternateContent>
    <mc:AlternateContent xmlns:mc="http://schemas.openxmlformats.org/markup-compatibility/2006">
      <mc:Choice Requires="x14">
        <control shapeId="18445" r:id="rId5" name="cmbBoxPest">
          <controlPr defaultSize="0" autoLine="0" linkedCell="B2" r:id="rId6">
            <anchor moveWithCells="1">
              <from>
                <xdr:col>1</xdr:col>
                <xdr:colOff>19050</xdr:colOff>
                <xdr:row>1</xdr:row>
                <xdr:rowOff>19050</xdr:rowOff>
              </from>
              <to>
                <xdr:col>2</xdr:col>
                <xdr:colOff>47625</xdr:colOff>
                <xdr:row>2</xdr:row>
                <xdr:rowOff>9525</xdr:rowOff>
              </to>
            </anchor>
          </controlPr>
        </control>
      </mc:Choice>
      <mc:Fallback>
        <control shapeId="18445" r:id="rId5" name="cmbBoxPest"/>
      </mc:Fallback>
    </mc:AlternateContent>
    <mc:AlternateContent xmlns:mc="http://schemas.openxmlformats.org/markup-compatibility/2006">
      <mc:Choice Requires="x14">
        <control shapeId="18442" r:id="rId7" name="cmdWritePest">
          <controlPr defaultSize="0" autoLine="0" r:id="rId8">
            <anchor moveWithCells="1">
              <from>
                <xdr:col>7</xdr:col>
                <xdr:colOff>209550</xdr:colOff>
                <xdr:row>0</xdr:row>
                <xdr:rowOff>247650</xdr:rowOff>
              </from>
              <to>
                <xdr:col>8</xdr:col>
                <xdr:colOff>571500</xdr:colOff>
                <xdr:row>2</xdr:row>
                <xdr:rowOff>0</xdr:rowOff>
              </to>
            </anchor>
          </controlPr>
        </control>
      </mc:Choice>
      <mc:Fallback>
        <control shapeId="18442" r:id="rId7" name="cmdWritePest"/>
      </mc:Fallback>
    </mc:AlternateContent>
    <mc:AlternateContent xmlns:mc="http://schemas.openxmlformats.org/markup-compatibility/2006">
      <mc:Choice Requires="x14">
        <control shapeId="18441" r:id="rId9" name="cmdReadPest">
          <controlPr defaultSize="0" autoLine="0" r:id="rId10">
            <anchor moveWithCells="1">
              <from>
                <xdr:col>5</xdr:col>
                <xdr:colOff>514350</xdr:colOff>
                <xdr:row>0</xdr:row>
                <xdr:rowOff>247650</xdr:rowOff>
              </from>
              <to>
                <xdr:col>7</xdr:col>
                <xdr:colOff>209550</xdr:colOff>
                <xdr:row>2</xdr:row>
                <xdr:rowOff>0</xdr:rowOff>
              </to>
            </anchor>
          </controlPr>
        </control>
      </mc:Choice>
      <mc:Fallback>
        <control shapeId="18441" r:id="rId9" name="cmdReadPest"/>
      </mc:Fallback>
    </mc:AlternateContent>
    <mc:AlternateContent xmlns:mc="http://schemas.openxmlformats.org/markup-compatibility/2006">
      <mc:Choice Requires="x14">
        <control shapeId="18443" r:id="rId11" name="cmdRun">
          <controlPr defaultSize="0" autoLine="0" r:id="rId12">
            <anchor moveWithCells="1">
              <from>
                <xdr:col>9</xdr:col>
                <xdr:colOff>0</xdr:colOff>
                <xdr:row>0</xdr:row>
                <xdr:rowOff>247650</xdr:rowOff>
              </from>
              <to>
                <xdr:col>10</xdr:col>
                <xdr:colOff>400050</xdr:colOff>
                <xdr:row>2</xdr:row>
                <xdr:rowOff>0</xdr:rowOff>
              </to>
            </anchor>
          </controlPr>
        </control>
      </mc:Choice>
      <mc:Fallback>
        <control shapeId="18443" r:id="rId11" name="cmdRun"/>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R160"/>
  <sheetViews>
    <sheetView zoomScaleNormal="100" workbookViewId="0">
      <pane ySplit="16" topLeftCell="A17" activePane="bottomLeft" state="frozen"/>
      <selection pane="bottomLeft" activeCell="V34" sqref="V34"/>
    </sheetView>
  </sheetViews>
  <sheetFormatPr defaultRowHeight="15.75" x14ac:dyDescent="0.25"/>
  <cols>
    <col min="1" max="1" width="12.140625" style="111" customWidth="1"/>
    <col min="2" max="6" width="9.140625" style="111"/>
    <col min="7" max="7" width="9.140625" style="112"/>
    <col min="8" max="8" width="9.5703125" style="113" bestFit="1" customWidth="1"/>
    <col min="9" max="14" width="9.140625" style="113"/>
    <col min="18" max="18" width="9.7109375" bestFit="1" customWidth="1"/>
  </cols>
  <sheetData>
    <row r="1" spans="1:18" ht="21" x14ac:dyDescent="0.25">
      <c r="A1" s="129" t="s">
        <v>979</v>
      </c>
      <c r="B1"/>
      <c r="C1"/>
      <c r="D1"/>
      <c r="E1"/>
      <c r="F1"/>
      <c r="G1"/>
      <c r="H1"/>
      <c r="I1"/>
      <c r="J1"/>
      <c r="K1"/>
      <c r="L1"/>
      <c r="M1"/>
      <c r="N1"/>
    </row>
    <row r="2" spans="1:18" ht="15" x14ac:dyDescent="0.25">
      <c r="A2" s="3"/>
      <c r="B2"/>
      <c r="C2"/>
      <c r="D2"/>
      <c r="E2"/>
      <c r="F2"/>
      <c r="G2"/>
      <c r="H2"/>
      <c r="I2"/>
      <c r="J2"/>
      <c r="K2"/>
      <c r="L2"/>
      <c r="M2"/>
      <c r="N2"/>
    </row>
    <row r="3" spans="1:18" ht="15" x14ac:dyDescent="0.25">
      <c r="A3"/>
      <c r="B3"/>
      <c r="C3"/>
      <c r="D3"/>
      <c r="E3"/>
      <c r="F3"/>
      <c r="G3"/>
      <c r="H3"/>
      <c r="I3"/>
      <c r="J3"/>
      <c r="K3"/>
      <c r="L3"/>
      <c r="M3"/>
      <c r="N3"/>
    </row>
    <row r="4" spans="1:18" ht="15" x14ac:dyDescent="0.25">
      <c r="A4" s="31" t="s">
        <v>688</v>
      </c>
      <c r="B4" t="s">
        <v>2441</v>
      </c>
      <c r="C4"/>
      <c r="D4" s="32" t="s">
        <v>801</v>
      </c>
      <c r="E4" s="10" t="s">
        <v>2442</v>
      </c>
      <c r="F4"/>
      <c r="G4"/>
      <c r="H4"/>
      <c r="I4"/>
      <c r="J4"/>
      <c r="K4"/>
      <c r="L4"/>
      <c r="M4"/>
      <c r="N4"/>
    </row>
    <row r="5" spans="1:18" ht="15" x14ac:dyDescent="0.25">
      <c r="A5" s="92" t="s">
        <v>984</v>
      </c>
      <c r="B5" s="93"/>
      <c r="C5" s="94" t="s">
        <v>985</v>
      </c>
      <c r="D5" s="93"/>
      <c r="E5" s="93"/>
      <c r="F5"/>
      <c r="G5"/>
      <c r="H5"/>
      <c r="I5"/>
      <c r="J5"/>
      <c r="K5"/>
      <c r="L5"/>
      <c r="M5"/>
      <c r="N5"/>
    </row>
    <row r="6" spans="1:18" ht="15" x14ac:dyDescent="0.25">
      <c r="A6"/>
      <c r="B6"/>
      <c r="C6"/>
      <c r="D6"/>
      <c r="E6"/>
      <c r="F6"/>
      <c r="G6"/>
      <c r="H6"/>
      <c r="I6"/>
      <c r="J6"/>
      <c r="K6"/>
      <c r="L6"/>
      <c r="M6"/>
      <c r="N6"/>
    </row>
    <row r="7" spans="1:18" x14ac:dyDescent="0.25">
      <c r="A7" s="31" t="s">
        <v>689</v>
      </c>
      <c r="B7" s="10" t="s">
        <v>3235</v>
      </c>
      <c r="C7"/>
      <c r="D7"/>
      <c r="E7"/>
      <c r="F7"/>
      <c r="G7"/>
      <c r="H7"/>
      <c r="I7"/>
      <c r="J7"/>
      <c r="K7"/>
      <c r="L7"/>
      <c r="M7"/>
      <c r="N7"/>
      <c r="R7" s="113"/>
    </row>
    <row r="8" spans="1:18" x14ac:dyDescent="0.25">
      <c r="A8" t="s">
        <v>690</v>
      </c>
      <c r="B8" s="4">
        <v>20</v>
      </c>
      <c r="C8" s="30" t="s">
        <v>691</v>
      </c>
      <c r="D8"/>
      <c r="E8"/>
      <c r="F8"/>
      <c r="G8"/>
      <c r="H8"/>
      <c r="I8"/>
      <c r="J8"/>
      <c r="K8"/>
      <c r="L8" s="4" t="s">
        <v>1524</v>
      </c>
      <c r="M8"/>
      <c r="N8"/>
      <c r="R8" s="113"/>
    </row>
    <row r="9" spans="1:18" x14ac:dyDescent="0.25">
      <c r="A9" t="s">
        <v>692</v>
      </c>
      <c r="B9" s="4">
        <v>500</v>
      </c>
      <c r="C9" s="30" t="s">
        <v>694</v>
      </c>
      <c r="D9"/>
      <c r="E9"/>
      <c r="F9"/>
      <c r="G9"/>
      <c r="H9"/>
      <c r="I9"/>
      <c r="J9"/>
      <c r="K9"/>
      <c r="L9" s="4">
        <v>500</v>
      </c>
      <c r="M9"/>
      <c r="N9"/>
      <c r="R9" s="113"/>
    </row>
    <row r="10" spans="1:18" x14ac:dyDescent="0.25">
      <c r="A10" t="s">
        <v>693</v>
      </c>
      <c r="B10" s="4">
        <v>261</v>
      </c>
      <c r="C10" s="30" t="s">
        <v>712</v>
      </c>
      <c r="D10"/>
      <c r="E10"/>
      <c r="F10"/>
      <c r="G10"/>
      <c r="H10"/>
      <c r="I10"/>
      <c r="J10"/>
      <c r="K10"/>
      <c r="L10" s="4">
        <v>261</v>
      </c>
      <c r="M10"/>
      <c r="N10"/>
      <c r="R10" s="113"/>
    </row>
    <row r="11" spans="1:18" x14ac:dyDescent="0.25">
      <c r="A11" t="s">
        <v>695</v>
      </c>
      <c r="B11" s="4">
        <v>268</v>
      </c>
      <c r="C11" s="30" t="s">
        <v>713</v>
      </c>
      <c r="D11"/>
      <c r="E11"/>
      <c r="F11"/>
      <c r="G11"/>
      <c r="H11"/>
      <c r="I11"/>
      <c r="J11"/>
      <c r="K11"/>
      <c r="L11" s="4">
        <v>268</v>
      </c>
      <c r="M11"/>
      <c r="N11"/>
      <c r="R11" s="113"/>
    </row>
    <row r="12" spans="1:18" x14ac:dyDescent="0.25">
      <c r="A12" t="s">
        <v>696</v>
      </c>
      <c r="B12" s="4">
        <v>266</v>
      </c>
      <c r="C12" s="30" t="s">
        <v>714</v>
      </c>
      <c r="D12"/>
      <c r="E12"/>
      <c r="F12"/>
      <c r="G12"/>
      <c r="H12"/>
      <c r="I12"/>
      <c r="J12"/>
      <c r="K12"/>
      <c r="L12" s="4">
        <v>266</v>
      </c>
      <c r="M12"/>
      <c r="N12"/>
      <c r="R12" s="113"/>
    </row>
    <row r="13" spans="1:18" ht="15" x14ac:dyDescent="0.25">
      <c r="A13" t="s">
        <v>697</v>
      </c>
      <c r="B13" s="4">
        <v>265</v>
      </c>
      <c r="C13" s="30" t="s">
        <v>715</v>
      </c>
      <c r="D13"/>
      <c r="E13"/>
      <c r="F13"/>
      <c r="G13"/>
      <c r="H13"/>
      <c r="I13"/>
      <c r="J13"/>
      <c r="K13"/>
      <c r="L13" s="4">
        <v>265</v>
      </c>
      <c r="M13"/>
      <c r="N13"/>
    </row>
    <row r="14" spans="1:18" ht="15" x14ac:dyDescent="0.25">
      <c r="A14" t="s">
        <v>698</v>
      </c>
      <c r="B14" s="4">
        <v>267</v>
      </c>
      <c r="C14" s="30" t="s">
        <v>716</v>
      </c>
      <c r="D14"/>
      <c r="E14"/>
      <c r="F14"/>
      <c r="G14"/>
      <c r="H14"/>
      <c r="I14"/>
      <c r="J14"/>
      <c r="K14"/>
      <c r="L14" s="4">
        <v>267</v>
      </c>
      <c r="M14"/>
      <c r="N14"/>
    </row>
    <row r="15" spans="1:18" s="153" customFormat="1" ht="12" x14ac:dyDescent="0.2">
      <c r="A15" s="153">
        <v>1</v>
      </c>
      <c r="B15" s="153">
        <v>2</v>
      </c>
      <c r="C15" s="153">
        <v>3</v>
      </c>
      <c r="D15" s="153">
        <v>4</v>
      </c>
      <c r="E15" s="153">
        <v>5</v>
      </c>
      <c r="F15" s="153">
        <v>6</v>
      </c>
      <c r="G15" s="153">
        <v>7</v>
      </c>
      <c r="H15" s="153">
        <v>8</v>
      </c>
      <c r="I15" s="153">
        <v>9</v>
      </c>
      <c r="J15" s="153">
        <v>10</v>
      </c>
      <c r="K15" s="153">
        <v>11</v>
      </c>
      <c r="L15" s="153">
        <v>12</v>
      </c>
      <c r="M15" s="153">
        <v>13</v>
      </c>
      <c r="N15" s="153">
        <v>14</v>
      </c>
    </row>
    <row r="16" spans="1:18" s="8" customFormat="1" ht="15" x14ac:dyDescent="0.25">
      <c r="A16" s="77" t="s">
        <v>699</v>
      </c>
      <c r="B16" s="77" t="s">
        <v>700</v>
      </c>
      <c r="C16" s="77" t="s">
        <v>687</v>
      </c>
      <c r="D16" s="102" t="s">
        <v>701</v>
      </c>
      <c r="E16" s="102" t="s">
        <v>702</v>
      </c>
      <c r="F16" s="102" t="s">
        <v>703</v>
      </c>
      <c r="G16" s="105" t="s">
        <v>711</v>
      </c>
      <c r="H16" s="102" t="s">
        <v>704</v>
      </c>
      <c r="I16" s="77" t="s">
        <v>705</v>
      </c>
      <c r="J16" s="77" t="s">
        <v>706</v>
      </c>
      <c r="K16" s="77" t="s">
        <v>707</v>
      </c>
      <c r="L16" s="77" t="s">
        <v>708</v>
      </c>
      <c r="M16" s="77" t="s">
        <v>709</v>
      </c>
      <c r="N16" s="77" t="s">
        <v>710</v>
      </c>
    </row>
    <row r="17" spans="1:15" x14ac:dyDescent="0.25">
      <c r="A17" s="111">
        <v>1</v>
      </c>
      <c r="B17" s="111">
        <v>1</v>
      </c>
      <c r="C17" s="111">
        <v>1</v>
      </c>
      <c r="D17" s="111">
        <v>426</v>
      </c>
      <c r="E17" s="111">
        <v>0</v>
      </c>
      <c r="F17" s="111">
        <v>36</v>
      </c>
      <c r="G17" s="112">
        <v>0</v>
      </c>
      <c r="H17" s="113">
        <v>2</v>
      </c>
      <c r="I17" s="113">
        <v>0</v>
      </c>
      <c r="J17" s="113">
        <v>0</v>
      </c>
      <c r="K17" s="113">
        <v>0</v>
      </c>
      <c r="L17" s="113">
        <v>0</v>
      </c>
      <c r="M17" s="113">
        <v>0</v>
      </c>
      <c r="N17" s="113">
        <v>0</v>
      </c>
      <c r="O17" s="113"/>
    </row>
    <row r="18" spans="1:15" x14ac:dyDescent="0.25">
      <c r="A18" s="111">
        <v>1</v>
      </c>
      <c r="B18" s="111">
        <v>3</v>
      </c>
      <c r="C18" s="111">
        <v>1</v>
      </c>
      <c r="D18" s="111">
        <v>126</v>
      </c>
      <c r="E18" s="111">
        <v>0</v>
      </c>
      <c r="F18" s="111">
        <v>36</v>
      </c>
      <c r="G18" s="112">
        <v>0</v>
      </c>
      <c r="H18" s="113">
        <v>1000</v>
      </c>
      <c r="I18" s="113">
        <v>0</v>
      </c>
      <c r="J18" s="113">
        <v>0</v>
      </c>
      <c r="K18" s="113">
        <v>0</v>
      </c>
      <c r="L18" s="113">
        <v>0</v>
      </c>
      <c r="M18" s="113">
        <v>0</v>
      </c>
      <c r="N18" s="113">
        <v>0</v>
      </c>
      <c r="O18" s="113"/>
    </row>
    <row r="19" spans="1:15" x14ac:dyDescent="0.25">
      <c r="O19" s="113"/>
    </row>
    <row r="20" spans="1:15" x14ac:dyDescent="0.25">
      <c r="O20" s="113"/>
    </row>
    <row r="21" spans="1:15" x14ac:dyDescent="0.25">
      <c r="O21" s="113"/>
    </row>
    <row r="22" spans="1:15" x14ac:dyDescent="0.25">
      <c r="O22" s="113"/>
    </row>
    <row r="23" spans="1:15" s="12" customFormat="1" x14ac:dyDescent="0.25">
      <c r="A23" s="111"/>
      <c r="B23" s="111"/>
      <c r="C23" s="111"/>
      <c r="D23" s="111"/>
      <c r="E23" s="111"/>
      <c r="F23" s="111"/>
      <c r="G23" s="112"/>
      <c r="H23" s="113"/>
      <c r="I23" s="113"/>
      <c r="J23" s="113"/>
      <c r="K23" s="113"/>
      <c r="L23" s="113"/>
      <c r="M23" s="113"/>
      <c r="N23" s="113"/>
      <c r="O23" s="113"/>
    </row>
    <row r="24" spans="1:15" s="12" customFormat="1" x14ac:dyDescent="0.25">
      <c r="A24" s="111"/>
      <c r="B24" s="111"/>
      <c r="C24" s="111"/>
      <c r="D24" s="111"/>
      <c r="E24" s="111"/>
      <c r="F24" s="111"/>
      <c r="G24" s="112"/>
      <c r="H24" s="113"/>
      <c r="I24" s="113"/>
      <c r="J24" s="113"/>
      <c r="K24" s="113"/>
      <c r="L24" s="113"/>
      <c r="M24" s="113"/>
      <c r="N24" s="113"/>
      <c r="O24" s="113"/>
    </row>
    <row r="25" spans="1:15" s="12" customFormat="1" x14ac:dyDescent="0.25">
      <c r="A25" s="111"/>
      <c r="B25" s="111"/>
      <c r="C25" s="111"/>
      <c r="D25" s="111"/>
      <c r="E25" s="111"/>
      <c r="F25" s="111"/>
      <c r="G25" s="112"/>
      <c r="H25" s="113"/>
      <c r="I25" s="113"/>
      <c r="J25" s="113"/>
      <c r="K25" s="113"/>
      <c r="L25" s="113"/>
      <c r="M25" s="113"/>
      <c r="N25" s="113"/>
      <c r="O25" s="113"/>
    </row>
    <row r="26" spans="1:15" s="12" customFormat="1" x14ac:dyDescent="0.25">
      <c r="A26" s="111"/>
      <c r="B26" s="111"/>
      <c r="C26" s="111"/>
      <c r="D26" s="111"/>
      <c r="E26" s="111"/>
      <c r="F26" s="111"/>
      <c r="G26" s="112"/>
      <c r="H26" s="113"/>
      <c r="I26" s="113"/>
      <c r="J26" s="113"/>
      <c r="K26" s="113"/>
      <c r="L26" s="113"/>
      <c r="M26" s="113"/>
      <c r="N26" s="113"/>
      <c r="O26" s="113"/>
    </row>
    <row r="27" spans="1:15" s="12" customFormat="1" x14ac:dyDescent="0.25">
      <c r="A27" s="111"/>
      <c r="B27" s="111"/>
      <c r="C27" s="111"/>
      <c r="D27" s="111"/>
      <c r="E27" s="111"/>
      <c r="F27" s="111"/>
      <c r="G27" s="112"/>
      <c r="H27" s="113"/>
      <c r="I27" s="113"/>
      <c r="J27" s="113"/>
      <c r="K27" s="113"/>
      <c r="L27" s="113"/>
      <c r="M27" s="113"/>
      <c r="N27" s="113"/>
      <c r="O27" s="113"/>
    </row>
    <row r="28" spans="1:15" s="12" customFormat="1" x14ac:dyDescent="0.25">
      <c r="A28" s="111"/>
      <c r="B28" s="111"/>
      <c r="C28" s="111"/>
      <c r="D28" s="111"/>
      <c r="E28" s="111"/>
      <c r="F28" s="111"/>
      <c r="G28" s="112"/>
      <c r="H28" s="113"/>
      <c r="I28" s="113"/>
      <c r="J28" s="113"/>
      <c r="K28" s="113"/>
      <c r="L28" s="113"/>
      <c r="M28" s="113"/>
      <c r="N28" s="113"/>
      <c r="O28" s="113"/>
    </row>
    <row r="29" spans="1:15" s="12" customFormat="1" x14ac:dyDescent="0.25">
      <c r="A29" s="111"/>
      <c r="B29" s="111"/>
      <c r="C29" s="111"/>
      <c r="D29" s="111"/>
      <c r="E29" s="111"/>
      <c r="F29" s="111"/>
      <c r="G29" s="112"/>
      <c r="H29" s="113"/>
      <c r="I29" s="113"/>
      <c r="J29" s="113"/>
      <c r="K29" s="113"/>
      <c r="L29" s="113"/>
      <c r="M29" s="113"/>
      <c r="N29" s="113"/>
      <c r="O29" s="113"/>
    </row>
    <row r="30" spans="1:15" s="12" customFormat="1" x14ac:dyDescent="0.25">
      <c r="A30" s="111"/>
      <c r="B30" s="111"/>
      <c r="C30" s="111"/>
      <c r="D30" s="111"/>
      <c r="E30" s="111"/>
      <c r="F30" s="111"/>
      <c r="G30" s="112"/>
      <c r="H30" s="113"/>
      <c r="I30" s="113"/>
      <c r="J30" s="113"/>
      <c r="K30" s="113"/>
      <c r="L30" s="113"/>
      <c r="M30" s="113"/>
      <c r="N30" s="113"/>
      <c r="O30" s="113"/>
    </row>
    <row r="31" spans="1:15" s="12" customFormat="1" x14ac:dyDescent="0.25">
      <c r="A31" s="111"/>
      <c r="B31" s="111"/>
      <c r="C31" s="111"/>
      <c r="D31" s="111"/>
      <c r="E31" s="111"/>
      <c r="F31" s="111"/>
      <c r="G31" s="112"/>
      <c r="H31" s="113"/>
      <c r="I31" s="113"/>
      <c r="J31" s="113"/>
      <c r="K31" s="113"/>
      <c r="L31" s="113"/>
      <c r="M31" s="113"/>
      <c r="N31" s="113"/>
      <c r="O31" s="113"/>
    </row>
    <row r="32" spans="1:15" s="12" customFormat="1" x14ac:dyDescent="0.25">
      <c r="A32" s="111"/>
      <c r="B32" s="111"/>
      <c r="C32" s="111"/>
      <c r="D32" s="111"/>
      <c r="E32" s="111"/>
      <c r="F32" s="111"/>
      <c r="G32" s="112"/>
      <c r="H32" s="113"/>
      <c r="I32" s="113"/>
      <c r="J32" s="113"/>
      <c r="K32" s="113"/>
      <c r="L32" s="113"/>
      <c r="M32" s="113"/>
      <c r="N32" s="113"/>
      <c r="O32" s="113"/>
    </row>
    <row r="33" spans="1:15" s="12" customFormat="1" x14ac:dyDescent="0.25">
      <c r="A33" s="111"/>
      <c r="B33" s="111"/>
      <c r="C33" s="111"/>
      <c r="D33" s="111"/>
      <c r="E33" s="111"/>
      <c r="F33" s="111"/>
      <c r="G33" s="112"/>
      <c r="H33" s="113"/>
      <c r="I33" s="113"/>
      <c r="J33" s="113"/>
      <c r="K33" s="113"/>
      <c r="L33" s="113"/>
      <c r="M33" s="113"/>
      <c r="N33" s="113"/>
      <c r="O33" s="113"/>
    </row>
    <row r="34" spans="1:15" s="12" customFormat="1" x14ac:dyDescent="0.25">
      <c r="A34" s="111"/>
      <c r="B34" s="111"/>
      <c r="C34" s="111"/>
      <c r="D34" s="111"/>
      <c r="E34" s="111"/>
      <c r="F34" s="111"/>
      <c r="G34" s="112"/>
      <c r="H34" s="113"/>
      <c r="I34" s="113"/>
      <c r="J34" s="113"/>
      <c r="K34" s="113"/>
      <c r="L34" s="113"/>
      <c r="M34" s="113"/>
      <c r="N34" s="113"/>
      <c r="O34" s="113"/>
    </row>
    <row r="35" spans="1:15" s="12" customFormat="1" x14ac:dyDescent="0.25">
      <c r="A35" s="111"/>
      <c r="B35" s="111"/>
      <c r="C35" s="111"/>
      <c r="D35" s="111"/>
      <c r="E35" s="111"/>
      <c r="F35" s="111"/>
      <c r="G35" s="112"/>
      <c r="H35" s="113"/>
      <c r="I35" s="113"/>
      <c r="J35" s="113"/>
      <c r="K35" s="113"/>
      <c r="L35" s="113"/>
      <c r="M35" s="113"/>
      <c r="N35" s="113"/>
      <c r="O35" s="113"/>
    </row>
    <row r="36" spans="1:15" s="12" customFormat="1" x14ac:dyDescent="0.25">
      <c r="A36" s="111"/>
      <c r="B36" s="111"/>
      <c r="C36" s="111"/>
      <c r="D36" s="111"/>
      <c r="E36" s="111"/>
      <c r="F36" s="111"/>
      <c r="G36" s="112"/>
      <c r="H36" s="113"/>
      <c r="I36" s="113"/>
      <c r="J36" s="113"/>
      <c r="K36" s="113"/>
      <c r="L36" s="113"/>
      <c r="M36" s="113"/>
      <c r="N36" s="113"/>
      <c r="O36" s="113"/>
    </row>
    <row r="37" spans="1:15" s="12" customFormat="1" x14ac:dyDescent="0.25">
      <c r="A37" s="111"/>
      <c r="B37" s="111"/>
      <c r="C37" s="111"/>
      <c r="D37" s="111"/>
      <c r="E37" s="111"/>
      <c r="F37" s="111"/>
      <c r="G37" s="112"/>
      <c r="H37" s="113"/>
      <c r="I37" s="113"/>
      <c r="J37" s="113"/>
      <c r="K37" s="113"/>
      <c r="L37" s="113"/>
      <c r="M37" s="113"/>
      <c r="N37" s="113"/>
      <c r="O37" s="113"/>
    </row>
    <row r="38" spans="1:15" s="12" customFormat="1" x14ac:dyDescent="0.25">
      <c r="A38" s="111"/>
      <c r="B38" s="111"/>
      <c r="C38" s="111"/>
      <c r="D38" s="111"/>
      <c r="E38" s="111"/>
      <c r="F38" s="111"/>
      <c r="G38" s="112"/>
      <c r="H38" s="113"/>
      <c r="I38" s="113"/>
      <c r="J38" s="113"/>
      <c r="K38" s="113"/>
      <c r="L38" s="113"/>
      <c r="M38" s="113"/>
      <c r="N38" s="113"/>
      <c r="O38" s="113"/>
    </row>
    <row r="39" spans="1:15" s="12" customFormat="1" x14ac:dyDescent="0.25">
      <c r="A39" s="111"/>
      <c r="B39" s="111"/>
      <c r="C39" s="111"/>
      <c r="D39" s="111"/>
      <c r="E39" s="111"/>
      <c r="F39" s="111"/>
      <c r="G39" s="112"/>
      <c r="H39" s="113"/>
      <c r="I39" s="113"/>
      <c r="J39" s="113"/>
      <c r="K39" s="113"/>
      <c r="L39" s="113"/>
      <c r="M39" s="113"/>
      <c r="N39" s="113"/>
      <c r="O39" s="113"/>
    </row>
    <row r="40" spans="1:15" s="12" customFormat="1" x14ac:dyDescent="0.25">
      <c r="A40" s="111"/>
      <c r="B40" s="111"/>
      <c r="C40" s="111"/>
      <c r="D40" s="111"/>
      <c r="E40" s="111"/>
      <c r="F40" s="111"/>
      <c r="G40" s="112"/>
      <c r="H40" s="113"/>
      <c r="I40" s="113"/>
      <c r="J40" s="113"/>
      <c r="K40" s="113"/>
      <c r="L40" s="113"/>
      <c r="M40" s="113"/>
      <c r="N40" s="113"/>
      <c r="O40" s="113"/>
    </row>
    <row r="41" spans="1:15" s="12" customFormat="1" x14ac:dyDescent="0.25">
      <c r="A41" s="111"/>
      <c r="B41" s="111"/>
      <c r="C41" s="111"/>
      <c r="D41" s="111"/>
      <c r="E41" s="111"/>
      <c r="F41" s="111"/>
      <c r="G41" s="112"/>
      <c r="H41" s="113"/>
      <c r="I41" s="113"/>
      <c r="J41" s="113"/>
      <c r="K41" s="113"/>
      <c r="L41" s="113"/>
      <c r="M41" s="113"/>
      <c r="N41" s="113"/>
      <c r="O41" s="113"/>
    </row>
    <row r="42" spans="1:15" s="12" customFormat="1" x14ac:dyDescent="0.25">
      <c r="A42" s="111"/>
      <c r="B42" s="111"/>
      <c r="C42" s="111"/>
      <c r="D42" s="111"/>
      <c r="E42" s="111"/>
      <c r="F42" s="111"/>
      <c r="G42" s="112"/>
      <c r="H42" s="113"/>
      <c r="I42" s="113"/>
      <c r="J42" s="113"/>
      <c r="K42" s="113"/>
      <c r="L42" s="113"/>
      <c r="M42" s="113"/>
      <c r="N42" s="113"/>
      <c r="O42" s="113"/>
    </row>
    <row r="43" spans="1:15" s="12" customFormat="1" x14ac:dyDescent="0.25">
      <c r="A43" s="111"/>
      <c r="B43" s="111"/>
      <c r="C43" s="111"/>
      <c r="D43" s="111"/>
      <c r="E43" s="111"/>
      <c r="F43" s="111"/>
      <c r="G43" s="112"/>
      <c r="H43" s="113"/>
      <c r="I43" s="113"/>
      <c r="J43" s="113"/>
      <c r="K43" s="113"/>
      <c r="L43" s="113"/>
      <c r="M43" s="113"/>
      <c r="N43" s="113"/>
      <c r="O43" s="113"/>
    </row>
    <row r="44" spans="1:15" s="12" customFormat="1" x14ac:dyDescent="0.25">
      <c r="A44" s="111"/>
      <c r="B44" s="111"/>
      <c r="C44" s="111"/>
      <c r="D44" s="111"/>
      <c r="E44" s="111"/>
      <c r="F44" s="111"/>
      <c r="G44" s="112"/>
      <c r="H44" s="113"/>
      <c r="I44" s="113"/>
      <c r="J44" s="113"/>
      <c r="K44" s="113"/>
      <c r="L44" s="113"/>
      <c r="M44" s="113"/>
      <c r="N44" s="113"/>
      <c r="O44" s="113"/>
    </row>
    <row r="45" spans="1:15" s="12" customFormat="1" x14ac:dyDescent="0.25">
      <c r="A45" s="111"/>
      <c r="B45" s="111"/>
      <c r="C45" s="111"/>
      <c r="D45" s="111"/>
      <c r="E45" s="111"/>
      <c r="F45" s="111"/>
      <c r="G45" s="112"/>
      <c r="H45" s="113"/>
      <c r="I45" s="113"/>
      <c r="J45" s="113"/>
      <c r="K45" s="113"/>
      <c r="L45" s="113"/>
      <c r="M45" s="113"/>
      <c r="N45" s="113"/>
      <c r="O45" s="113"/>
    </row>
    <row r="46" spans="1:15" s="12" customFormat="1" x14ac:dyDescent="0.25">
      <c r="A46" s="111"/>
      <c r="B46" s="111"/>
      <c r="C46" s="111"/>
      <c r="D46" s="111"/>
      <c r="E46" s="111"/>
      <c r="F46" s="111"/>
      <c r="G46" s="112"/>
      <c r="H46" s="113"/>
      <c r="I46" s="113"/>
      <c r="J46" s="113"/>
      <c r="K46" s="113"/>
      <c r="L46" s="113"/>
      <c r="M46" s="113"/>
      <c r="N46" s="113"/>
      <c r="O46" s="113"/>
    </row>
    <row r="47" spans="1:15" s="12" customFormat="1" x14ac:dyDescent="0.25">
      <c r="A47" s="111"/>
      <c r="B47" s="111"/>
      <c r="C47" s="111"/>
      <c r="D47" s="111"/>
      <c r="E47" s="111"/>
      <c r="F47" s="111"/>
      <c r="G47" s="112"/>
      <c r="H47" s="113"/>
      <c r="I47" s="113"/>
      <c r="J47" s="113"/>
      <c r="K47" s="113"/>
      <c r="L47" s="113"/>
      <c r="M47" s="113"/>
      <c r="N47" s="113"/>
      <c r="O47" s="113"/>
    </row>
    <row r="48" spans="1:15" s="12" customFormat="1" x14ac:dyDescent="0.25">
      <c r="A48" s="111"/>
      <c r="B48" s="111"/>
      <c r="C48" s="111"/>
      <c r="D48" s="111"/>
      <c r="E48" s="111"/>
      <c r="F48" s="111"/>
      <c r="G48" s="112"/>
      <c r="H48" s="113"/>
      <c r="I48" s="113"/>
      <c r="J48" s="113"/>
      <c r="K48" s="113"/>
      <c r="L48" s="113"/>
      <c r="M48" s="113"/>
      <c r="N48" s="113"/>
      <c r="O48" s="113"/>
    </row>
    <row r="49" spans="1:15" s="12" customFormat="1" x14ac:dyDescent="0.25">
      <c r="A49" s="111"/>
      <c r="B49" s="111"/>
      <c r="C49" s="111"/>
      <c r="D49" s="111"/>
      <c r="E49" s="111"/>
      <c r="F49" s="111"/>
      <c r="G49" s="112"/>
      <c r="H49" s="113"/>
      <c r="I49" s="113"/>
      <c r="J49" s="113"/>
      <c r="K49" s="113"/>
      <c r="L49" s="113"/>
      <c r="M49" s="113"/>
      <c r="N49" s="113"/>
      <c r="O49" s="113"/>
    </row>
    <row r="50" spans="1:15" s="12" customFormat="1" x14ac:dyDescent="0.25">
      <c r="A50" s="111"/>
      <c r="B50" s="111"/>
      <c r="C50" s="111"/>
      <c r="D50" s="111"/>
      <c r="E50" s="111"/>
      <c r="F50" s="111"/>
      <c r="G50" s="112"/>
      <c r="H50" s="113"/>
      <c r="I50" s="113"/>
      <c r="J50" s="113"/>
      <c r="K50" s="113"/>
      <c r="L50" s="113"/>
      <c r="M50" s="113"/>
      <c r="N50" s="113"/>
      <c r="O50" s="113"/>
    </row>
    <row r="51" spans="1:15" s="12" customFormat="1" x14ac:dyDescent="0.25">
      <c r="A51" s="111"/>
      <c r="B51" s="111"/>
      <c r="C51" s="111"/>
      <c r="D51" s="111"/>
      <c r="E51" s="111"/>
      <c r="F51" s="111"/>
      <c r="G51" s="112"/>
      <c r="H51" s="113"/>
      <c r="I51" s="113"/>
      <c r="J51" s="113"/>
      <c r="K51" s="113"/>
      <c r="L51" s="113"/>
      <c r="M51" s="113"/>
      <c r="N51" s="113"/>
      <c r="O51" s="113"/>
    </row>
    <row r="52" spans="1:15" s="12" customFormat="1" x14ac:dyDescent="0.25">
      <c r="A52" s="111"/>
      <c r="B52" s="111"/>
      <c r="C52" s="111"/>
      <c r="D52" s="111"/>
      <c r="E52" s="111"/>
      <c r="F52" s="111"/>
      <c r="G52" s="112"/>
      <c r="H52" s="113"/>
      <c r="I52" s="113"/>
      <c r="J52" s="113"/>
      <c r="K52" s="113"/>
      <c r="L52" s="113"/>
      <c r="M52" s="113"/>
      <c r="N52" s="113"/>
      <c r="O52" s="113"/>
    </row>
    <row r="53" spans="1:15" s="12" customFormat="1" x14ac:dyDescent="0.25">
      <c r="A53" s="111"/>
      <c r="B53" s="111"/>
      <c r="C53" s="111"/>
      <c r="D53" s="111"/>
      <c r="E53" s="111"/>
      <c r="F53" s="111"/>
      <c r="G53" s="112"/>
      <c r="H53" s="113"/>
      <c r="I53" s="113"/>
      <c r="J53" s="113"/>
      <c r="K53" s="113"/>
      <c r="L53" s="113"/>
      <c r="M53" s="113"/>
      <c r="N53" s="113"/>
      <c r="O53" s="113"/>
    </row>
    <row r="54" spans="1:15" s="12" customFormat="1" x14ac:dyDescent="0.25">
      <c r="A54" s="111"/>
      <c r="B54" s="111"/>
      <c r="C54" s="111"/>
      <c r="D54" s="111"/>
      <c r="E54" s="111"/>
      <c r="F54" s="111"/>
      <c r="G54" s="112"/>
      <c r="H54" s="113"/>
      <c r="I54" s="113"/>
      <c r="J54" s="113"/>
      <c r="K54" s="113"/>
      <c r="L54" s="113"/>
      <c r="M54" s="113"/>
      <c r="N54" s="113"/>
      <c r="O54" s="113"/>
    </row>
    <row r="55" spans="1:15" s="12" customFormat="1" x14ac:dyDescent="0.25">
      <c r="A55" s="111"/>
      <c r="B55" s="111"/>
      <c r="C55" s="111"/>
      <c r="D55" s="111"/>
      <c r="E55" s="111"/>
      <c r="F55" s="111"/>
      <c r="G55" s="112"/>
      <c r="H55" s="113"/>
      <c r="I55" s="113"/>
      <c r="J55" s="113"/>
      <c r="K55" s="113"/>
      <c r="L55" s="113"/>
      <c r="M55" s="113"/>
      <c r="N55" s="113"/>
      <c r="O55" s="113"/>
    </row>
    <row r="56" spans="1:15" s="12" customFormat="1" x14ac:dyDescent="0.25">
      <c r="A56" s="111"/>
      <c r="B56" s="111"/>
      <c r="C56" s="111"/>
      <c r="D56" s="111"/>
      <c r="E56" s="111"/>
      <c r="F56" s="111"/>
      <c r="G56" s="112"/>
      <c r="H56" s="113"/>
      <c r="I56" s="113"/>
      <c r="J56" s="113"/>
      <c r="K56" s="113"/>
      <c r="L56" s="113"/>
      <c r="M56" s="113"/>
      <c r="N56" s="113"/>
      <c r="O56" s="113"/>
    </row>
    <row r="57" spans="1:15" s="12" customFormat="1" x14ac:dyDescent="0.25">
      <c r="A57" s="111"/>
      <c r="B57" s="111"/>
      <c r="C57" s="111"/>
      <c r="D57" s="111"/>
      <c r="E57" s="111"/>
      <c r="F57" s="111"/>
      <c r="G57" s="112"/>
      <c r="H57" s="113"/>
      <c r="I57" s="113"/>
      <c r="J57" s="113"/>
      <c r="K57" s="113"/>
      <c r="L57" s="113"/>
      <c r="M57" s="113"/>
      <c r="N57" s="113"/>
      <c r="O57" s="113"/>
    </row>
    <row r="58" spans="1:15" s="12" customFormat="1" x14ac:dyDescent="0.25">
      <c r="A58" s="111"/>
      <c r="B58" s="111"/>
      <c r="C58" s="111"/>
      <c r="D58" s="111"/>
      <c r="E58" s="111"/>
      <c r="F58" s="111"/>
      <c r="G58" s="112"/>
      <c r="H58" s="113"/>
      <c r="I58" s="113"/>
      <c r="J58" s="113"/>
      <c r="K58" s="113"/>
      <c r="L58" s="113"/>
      <c r="M58" s="113"/>
      <c r="N58" s="113"/>
      <c r="O58" s="113"/>
    </row>
    <row r="59" spans="1:15" s="12" customFormat="1" x14ac:dyDescent="0.25">
      <c r="A59" s="111"/>
      <c r="B59" s="111"/>
      <c r="C59" s="111"/>
      <c r="D59" s="111"/>
      <c r="E59" s="111"/>
      <c r="F59" s="111"/>
      <c r="G59" s="112"/>
      <c r="H59" s="113"/>
      <c r="I59" s="113"/>
      <c r="J59" s="113"/>
      <c r="K59" s="113"/>
      <c r="L59" s="113"/>
      <c r="M59" s="113"/>
      <c r="N59" s="113"/>
      <c r="O59" s="113"/>
    </row>
    <row r="60" spans="1:15" s="12" customFormat="1" x14ac:dyDescent="0.25">
      <c r="A60" s="111"/>
      <c r="B60" s="111"/>
      <c r="C60" s="111"/>
      <c r="D60" s="111"/>
      <c r="E60" s="111"/>
      <c r="F60" s="111"/>
      <c r="G60" s="112"/>
      <c r="H60" s="113"/>
      <c r="I60" s="113"/>
      <c r="J60" s="113"/>
      <c r="K60" s="113"/>
      <c r="L60" s="113"/>
      <c r="M60" s="113"/>
      <c r="N60" s="113"/>
      <c r="O60" s="113"/>
    </row>
    <row r="61" spans="1:15" s="12" customFormat="1" x14ac:dyDescent="0.25">
      <c r="A61" s="111"/>
      <c r="B61" s="111"/>
      <c r="C61" s="111"/>
      <c r="D61" s="111"/>
      <c r="E61" s="111"/>
      <c r="F61" s="111"/>
      <c r="G61" s="112"/>
      <c r="H61" s="113"/>
      <c r="I61" s="113"/>
      <c r="J61" s="113"/>
      <c r="K61" s="113"/>
      <c r="L61" s="113"/>
      <c r="M61" s="113"/>
      <c r="N61" s="113"/>
      <c r="O61" s="113"/>
    </row>
    <row r="62" spans="1:15" s="12" customFormat="1" x14ac:dyDescent="0.25">
      <c r="A62" s="111"/>
      <c r="B62" s="111"/>
      <c r="C62" s="111"/>
      <c r="D62" s="111"/>
      <c r="E62" s="111"/>
      <c r="F62" s="111"/>
      <c r="G62" s="112"/>
      <c r="H62" s="113"/>
      <c r="I62" s="113"/>
      <c r="J62" s="113"/>
      <c r="K62" s="113"/>
      <c r="L62" s="113"/>
      <c r="M62" s="113"/>
      <c r="N62" s="113"/>
      <c r="O62" s="113"/>
    </row>
    <row r="63" spans="1:15" s="12" customFormat="1" x14ac:dyDescent="0.25">
      <c r="A63" s="111"/>
      <c r="B63" s="111"/>
      <c r="C63" s="111"/>
      <c r="D63" s="111"/>
      <c r="E63" s="111"/>
      <c r="F63" s="111"/>
      <c r="G63" s="112"/>
      <c r="H63" s="113"/>
      <c r="I63" s="113"/>
      <c r="J63" s="113"/>
      <c r="K63" s="113"/>
      <c r="L63" s="113"/>
      <c r="M63" s="113"/>
      <c r="N63" s="113"/>
      <c r="O63" s="113"/>
    </row>
    <row r="64" spans="1:15" s="12" customFormat="1" x14ac:dyDescent="0.25">
      <c r="A64" s="111"/>
      <c r="B64" s="111"/>
      <c r="C64" s="111"/>
      <c r="D64" s="111"/>
      <c r="E64" s="111"/>
      <c r="F64" s="111"/>
      <c r="G64" s="112"/>
      <c r="H64" s="113"/>
      <c r="I64" s="113"/>
      <c r="J64" s="113"/>
      <c r="K64" s="113"/>
      <c r="L64" s="113"/>
      <c r="M64" s="113"/>
      <c r="N64" s="113"/>
      <c r="O64" s="113"/>
    </row>
    <row r="65" spans="1:15" s="12" customFormat="1" x14ac:dyDescent="0.25">
      <c r="A65" s="111"/>
      <c r="B65" s="111"/>
      <c r="C65" s="111"/>
      <c r="D65" s="111"/>
      <c r="E65" s="111"/>
      <c r="F65" s="111"/>
      <c r="G65" s="112"/>
      <c r="H65" s="113"/>
      <c r="I65" s="113"/>
      <c r="J65" s="113"/>
      <c r="K65" s="113"/>
      <c r="L65" s="113"/>
      <c r="M65" s="113"/>
      <c r="N65" s="113"/>
      <c r="O65" s="113"/>
    </row>
    <row r="66" spans="1:15" s="12" customFormat="1" x14ac:dyDescent="0.25">
      <c r="A66" s="111"/>
      <c r="B66" s="111"/>
      <c r="C66" s="111"/>
      <c r="D66" s="111"/>
      <c r="E66" s="111"/>
      <c r="F66" s="111"/>
      <c r="G66" s="112"/>
      <c r="H66" s="113"/>
      <c r="I66" s="113"/>
      <c r="J66" s="113"/>
      <c r="K66" s="113"/>
      <c r="L66" s="113"/>
      <c r="M66" s="113"/>
      <c r="N66" s="113"/>
      <c r="O66" s="113"/>
    </row>
    <row r="67" spans="1:15" s="12" customFormat="1" x14ac:dyDescent="0.25">
      <c r="A67" s="111"/>
      <c r="B67" s="111"/>
      <c r="C67" s="111"/>
      <c r="D67" s="111"/>
      <c r="E67" s="111"/>
      <c r="F67" s="111"/>
      <c r="G67" s="112"/>
      <c r="H67" s="113"/>
      <c r="I67" s="113"/>
      <c r="J67" s="113"/>
      <c r="K67" s="113"/>
      <c r="L67" s="113"/>
      <c r="M67" s="113"/>
      <c r="N67" s="113"/>
      <c r="O67" s="113"/>
    </row>
    <row r="68" spans="1:15" s="12" customFormat="1" x14ac:dyDescent="0.25">
      <c r="A68" s="111"/>
      <c r="B68" s="111"/>
      <c r="C68" s="111"/>
      <c r="D68" s="111"/>
      <c r="E68" s="111"/>
      <c r="F68" s="111"/>
      <c r="G68" s="112"/>
      <c r="H68" s="113"/>
      <c r="I68" s="113"/>
      <c r="J68" s="113"/>
      <c r="K68" s="113"/>
      <c r="L68" s="113"/>
      <c r="M68" s="113"/>
      <c r="N68" s="113"/>
      <c r="O68" s="113"/>
    </row>
    <row r="69" spans="1:15" s="12" customFormat="1" x14ac:dyDescent="0.25">
      <c r="A69" s="111"/>
      <c r="B69" s="111"/>
      <c r="C69" s="111"/>
      <c r="D69" s="111"/>
      <c r="E69" s="111"/>
      <c r="F69" s="111"/>
      <c r="G69" s="112"/>
      <c r="H69" s="113"/>
      <c r="I69" s="113"/>
      <c r="J69" s="113"/>
      <c r="K69" s="113"/>
      <c r="L69" s="113"/>
      <c r="M69" s="113"/>
      <c r="N69" s="113"/>
      <c r="O69" s="113"/>
    </row>
    <row r="70" spans="1:15" s="12" customFormat="1" x14ac:dyDescent="0.25">
      <c r="A70" s="111"/>
      <c r="B70" s="111"/>
      <c r="C70" s="111"/>
      <c r="D70" s="111"/>
      <c r="E70" s="111"/>
      <c r="F70" s="111"/>
      <c r="G70" s="112"/>
      <c r="H70" s="113"/>
      <c r="I70" s="113"/>
      <c r="J70" s="113"/>
      <c r="K70" s="113"/>
      <c r="L70" s="113"/>
      <c r="M70" s="113"/>
      <c r="N70" s="113"/>
      <c r="O70" s="113"/>
    </row>
    <row r="71" spans="1:15" s="12" customFormat="1" x14ac:dyDescent="0.25">
      <c r="A71" s="111"/>
      <c r="B71" s="111"/>
      <c r="C71" s="111"/>
      <c r="D71" s="111"/>
      <c r="E71" s="111"/>
      <c r="F71" s="111"/>
      <c r="G71" s="112"/>
      <c r="H71" s="113"/>
      <c r="I71" s="113"/>
      <c r="J71" s="113"/>
      <c r="K71" s="113"/>
      <c r="L71" s="113"/>
      <c r="M71" s="113"/>
      <c r="N71" s="113"/>
      <c r="O71" s="113"/>
    </row>
    <row r="72" spans="1:15" s="12" customFormat="1" x14ac:dyDescent="0.25">
      <c r="A72" s="111"/>
      <c r="B72" s="111"/>
      <c r="C72" s="111"/>
      <c r="D72" s="111"/>
      <c r="E72" s="111"/>
      <c r="F72" s="111"/>
      <c r="G72" s="112"/>
      <c r="H72" s="113"/>
      <c r="I72" s="113"/>
      <c r="J72" s="113"/>
      <c r="K72" s="113"/>
      <c r="L72" s="113"/>
      <c r="M72" s="113"/>
      <c r="N72" s="113"/>
      <c r="O72" s="113"/>
    </row>
    <row r="73" spans="1:15" s="12" customFormat="1" x14ac:dyDescent="0.25">
      <c r="A73" s="111"/>
      <c r="B73" s="111"/>
      <c r="C73" s="111"/>
      <c r="D73" s="111"/>
      <c r="E73" s="111"/>
      <c r="F73" s="111"/>
      <c r="G73" s="112"/>
      <c r="H73" s="113"/>
      <c r="I73" s="113"/>
      <c r="J73" s="113"/>
      <c r="K73" s="113"/>
      <c r="L73" s="113"/>
      <c r="M73" s="113"/>
      <c r="N73" s="113"/>
      <c r="O73" s="113"/>
    </row>
    <row r="74" spans="1:15" s="12" customFormat="1" x14ac:dyDescent="0.25">
      <c r="A74" s="111"/>
      <c r="B74" s="111"/>
      <c r="C74" s="111"/>
      <c r="D74" s="111"/>
      <c r="E74" s="111"/>
      <c r="F74" s="111"/>
      <c r="G74" s="112"/>
      <c r="H74" s="113"/>
      <c r="I74" s="113"/>
      <c r="J74" s="113"/>
      <c r="K74" s="113"/>
      <c r="L74" s="113"/>
      <c r="M74" s="113"/>
      <c r="N74" s="113"/>
      <c r="O74" s="113"/>
    </row>
    <row r="75" spans="1:15" s="12" customFormat="1" x14ac:dyDescent="0.25">
      <c r="A75" s="111"/>
      <c r="B75" s="111"/>
      <c r="C75" s="111"/>
      <c r="D75" s="111"/>
      <c r="E75" s="111"/>
      <c r="F75" s="111"/>
      <c r="G75" s="112"/>
      <c r="H75" s="113"/>
      <c r="I75" s="113"/>
      <c r="J75" s="113"/>
      <c r="K75" s="113"/>
      <c r="L75" s="113"/>
      <c r="M75" s="113"/>
      <c r="N75" s="113"/>
      <c r="O75" s="113"/>
    </row>
    <row r="76" spans="1:15" s="12" customFormat="1" x14ac:dyDescent="0.25">
      <c r="A76" s="111"/>
      <c r="B76" s="111"/>
      <c r="C76" s="111"/>
      <c r="D76" s="111"/>
      <c r="E76" s="111"/>
      <c r="F76" s="111"/>
      <c r="G76" s="112"/>
      <c r="H76" s="113"/>
      <c r="I76" s="113"/>
      <c r="J76" s="113"/>
      <c r="K76" s="113"/>
      <c r="L76" s="113"/>
      <c r="M76" s="113"/>
      <c r="N76" s="113"/>
      <c r="O76" s="113"/>
    </row>
    <row r="77" spans="1:15" s="12" customFormat="1" x14ac:dyDescent="0.25">
      <c r="A77" s="111"/>
      <c r="B77" s="111"/>
      <c r="C77" s="111"/>
      <c r="D77" s="111"/>
      <c r="E77" s="111"/>
      <c r="F77" s="111"/>
      <c r="G77" s="112"/>
      <c r="H77" s="113"/>
      <c r="I77" s="113"/>
      <c r="J77" s="113"/>
      <c r="K77" s="113"/>
      <c r="L77" s="113"/>
      <c r="M77" s="113"/>
      <c r="N77" s="113"/>
      <c r="O77" s="113"/>
    </row>
    <row r="78" spans="1:15" s="12" customFormat="1" x14ac:dyDescent="0.25">
      <c r="A78" s="111"/>
      <c r="B78" s="111"/>
      <c r="C78" s="111"/>
      <c r="D78" s="111"/>
      <c r="E78" s="111"/>
      <c r="F78" s="111"/>
      <c r="G78" s="112"/>
      <c r="H78" s="113"/>
      <c r="I78" s="113"/>
      <c r="J78" s="113"/>
      <c r="K78" s="113"/>
      <c r="L78" s="113"/>
      <c r="M78" s="113"/>
      <c r="N78" s="113"/>
      <c r="O78" s="113"/>
    </row>
    <row r="79" spans="1:15" s="12" customFormat="1" x14ac:dyDescent="0.25">
      <c r="A79" s="111"/>
      <c r="B79" s="111"/>
      <c r="C79" s="111"/>
      <c r="D79" s="111"/>
      <c r="E79" s="111"/>
      <c r="F79" s="111"/>
      <c r="G79" s="112"/>
      <c r="H79" s="113"/>
      <c r="I79" s="113"/>
      <c r="J79" s="113"/>
      <c r="K79" s="113"/>
      <c r="L79" s="113"/>
      <c r="M79" s="113"/>
      <c r="N79" s="113"/>
      <c r="O79" s="113"/>
    </row>
    <row r="80" spans="1:15" s="12" customFormat="1" x14ac:dyDescent="0.25">
      <c r="A80" s="111"/>
      <c r="B80" s="111"/>
      <c r="C80" s="111"/>
      <c r="D80" s="111"/>
      <c r="E80" s="111"/>
      <c r="F80" s="111"/>
      <c r="G80" s="112"/>
      <c r="H80" s="113"/>
      <c r="I80" s="113"/>
      <c r="J80" s="113"/>
      <c r="K80" s="113"/>
      <c r="L80" s="113"/>
      <c r="M80" s="113"/>
      <c r="N80" s="113"/>
      <c r="O80" s="113"/>
    </row>
    <row r="81" spans="1:15" s="12" customFormat="1" x14ac:dyDescent="0.25">
      <c r="A81" s="111"/>
      <c r="B81" s="111"/>
      <c r="C81" s="111"/>
      <c r="D81" s="111"/>
      <c r="E81" s="111"/>
      <c r="F81" s="111"/>
      <c r="G81" s="112"/>
      <c r="H81" s="113"/>
      <c r="I81" s="113"/>
      <c r="J81" s="113"/>
      <c r="K81" s="113"/>
      <c r="L81" s="113"/>
      <c r="M81" s="113"/>
      <c r="N81" s="113"/>
      <c r="O81" s="113"/>
    </row>
    <row r="82" spans="1:15" s="12" customFormat="1" x14ac:dyDescent="0.25">
      <c r="A82" s="111"/>
      <c r="B82" s="111"/>
      <c r="C82" s="111"/>
      <c r="D82" s="111"/>
      <c r="E82" s="111"/>
      <c r="F82" s="111"/>
      <c r="G82" s="112"/>
      <c r="H82" s="113"/>
      <c r="I82" s="113"/>
      <c r="J82" s="113"/>
      <c r="K82" s="113"/>
      <c r="L82" s="113"/>
      <c r="M82" s="113"/>
      <c r="N82" s="113"/>
      <c r="O82" s="113"/>
    </row>
    <row r="83" spans="1:15" s="12" customFormat="1" x14ac:dyDescent="0.25">
      <c r="A83" s="111"/>
      <c r="B83" s="111"/>
      <c r="C83" s="111"/>
      <c r="D83" s="111"/>
      <c r="E83" s="111"/>
      <c r="F83" s="111"/>
      <c r="G83" s="112"/>
      <c r="H83" s="113"/>
      <c r="I83" s="113"/>
      <c r="J83" s="113"/>
      <c r="K83" s="113"/>
      <c r="L83" s="113"/>
      <c r="M83" s="113"/>
      <c r="N83" s="113"/>
      <c r="O83" s="113"/>
    </row>
    <row r="84" spans="1:15" s="12" customFormat="1" x14ac:dyDescent="0.25">
      <c r="A84" s="111"/>
      <c r="B84" s="111"/>
      <c r="C84" s="111"/>
      <c r="D84" s="111"/>
      <c r="E84" s="111"/>
      <c r="F84" s="111"/>
      <c r="G84" s="112"/>
      <c r="H84" s="113"/>
      <c r="I84" s="113"/>
      <c r="J84" s="113"/>
      <c r="K84" s="113"/>
      <c r="L84" s="113"/>
      <c r="M84" s="113"/>
      <c r="N84" s="113"/>
      <c r="O84" s="113"/>
    </row>
    <row r="85" spans="1:15" s="12" customFormat="1" x14ac:dyDescent="0.25">
      <c r="A85" s="111"/>
      <c r="B85" s="111"/>
      <c r="C85" s="111"/>
      <c r="D85" s="111"/>
      <c r="E85" s="111"/>
      <c r="F85" s="111"/>
      <c r="G85" s="112"/>
      <c r="H85" s="113"/>
      <c r="I85" s="113"/>
      <c r="J85" s="113"/>
      <c r="K85" s="113"/>
      <c r="L85" s="113"/>
      <c r="M85" s="113"/>
      <c r="N85" s="113"/>
      <c r="O85" s="113"/>
    </row>
    <row r="86" spans="1:15" s="12" customFormat="1" x14ac:dyDescent="0.25">
      <c r="A86" s="111"/>
      <c r="B86" s="111"/>
      <c r="C86" s="111"/>
      <c r="D86" s="111"/>
      <c r="E86" s="111"/>
      <c r="F86" s="111"/>
      <c r="G86" s="112"/>
      <c r="H86" s="113"/>
      <c r="I86" s="113"/>
      <c r="J86" s="113"/>
      <c r="K86" s="113"/>
      <c r="L86" s="113"/>
      <c r="M86" s="113"/>
      <c r="N86" s="113"/>
      <c r="O86" s="113"/>
    </row>
    <row r="87" spans="1:15" s="12" customFormat="1" x14ac:dyDescent="0.25">
      <c r="A87" s="111"/>
      <c r="B87" s="111"/>
      <c r="C87" s="111"/>
      <c r="D87" s="111"/>
      <c r="E87" s="111"/>
      <c r="F87" s="111"/>
      <c r="G87" s="112"/>
      <c r="H87" s="113"/>
      <c r="I87" s="113"/>
      <c r="J87" s="113"/>
      <c r="K87" s="113"/>
      <c r="L87" s="113"/>
      <c r="M87" s="113"/>
      <c r="N87" s="113"/>
      <c r="O87" s="113"/>
    </row>
    <row r="88" spans="1:15" s="12" customFormat="1" x14ac:dyDescent="0.25">
      <c r="A88" s="111"/>
      <c r="B88" s="111"/>
      <c r="C88" s="111"/>
      <c r="D88" s="111"/>
      <c r="E88" s="111"/>
      <c r="F88" s="111"/>
      <c r="G88" s="112"/>
      <c r="H88" s="113"/>
      <c r="I88" s="113"/>
      <c r="J88" s="113"/>
      <c r="K88" s="113"/>
      <c r="L88" s="113"/>
      <c r="M88" s="113"/>
      <c r="N88" s="113"/>
      <c r="O88" s="113"/>
    </row>
    <row r="89" spans="1:15" s="12" customFormat="1" x14ac:dyDescent="0.25">
      <c r="A89" s="111"/>
      <c r="B89" s="111"/>
      <c r="C89" s="111"/>
      <c r="D89" s="111"/>
      <c r="E89" s="111"/>
      <c r="F89" s="111"/>
      <c r="G89" s="112"/>
      <c r="H89" s="113"/>
      <c r="I89" s="113"/>
      <c r="J89" s="113"/>
      <c r="K89" s="113"/>
      <c r="L89" s="113"/>
      <c r="M89" s="113"/>
      <c r="N89" s="113"/>
      <c r="O89" s="113"/>
    </row>
    <row r="90" spans="1:15" s="12" customFormat="1" x14ac:dyDescent="0.25">
      <c r="A90" s="111"/>
      <c r="B90" s="111"/>
      <c r="C90" s="111"/>
      <c r="D90" s="111"/>
      <c r="E90" s="111"/>
      <c r="F90" s="111"/>
      <c r="G90" s="112"/>
      <c r="H90" s="113"/>
      <c r="I90" s="113"/>
      <c r="J90" s="113"/>
      <c r="K90" s="113"/>
      <c r="L90" s="113"/>
      <c r="M90" s="113"/>
      <c r="N90" s="113"/>
      <c r="O90" s="113"/>
    </row>
    <row r="91" spans="1:15" s="12" customFormat="1" x14ac:dyDescent="0.25">
      <c r="A91" s="111"/>
      <c r="B91" s="111"/>
      <c r="C91" s="111"/>
      <c r="D91" s="111"/>
      <c r="E91" s="111"/>
      <c r="F91" s="111"/>
      <c r="G91" s="112"/>
      <c r="H91" s="113"/>
      <c r="I91" s="113"/>
      <c r="J91" s="113"/>
      <c r="K91" s="113"/>
      <c r="L91" s="113"/>
      <c r="M91" s="113"/>
      <c r="N91" s="113"/>
      <c r="O91" s="113"/>
    </row>
    <row r="92" spans="1:15" s="12" customFormat="1" x14ac:dyDescent="0.25">
      <c r="A92" s="111"/>
      <c r="B92" s="111"/>
      <c r="C92" s="111"/>
      <c r="D92" s="111"/>
      <c r="E92" s="111"/>
      <c r="F92" s="111"/>
      <c r="G92" s="112"/>
      <c r="H92" s="113"/>
      <c r="I92" s="113"/>
      <c r="J92" s="113"/>
      <c r="K92" s="113"/>
      <c r="L92" s="113"/>
      <c r="M92" s="113"/>
      <c r="N92" s="113"/>
      <c r="O92" s="113"/>
    </row>
    <row r="93" spans="1:15" s="12" customFormat="1" x14ac:dyDescent="0.25">
      <c r="A93" s="111"/>
      <c r="B93" s="111"/>
      <c r="C93" s="111"/>
      <c r="D93" s="111"/>
      <c r="E93" s="111"/>
      <c r="F93" s="111"/>
      <c r="G93" s="112"/>
      <c r="H93" s="113"/>
      <c r="I93" s="113"/>
      <c r="J93" s="113"/>
      <c r="K93" s="113"/>
      <c r="L93" s="113"/>
      <c r="M93" s="113"/>
      <c r="N93" s="113"/>
      <c r="O93" s="113"/>
    </row>
    <row r="94" spans="1:15" s="12" customFormat="1" x14ac:dyDescent="0.25">
      <c r="A94" s="111"/>
      <c r="B94" s="111"/>
      <c r="C94" s="111"/>
      <c r="D94" s="111"/>
      <c r="E94" s="111"/>
      <c r="F94" s="111"/>
      <c r="G94" s="112"/>
      <c r="H94" s="113"/>
      <c r="I94" s="113"/>
      <c r="J94" s="113"/>
      <c r="K94" s="113"/>
      <c r="L94" s="113"/>
      <c r="M94" s="113"/>
      <c r="N94" s="113"/>
      <c r="O94" s="113"/>
    </row>
    <row r="95" spans="1:15" s="12" customFormat="1" x14ac:dyDescent="0.25">
      <c r="A95" s="111"/>
      <c r="B95" s="111"/>
      <c r="C95" s="111"/>
      <c r="D95" s="111"/>
      <c r="E95" s="111"/>
      <c r="F95" s="111"/>
      <c r="G95" s="112"/>
      <c r="H95" s="113"/>
      <c r="I95" s="113"/>
      <c r="J95" s="113"/>
      <c r="K95" s="113"/>
      <c r="L95" s="113"/>
      <c r="M95" s="113"/>
      <c r="N95" s="113"/>
      <c r="O95" s="113"/>
    </row>
    <row r="96" spans="1:15" s="12" customFormat="1" x14ac:dyDescent="0.25">
      <c r="A96" s="111"/>
      <c r="B96" s="111"/>
      <c r="C96" s="111"/>
      <c r="D96" s="111"/>
      <c r="E96" s="111"/>
      <c r="F96" s="111"/>
      <c r="G96" s="112"/>
      <c r="H96" s="113"/>
      <c r="I96" s="113"/>
      <c r="J96" s="113"/>
      <c r="K96" s="113"/>
      <c r="L96" s="113"/>
      <c r="M96" s="113"/>
      <c r="N96" s="113"/>
      <c r="O96" s="113"/>
    </row>
    <row r="97" spans="1:15" s="12" customFormat="1" x14ac:dyDescent="0.25">
      <c r="A97" s="111"/>
      <c r="B97" s="111"/>
      <c r="C97" s="111"/>
      <c r="D97" s="111"/>
      <c r="E97" s="111"/>
      <c r="F97" s="111"/>
      <c r="G97" s="112"/>
      <c r="H97" s="113"/>
      <c r="I97" s="113"/>
      <c r="J97" s="113"/>
      <c r="K97" s="113"/>
      <c r="L97" s="113"/>
      <c r="M97" s="113"/>
      <c r="N97" s="113"/>
      <c r="O97" s="113"/>
    </row>
    <row r="98" spans="1:15" s="12" customFormat="1" x14ac:dyDescent="0.25">
      <c r="A98" s="111"/>
      <c r="B98" s="111"/>
      <c r="C98" s="111"/>
      <c r="D98" s="111"/>
      <c r="E98" s="111"/>
      <c r="F98" s="111"/>
      <c r="G98" s="112"/>
      <c r="H98" s="113"/>
      <c r="I98" s="113"/>
      <c r="J98" s="113"/>
      <c r="K98" s="113"/>
      <c r="L98" s="113"/>
      <c r="M98" s="113"/>
      <c r="N98" s="113"/>
      <c r="O98" s="113"/>
    </row>
    <row r="99" spans="1:15" s="12" customFormat="1" x14ac:dyDescent="0.25">
      <c r="A99" s="111"/>
      <c r="B99" s="111"/>
      <c r="C99" s="111"/>
      <c r="D99" s="111"/>
      <c r="E99" s="111"/>
      <c r="F99" s="111"/>
      <c r="G99" s="112"/>
      <c r="H99" s="113"/>
      <c r="I99" s="113"/>
      <c r="J99" s="113"/>
      <c r="K99" s="113"/>
      <c r="L99" s="113"/>
      <c r="M99" s="113"/>
      <c r="N99" s="113"/>
      <c r="O99" s="113"/>
    </row>
    <row r="100" spans="1:15" s="12" customFormat="1" x14ac:dyDescent="0.25">
      <c r="A100" s="111"/>
      <c r="B100" s="111"/>
      <c r="C100" s="111"/>
      <c r="D100" s="111"/>
      <c r="E100" s="111"/>
      <c r="F100" s="111"/>
      <c r="G100" s="112"/>
      <c r="H100" s="113"/>
      <c r="I100" s="113"/>
      <c r="J100" s="113"/>
      <c r="K100" s="113"/>
      <c r="L100" s="113"/>
      <c r="M100" s="113"/>
      <c r="N100" s="113"/>
      <c r="O100" s="113"/>
    </row>
    <row r="101" spans="1:15" s="12" customFormat="1" x14ac:dyDescent="0.25">
      <c r="A101" s="111"/>
      <c r="B101" s="111"/>
      <c r="C101" s="111"/>
      <c r="D101" s="111"/>
      <c r="E101" s="111"/>
      <c r="F101" s="111"/>
      <c r="G101" s="112"/>
      <c r="H101" s="113"/>
      <c r="I101" s="113"/>
      <c r="J101" s="113"/>
      <c r="K101" s="113"/>
      <c r="L101" s="113"/>
      <c r="M101" s="113"/>
      <c r="N101" s="113"/>
      <c r="O101" s="113"/>
    </row>
    <row r="102" spans="1:15" s="12" customFormat="1" x14ac:dyDescent="0.25">
      <c r="A102" s="111"/>
      <c r="B102" s="111"/>
      <c r="C102" s="111"/>
      <c r="D102" s="111"/>
      <c r="E102" s="111"/>
      <c r="F102" s="111"/>
      <c r="G102" s="112"/>
      <c r="H102" s="113"/>
      <c r="I102" s="113"/>
      <c r="J102" s="113"/>
      <c r="K102" s="113"/>
      <c r="L102" s="113"/>
      <c r="M102" s="113"/>
      <c r="N102" s="113"/>
      <c r="O102" s="113"/>
    </row>
    <row r="103" spans="1:15" s="12" customFormat="1" x14ac:dyDescent="0.25">
      <c r="A103" s="111"/>
      <c r="B103" s="111"/>
      <c r="C103" s="111"/>
      <c r="D103" s="111"/>
      <c r="E103" s="111"/>
      <c r="F103" s="111"/>
      <c r="G103" s="112"/>
      <c r="H103" s="113"/>
      <c r="I103" s="113"/>
      <c r="J103" s="113"/>
      <c r="K103" s="113"/>
      <c r="L103" s="113"/>
      <c r="M103" s="113"/>
      <c r="N103" s="113"/>
      <c r="O103" s="113"/>
    </row>
    <row r="104" spans="1:15" s="12" customFormat="1" x14ac:dyDescent="0.25">
      <c r="A104" s="111"/>
      <c r="B104" s="111"/>
      <c r="C104" s="111"/>
      <c r="D104" s="111"/>
      <c r="E104" s="111"/>
      <c r="F104" s="111"/>
      <c r="G104" s="112"/>
      <c r="H104" s="113"/>
      <c r="I104" s="113"/>
      <c r="J104" s="113"/>
      <c r="K104" s="113"/>
      <c r="L104" s="113"/>
      <c r="M104" s="113"/>
      <c r="N104" s="113"/>
      <c r="O104" s="113"/>
    </row>
    <row r="105" spans="1:15" s="12" customFormat="1" x14ac:dyDescent="0.25">
      <c r="A105" s="111"/>
      <c r="B105" s="111"/>
      <c r="C105" s="111"/>
      <c r="D105" s="111"/>
      <c r="E105" s="111"/>
      <c r="F105" s="111"/>
      <c r="G105" s="112"/>
      <c r="H105" s="113"/>
      <c r="I105" s="113"/>
      <c r="J105" s="113"/>
      <c r="K105" s="113"/>
      <c r="L105" s="113"/>
      <c r="M105" s="113"/>
      <c r="N105" s="113"/>
      <c r="O105" s="113"/>
    </row>
    <row r="106" spans="1:15" s="12" customFormat="1" x14ac:dyDescent="0.25">
      <c r="A106" s="111"/>
      <c r="B106" s="111"/>
      <c r="C106" s="111"/>
      <c r="D106" s="111"/>
      <c r="E106" s="111"/>
      <c r="F106" s="111"/>
      <c r="G106" s="112"/>
      <c r="H106" s="113"/>
      <c r="I106" s="113"/>
      <c r="J106" s="113"/>
      <c r="K106" s="113"/>
      <c r="L106" s="113"/>
      <c r="M106" s="113"/>
      <c r="N106" s="113"/>
      <c r="O106" s="113"/>
    </row>
    <row r="107" spans="1:15" s="12" customFormat="1" x14ac:dyDescent="0.25">
      <c r="A107" s="111"/>
      <c r="B107" s="111"/>
      <c r="C107" s="111"/>
      <c r="D107" s="111"/>
      <c r="E107" s="111"/>
      <c r="F107" s="111"/>
      <c r="G107" s="112"/>
      <c r="H107" s="113"/>
      <c r="I107" s="113"/>
      <c r="J107" s="113"/>
      <c r="K107" s="113"/>
      <c r="L107" s="113"/>
      <c r="M107" s="113"/>
      <c r="N107" s="113"/>
      <c r="O107" s="113"/>
    </row>
    <row r="108" spans="1:15" s="12" customFormat="1" x14ac:dyDescent="0.25">
      <c r="A108" s="111"/>
      <c r="B108" s="111"/>
      <c r="C108" s="111"/>
      <c r="D108" s="111"/>
      <c r="E108" s="111"/>
      <c r="F108" s="111"/>
      <c r="G108" s="112"/>
      <c r="H108" s="113"/>
      <c r="I108" s="113"/>
      <c r="J108" s="113"/>
      <c r="K108" s="113"/>
      <c r="L108" s="113"/>
      <c r="M108" s="113"/>
      <c r="N108" s="113"/>
      <c r="O108" s="113"/>
    </row>
    <row r="109" spans="1:15" s="12" customFormat="1" x14ac:dyDescent="0.25">
      <c r="A109" s="111"/>
      <c r="B109" s="111"/>
      <c r="C109" s="111"/>
      <c r="D109" s="111"/>
      <c r="E109" s="111"/>
      <c r="F109" s="111"/>
      <c r="G109" s="112"/>
      <c r="H109" s="113"/>
      <c r="I109" s="113"/>
      <c r="J109" s="113"/>
      <c r="K109" s="113"/>
      <c r="L109" s="113"/>
      <c r="M109" s="113"/>
      <c r="N109" s="113"/>
    </row>
    <row r="110" spans="1:15" s="12" customFormat="1" x14ac:dyDescent="0.25">
      <c r="A110" s="111"/>
      <c r="B110" s="111"/>
      <c r="C110" s="111"/>
      <c r="D110" s="111"/>
      <c r="E110" s="111"/>
      <c r="F110" s="111"/>
      <c r="G110" s="112"/>
      <c r="H110" s="113"/>
      <c r="I110" s="113"/>
      <c r="J110" s="113"/>
      <c r="K110" s="113"/>
      <c r="L110" s="113"/>
      <c r="M110" s="113"/>
      <c r="N110" s="113"/>
    </row>
    <row r="111" spans="1:15" s="12" customFormat="1" x14ac:dyDescent="0.25">
      <c r="A111" s="111"/>
      <c r="B111" s="111"/>
      <c r="C111" s="111"/>
      <c r="D111" s="111"/>
      <c r="E111" s="111"/>
      <c r="F111" s="111"/>
      <c r="G111" s="112"/>
      <c r="H111" s="113"/>
      <c r="I111" s="113"/>
      <c r="J111" s="113"/>
      <c r="K111" s="113"/>
      <c r="L111" s="113"/>
      <c r="M111" s="113"/>
      <c r="N111" s="113"/>
    </row>
    <row r="112" spans="1:15" s="12" customFormat="1" x14ac:dyDescent="0.25">
      <c r="A112" s="111"/>
      <c r="B112" s="111"/>
      <c r="C112" s="111"/>
      <c r="D112" s="111"/>
      <c r="E112" s="111"/>
      <c r="F112" s="111"/>
      <c r="G112" s="112"/>
      <c r="H112" s="113"/>
      <c r="I112" s="113"/>
      <c r="J112" s="113"/>
      <c r="K112" s="113"/>
      <c r="L112" s="113"/>
      <c r="M112" s="113"/>
      <c r="N112" s="113"/>
    </row>
    <row r="113" spans="1:14" s="12" customFormat="1" x14ac:dyDescent="0.25">
      <c r="A113" s="111"/>
      <c r="B113" s="111"/>
      <c r="C113" s="111"/>
      <c r="D113" s="111"/>
      <c r="E113" s="111"/>
      <c r="F113" s="111"/>
      <c r="G113" s="112"/>
      <c r="H113" s="113"/>
      <c r="I113" s="113"/>
      <c r="J113" s="113"/>
      <c r="K113" s="113"/>
      <c r="L113" s="113"/>
      <c r="M113" s="113"/>
      <c r="N113" s="113"/>
    </row>
    <row r="114" spans="1:14" s="12" customFormat="1" x14ac:dyDescent="0.25">
      <c r="A114" s="111"/>
      <c r="B114" s="111"/>
      <c r="C114" s="111"/>
      <c r="D114" s="111"/>
      <c r="E114" s="111"/>
      <c r="F114" s="111"/>
      <c r="G114" s="112"/>
      <c r="H114" s="113"/>
      <c r="I114" s="113"/>
      <c r="J114" s="113"/>
      <c r="K114" s="113"/>
      <c r="L114" s="113"/>
      <c r="M114" s="113"/>
      <c r="N114" s="113"/>
    </row>
    <row r="115" spans="1:14" s="12" customFormat="1" x14ac:dyDescent="0.25">
      <c r="A115" s="111"/>
      <c r="B115" s="111"/>
      <c r="C115" s="111"/>
      <c r="D115" s="111"/>
      <c r="E115" s="111"/>
      <c r="F115" s="111"/>
      <c r="G115" s="112"/>
      <c r="H115" s="113"/>
      <c r="I115" s="113"/>
      <c r="J115" s="113"/>
      <c r="K115" s="113"/>
      <c r="L115" s="113"/>
      <c r="M115" s="113"/>
      <c r="N115" s="113"/>
    </row>
    <row r="116" spans="1:14" s="12" customFormat="1" x14ac:dyDescent="0.25">
      <c r="A116" s="111"/>
      <c r="B116" s="111"/>
      <c r="C116" s="111"/>
      <c r="D116" s="111"/>
      <c r="E116" s="111"/>
      <c r="F116" s="111"/>
      <c r="G116" s="112"/>
      <c r="H116" s="113"/>
      <c r="I116" s="113"/>
      <c r="J116" s="113"/>
      <c r="K116" s="113"/>
      <c r="L116" s="113"/>
      <c r="M116" s="113"/>
      <c r="N116" s="113"/>
    </row>
    <row r="117" spans="1:14" s="12" customFormat="1" x14ac:dyDescent="0.25">
      <c r="A117" s="111"/>
      <c r="B117" s="111"/>
      <c r="C117" s="111"/>
      <c r="D117" s="111"/>
      <c r="E117" s="111"/>
      <c r="F117" s="111"/>
      <c r="G117" s="112"/>
      <c r="H117" s="113"/>
      <c r="I117" s="113"/>
      <c r="J117" s="113"/>
      <c r="K117" s="113"/>
      <c r="L117" s="113"/>
      <c r="M117" s="113"/>
      <c r="N117" s="113"/>
    </row>
    <row r="118" spans="1:14" s="12" customFormat="1" x14ac:dyDescent="0.25">
      <c r="A118" s="111"/>
      <c r="B118" s="111"/>
      <c r="C118" s="111"/>
      <c r="D118" s="111"/>
      <c r="E118" s="111"/>
      <c r="F118" s="111"/>
      <c r="G118" s="112"/>
      <c r="H118" s="113"/>
      <c r="I118" s="113"/>
      <c r="J118" s="113"/>
      <c r="K118" s="113"/>
      <c r="L118" s="113"/>
      <c r="M118" s="113"/>
      <c r="N118" s="113"/>
    </row>
    <row r="119" spans="1:14" s="12" customFormat="1" x14ac:dyDescent="0.25">
      <c r="A119" s="111"/>
      <c r="B119" s="111"/>
      <c r="C119" s="111"/>
      <c r="D119" s="111"/>
      <c r="E119" s="111"/>
      <c r="F119" s="111"/>
      <c r="G119" s="112"/>
      <c r="H119" s="113"/>
      <c r="I119" s="113"/>
      <c r="J119" s="113"/>
      <c r="K119" s="113"/>
      <c r="L119" s="113"/>
      <c r="M119" s="113"/>
      <c r="N119" s="113"/>
    </row>
    <row r="120" spans="1:14" s="12" customFormat="1" x14ac:dyDescent="0.25">
      <c r="A120" s="111"/>
      <c r="B120" s="111"/>
      <c r="C120" s="111"/>
      <c r="D120" s="111"/>
      <c r="E120" s="111"/>
      <c r="F120" s="111"/>
      <c r="G120" s="112"/>
      <c r="H120" s="113"/>
      <c r="I120" s="113"/>
      <c r="J120" s="113"/>
      <c r="K120" s="113"/>
      <c r="L120" s="113"/>
      <c r="M120" s="113"/>
      <c r="N120" s="113"/>
    </row>
    <row r="121" spans="1:14" s="12" customFormat="1" x14ac:dyDescent="0.25">
      <c r="A121" s="111"/>
      <c r="B121" s="111"/>
      <c r="C121" s="111"/>
      <c r="D121" s="111"/>
      <c r="E121" s="111"/>
      <c r="F121" s="111"/>
      <c r="G121" s="112"/>
      <c r="H121" s="113"/>
      <c r="I121" s="113"/>
      <c r="J121" s="113"/>
      <c r="K121" s="113"/>
      <c r="L121" s="113"/>
      <c r="M121" s="113"/>
      <c r="N121" s="113"/>
    </row>
    <row r="122" spans="1:14" s="12" customFormat="1" x14ac:dyDescent="0.25">
      <c r="A122" s="111"/>
      <c r="B122" s="111"/>
      <c r="C122" s="111"/>
      <c r="D122" s="111"/>
      <c r="E122" s="111"/>
      <c r="F122" s="111"/>
      <c r="G122" s="112"/>
      <c r="H122" s="113"/>
      <c r="I122" s="113"/>
      <c r="J122" s="113"/>
      <c r="K122" s="113"/>
      <c r="L122" s="113"/>
      <c r="M122" s="113"/>
      <c r="N122" s="113"/>
    </row>
    <row r="123" spans="1:14" s="12" customFormat="1" x14ac:dyDescent="0.25">
      <c r="A123" s="111"/>
      <c r="B123" s="111"/>
      <c r="C123" s="111"/>
      <c r="D123" s="111"/>
      <c r="E123" s="111"/>
      <c r="F123" s="111"/>
      <c r="G123" s="112"/>
      <c r="H123" s="113"/>
      <c r="I123" s="113"/>
      <c r="J123" s="113"/>
      <c r="K123" s="113"/>
      <c r="L123" s="113"/>
      <c r="M123" s="113"/>
      <c r="N123" s="113"/>
    </row>
    <row r="124" spans="1:14" s="12" customFormat="1" x14ac:dyDescent="0.25">
      <c r="A124" s="111"/>
      <c r="B124" s="111"/>
      <c r="C124" s="111"/>
      <c r="D124" s="111"/>
      <c r="E124" s="111"/>
      <c r="F124" s="111"/>
      <c r="G124" s="112"/>
      <c r="H124" s="113"/>
      <c r="I124" s="113"/>
      <c r="J124" s="113"/>
      <c r="K124" s="113"/>
      <c r="L124" s="113"/>
      <c r="M124" s="113"/>
      <c r="N124" s="113"/>
    </row>
    <row r="125" spans="1:14" s="12" customFormat="1" x14ac:dyDescent="0.25">
      <c r="A125" s="111"/>
      <c r="B125" s="111"/>
      <c r="C125" s="111"/>
      <c r="D125" s="111"/>
      <c r="E125" s="111"/>
      <c r="F125" s="111"/>
      <c r="G125" s="112"/>
      <c r="H125" s="113"/>
      <c r="I125" s="113"/>
      <c r="J125" s="113"/>
      <c r="K125" s="113"/>
      <c r="L125" s="113"/>
      <c r="M125" s="113"/>
      <c r="N125" s="113"/>
    </row>
    <row r="126" spans="1:14" s="12" customFormat="1" x14ac:dyDescent="0.25">
      <c r="A126" s="111"/>
      <c r="B126" s="111"/>
      <c r="C126" s="111"/>
      <c r="D126" s="111"/>
      <c r="E126" s="111"/>
      <c r="F126" s="111"/>
      <c r="G126" s="112"/>
      <c r="H126" s="113"/>
      <c r="I126" s="113"/>
      <c r="J126" s="113"/>
      <c r="K126" s="113"/>
      <c r="L126" s="113"/>
      <c r="M126" s="113"/>
      <c r="N126" s="113"/>
    </row>
    <row r="127" spans="1:14" s="12" customFormat="1" x14ac:dyDescent="0.25">
      <c r="A127" s="111"/>
      <c r="B127" s="111"/>
      <c r="C127" s="111"/>
      <c r="D127" s="111"/>
      <c r="E127" s="111"/>
      <c r="F127" s="111"/>
      <c r="G127" s="112"/>
      <c r="H127" s="113"/>
      <c r="I127" s="113"/>
      <c r="J127" s="113"/>
      <c r="K127" s="113"/>
      <c r="L127" s="113"/>
      <c r="M127" s="113"/>
      <c r="N127" s="113"/>
    </row>
    <row r="128" spans="1:14" s="12" customFormat="1" x14ac:dyDescent="0.25">
      <c r="A128" s="111"/>
      <c r="B128" s="111"/>
      <c r="C128" s="111"/>
      <c r="D128" s="111"/>
      <c r="E128" s="111"/>
      <c r="F128" s="111"/>
      <c r="G128" s="112"/>
      <c r="H128" s="113"/>
      <c r="I128" s="113"/>
      <c r="J128" s="113"/>
      <c r="K128" s="113"/>
      <c r="L128" s="113"/>
      <c r="M128" s="113"/>
      <c r="N128" s="113"/>
    </row>
    <row r="129" spans="1:14" s="12" customFormat="1" x14ac:dyDescent="0.25">
      <c r="A129" s="111"/>
      <c r="B129" s="111"/>
      <c r="C129" s="111"/>
      <c r="D129" s="111"/>
      <c r="E129" s="111"/>
      <c r="F129" s="111"/>
      <c r="G129" s="112"/>
      <c r="H129" s="113"/>
      <c r="I129" s="113"/>
      <c r="J129" s="113"/>
      <c r="K129" s="113"/>
      <c r="L129" s="113"/>
      <c r="M129" s="113"/>
      <c r="N129" s="113"/>
    </row>
    <row r="130" spans="1:14" s="12" customFormat="1" x14ac:dyDescent="0.25">
      <c r="A130" s="111"/>
      <c r="B130" s="111"/>
      <c r="C130" s="111"/>
      <c r="D130" s="111"/>
      <c r="E130" s="111"/>
      <c r="F130" s="111"/>
      <c r="G130" s="112"/>
      <c r="H130" s="113"/>
      <c r="I130" s="113"/>
      <c r="J130" s="113"/>
      <c r="K130" s="113"/>
      <c r="L130" s="113"/>
      <c r="M130" s="113"/>
      <c r="N130" s="113"/>
    </row>
    <row r="131" spans="1:14" s="12" customFormat="1" x14ac:dyDescent="0.25">
      <c r="A131" s="111"/>
      <c r="B131" s="111"/>
      <c r="C131" s="111"/>
      <c r="D131" s="111"/>
      <c r="E131" s="111"/>
      <c r="F131" s="111"/>
      <c r="G131" s="112"/>
      <c r="H131" s="113"/>
      <c r="I131" s="113"/>
      <c r="J131" s="113"/>
      <c r="K131" s="113"/>
      <c r="L131" s="113"/>
      <c r="M131" s="113"/>
      <c r="N131" s="113"/>
    </row>
    <row r="132" spans="1:14" s="12" customFormat="1" x14ac:dyDescent="0.25">
      <c r="A132" s="111"/>
      <c r="B132" s="111"/>
      <c r="C132" s="111"/>
      <c r="D132" s="111"/>
      <c r="E132" s="111"/>
      <c r="F132" s="111"/>
      <c r="G132" s="112"/>
      <c r="H132" s="113"/>
      <c r="I132" s="113"/>
      <c r="J132" s="113"/>
      <c r="K132" s="113"/>
      <c r="L132" s="113"/>
      <c r="M132" s="113"/>
      <c r="N132" s="113"/>
    </row>
    <row r="133" spans="1:14" s="12" customFormat="1" x14ac:dyDescent="0.25">
      <c r="A133" s="111"/>
      <c r="B133" s="111"/>
      <c r="C133" s="111"/>
      <c r="D133" s="111"/>
      <c r="E133" s="111"/>
      <c r="F133" s="111"/>
      <c r="G133" s="112"/>
      <c r="H133" s="113"/>
      <c r="I133" s="113"/>
      <c r="J133" s="113"/>
      <c r="K133" s="113"/>
      <c r="L133" s="113"/>
      <c r="M133" s="113"/>
      <c r="N133" s="113"/>
    </row>
    <row r="134" spans="1:14" s="12" customFormat="1" x14ac:dyDescent="0.25">
      <c r="A134" s="111"/>
      <c r="B134" s="111"/>
      <c r="C134" s="111"/>
      <c r="D134" s="111"/>
      <c r="E134" s="111"/>
      <c r="F134" s="111"/>
      <c r="G134" s="112"/>
      <c r="H134" s="113"/>
      <c r="I134" s="113"/>
      <c r="J134" s="113"/>
      <c r="K134" s="113"/>
      <c r="L134" s="113"/>
      <c r="M134" s="113"/>
      <c r="N134" s="113"/>
    </row>
    <row r="135" spans="1:14" s="12" customFormat="1" x14ac:dyDescent="0.25">
      <c r="A135" s="111"/>
      <c r="B135" s="111"/>
      <c r="C135" s="111"/>
      <c r="D135" s="111"/>
      <c r="E135" s="111"/>
      <c r="F135" s="111"/>
      <c r="G135" s="112"/>
      <c r="H135" s="113"/>
      <c r="I135" s="113"/>
      <c r="J135" s="113"/>
      <c r="K135" s="113"/>
      <c r="L135" s="113"/>
      <c r="M135" s="113"/>
      <c r="N135" s="113"/>
    </row>
    <row r="136" spans="1:14" s="12" customFormat="1" x14ac:dyDescent="0.25">
      <c r="A136" s="111"/>
      <c r="B136" s="111"/>
      <c r="C136" s="111"/>
      <c r="D136" s="111"/>
      <c r="E136" s="111"/>
      <c r="F136" s="111"/>
      <c r="G136" s="112"/>
      <c r="H136" s="113"/>
      <c r="I136" s="113"/>
      <c r="J136" s="113"/>
      <c r="K136" s="113"/>
      <c r="L136" s="113"/>
      <c r="M136" s="113"/>
      <c r="N136" s="113"/>
    </row>
    <row r="137" spans="1:14" s="12" customFormat="1" x14ac:dyDescent="0.25">
      <c r="A137" s="111"/>
      <c r="B137" s="111"/>
      <c r="C137" s="111"/>
      <c r="D137" s="111"/>
      <c r="E137" s="111"/>
      <c r="F137" s="111"/>
      <c r="G137" s="112"/>
      <c r="H137" s="113"/>
      <c r="I137" s="113"/>
      <c r="J137" s="113"/>
      <c r="K137" s="113"/>
      <c r="L137" s="113"/>
      <c r="M137" s="113"/>
      <c r="N137" s="113"/>
    </row>
    <row r="138" spans="1:14" s="12" customFormat="1" x14ac:dyDescent="0.25">
      <c r="A138" s="111"/>
      <c r="B138" s="111"/>
      <c r="C138" s="111"/>
      <c r="D138" s="111"/>
      <c r="E138" s="111"/>
      <c r="F138" s="111"/>
      <c r="G138" s="112"/>
      <c r="H138" s="113"/>
      <c r="I138" s="113"/>
      <c r="J138" s="113"/>
      <c r="K138" s="113"/>
      <c r="L138" s="113"/>
      <c r="M138" s="113"/>
      <c r="N138" s="113"/>
    </row>
    <row r="139" spans="1:14" s="12" customFormat="1" x14ac:dyDescent="0.25">
      <c r="A139" s="111"/>
      <c r="B139" s="111"/>
      <c r="C139" s="111"/>
      <c r="D139" s="111"/>
      <c r="E139" s="111"/>
      <c r="F139" s="111"/>
      <c r="G139" s="112"/>
      <c r="H139" s="113"/>
      <c r="I139" s="113"/>
      <c r="J139" s="113"/>
      <c r="K139" s="113"/>
      <c r="L139" s="113"/>
      <c r="M139" s="113"/>
      <c r="N139" s="113"/>
    </row>
    <row r="140" spans="1:14" s="12" customFormat="1" x14ac:dyDescent="0.25">
      <c r="A140" s="111"/>
      <c r="B140" s="111"/>
      <c r="C140" s="111"/>
      <c r="D140" s="111"/>
      <c r="E140" s="111"/>
      <c r="F140" s="111"/>
      <c r="G140" s="112"/>
      <c r="H140" s="113"/>
      <c r="I140" s="113"/>
      <c r="J140" s="113"/>
      <c r="K140" s="113"/>
      <c r="L140" s="113"/>
      <c r="M140" s="113"/>
      <c r="N140" s="113"/>
    </row>
    <row r="141" spans="1:14" s="12" customFormat="1" x14ac:dyDescent="0.25">
      <c r="A141" s="111"/>
      <c r="B141" s="111"/>
      <c r="C141" s="111"/>
      <c r="D141" s="111"/>
      <c r="E141" s="111"/>
      <c r="F141" s="111"/>
      <c r="G141" s="112"/>
      <c r="H141" s="113"/>
      <c r="I141" s="113"/>
      <c r="J141" s="113"/>
      <c r="K141" s="113"/>
      <c r="L141" s="113"/>
      <c r="M141" s="113"/>
      <c r="N141" s="113"/>
    </row>
    <row r="142" spans="1:14" s="12" customFormat="1" x14ac:dyDescent="0.25">
      <c r="A142" s="111"/>
      <c r="B142" s="111"/>
      <c r="C142" s="111"/>
      <c r="D142" s="111"/>
      <c r="E142" s="111"/>
      <c r="F142" s="111"/>
      <c r="G142" s="112"/>
      <c r="H142" s="113"/>
      <c r="I142" s="113"/>
      <c r="J142" s="113"/>
      <c r="K142" s="113"/>
      <c r="L142" s="113"/>
      <c r="M142" s="113"/>
      <c r="N142" s="113"/>
    </row>
    <row r="143" spans="1:14" s="12" customFormat="1" x14ac:dyDescent="0.25">
      <c r="A143" s="111"/>
      <c r="B143" s="111"/>
      <c r="C143" s="111"/>
      <c r="D143" s="111"/>
      <c r="E143" s="111"/>
      <c r="F143" s="111"/>
      <c r="G143" s="112"/>
      <c r="H143" s="113"/>
      <c r="I143" s="113"/>
      <c r="J143" s="113"/>
      <c r="K143" s="113"/>
      <c r="L143" s="113"/>
      <c r="M143" s="113"/>
      <c r="N143" s="113"/>
    </row>
    <row r="144" spans="1:14" s="12" customFormat="1" x14ac:dyDescent="0.25">
      <c r="A144" s="111"/>
      <c r="B144" s="111"/>
      <c r="C144" s="111"/>
      <c r="D144" s="111"/>
      <c r="E144" s="111"/>
      <c r="F144" s="111"/>
      <c r="G144" s="112"/>
      <c r="H144" s="113"/>
      <c r="I144" s="113"/>
      <c r="J144" s="113"/>
      <c r="K144" s="113"/>
      <c r="L144" s="113"/>
      <c r="M144" s="113"/>
      <c r="N144" s="113"/>
    </row>
    <row r="145" spans="1:14" s="12" customFormat="1" x14ac:dyDescent="0.25">
      <c r="A145" s="111"/>
      <c r="B145" s="111"/>
      <c r="C145" s="111"/>
      <c r="D145" s="111"/>
      <c r="E145" s="111"/>
      <c r="F145" s="111"/>
      <c r="G145" s="112"/>
      <c r="H145" s="113"/>
      <c r="I145" s="113"/>
      <c r="J145" s="113"/>
      <c r="K145" s="113"/>
      <c r="L145" s="113"/>
      <c r="M145" s="113"/>
      <c r="N145" s="113"/>
    </row>
    <row r="146" spans="1:14" s="12" customFormat="1" x14ac:dyDescent="0.25">
      <c r="A146" s="111"/>
      <c r="B146" s="111"/>
      <c r="C146" s="111"/>
      <c r="D146" s="111"/>
      <c r="E146" s="111"/>
      <c r="F146" s="111"/>
      <c r="G146" s="112"/>
      <c r="H146" s="113"/>
      <c r="I146" s="113"/>
      <c r="J146" s="113"/>
      <c r="K146" s="113"/>
      <c r="L146" s="113"/>
      <c r="M146" s="113"/>
      <c r="N146" s="113"/>
    </row>
    <row r="147" spans="1:14" s="12" customFormat="1" x14ac:dyDescent="0.25">
      <c r="A147" s="111"/>
      <c r="B147" s="111"/>
      <c r="C147" s="111"/>
      <c r="D147" s="111"/>
      <c r="E147" s="111"/>
      <c r="F147" s="111"/>
      <c r="G147" s="112"/>
      <c r="H147" s="113"/>
      <c r="I147" s="113"/>
      <c r="J147" s="113"/>
      <c r="K147" s="113"/>
      <c r="L147" s="113"/>
      <c r="M147" s="113"/>
      <c r="N147" s="113"/>
    </row>
    <row r="148" spans="1:14" s="12" customFormat="1" x14ac:dyDescent="0.25">
      <c r="A148" s="111"/>
      <c r="B148" s="111"/>
      <c r="C148" s="111"/>
      <c r="D148" s="111"/>
      <c r="E148" s="111"/>
      <c r="F148" s="111"/>
      <c r="G148" s="112"/>
      <c r="H148" s="113"/>
      <c r="I148" s="113"/>
      <c r="J148" s="113"/>
      <c r="K148" s="113"/>
      <c r="L148" s="113"/>
      <c r="M148" s="113"/>
      <c r="N148" s="113"/>
    </row>
    <row r="149" spans="1:14" s="12" customFormat="1" x14ac:dyDescent="0.25">
      <c r="A149" s="111"/>
      <c r="B149" s="111"/>
      <c r="C149" s="111"/>
      <c r="D149" s="111"/>
      <c r="E149" s="111"/>
      <c r="F149" s="111"/>
      <c r="G149" s="112"/>
      <c r="H149" s="113"/>
      <c r="I149" s="113"/>
      <c r="J149" s="113"/>
      <c r="K149" s="113"/>
      <c r="L149" s="113"/>
      <c r="M149" s="113"/>
      <c r="N149" s="113"/>
    </row>
    <row r="150" spans="1:14" s="12" customFormat="1" x14ac:dyDescent="0.25">
      <c r="A150" s="111"/>
      <c r="B150" s="111"/>
      <c r="C150" s="111"/>
      <c r="D150" s="111"/>
      <c r="E150" s="111"/>
      <c r="F150" s="111"/>
      <c r="G150" s="112"/>
      <c r="H150" s="113"/>
      <c r="I150" s="113"/>
      <c r="J150" s="113"/>
      <c r="K150" s="113"/>
      <c r="L150" s="113"/>
      <c r="M150" s="113"/>
      <c r="N150" s="113"/>
    </row>
    <row r="151" spans="1:14" s="12" customFormat="1" x14ac:dyDescent="0.25">
      <c r="A151" s="111"/>
      <c r="B151" s="111"/>
      <c r="C151" s="111"/>
      <c r="D151" s="111"/>
      <c r="E151" s="111"/>
      <c r="F151" s="111"/>
      <c r="G151" s="112"/>
      <c r="H151" s="113"/>
      <c r="I151" s="113"/>
      <c r="J151" s="113"/>
      <c r="K151" s="113"/>
      <c r="L151" s="113"/>
      <c r="M151" s="113"/>
      <c r="N151" s="113"/>
    </row>
    <row r="152" spans="1:14" s="12" customFormat="1" x14ac:dyDescent="0.25">
      <c r="A152" s="111"/>
      <c r="B152" s="111"/>
      <c r="C152" s="111"/>
      <c r="D152" s="111"/>
      <c r="E152" s="111"/>
      <c r="F152" s="111"/>
      <c r="G152" s="112"/>
      <c r="H152" s="113"/>
      <c r="I152" s="113"/>
      <c r="J152" s="113"/>
      <c r="K152" s="113"/>
      <c r="L152" s="113"/>
      <c r="M152" s="113"/>
      <c r="N152" s="113"/>
    </row>
    <row r="153" spans="1:14" s="12" customFormat="1" x14ac:dyDescent="0.25">
      <c r="A153" s="111"/>
      <c r="B153" s="111"/>
      <c r="C153" s="111"/>
      <c r="D153" s="111"/>
      <c r="E153" s="111"/>
      <c r="F153" s="111"/>
      <c r="G153" s="112"/>
      <c r="H153" s="113"/>
      <c r="I153" s="113"/>
      <c r="J153" s="113"/>
      <c r="K153" s="113"/>
      <c r="L153" s="113"/>
      <c r="M153" s="113"/>
      <c r="N153" s="113"/>
    </row>
    <row r="154" spans="1:14" s="12" customFormat="1" x14ac:dyDescent="0.25">
      <c r="A154" s="111"/>
      <c r="B154" s="111"/>
      <c r="C154" s="111"/>
      <c r="D154" s="111"/>
      <c r="E154" s="111"/>
      <c r="F154" s="111"/>
      <c r="G154" s="112"/>
      <c r="H154" s="113"/>
      <c r="I154" s="113"/>
      <c r="J154" s="113"/>
      <c r="K154" s="113"/>
      <c r="L154" s="113"/>
      <c r="M154" s="113"/>
      <c r="N154" s="113"/>
    </row>
    <row r="155" spans="1:14" s="12" customFormat="1" x14ac:dyDescent="0.25">
      <c r="A155" s="111"/>
      <c r="B155" s="111"/>
      <c r="C155" s="111"/>
      <c r="D155" s="111"/>
      <c r="E155" s="111"/>
      <c r="F155" s="111"/>
      <c r="G155" s="112"/>
      <c r="H155" s="113"/>
      <c r="I155" s="113"/>
      <c r="J155" s="113"/>
      <c r="K155" s="113"/>
      <c r="L155" s="113"/>
      <c r="M155" s="113"/>
      <c r="N155" s="113"/>
    </row>
    <row r="156" spans="1:14" s="12" customFormat="1" x14ac:dyDescent="0.25">
      <c r="A156" s="111"/>
      <c r="B156" s="111"/>
      <c r="C156" s="111"/>
      <c r="D156" s="111"/>
      <c r="E156" s="111"/>
      <c r="F156" s="111"/>
      <c r="G156" s="112"/>
      <c r="H156" s="113"/>
      <c r="I156" s="113"/>
      <c r="J156" s="113"/>
      <c r="K156" s="113"/>
      <c r="L156" s="113"/>
      <c r="M156" s="113"/>
      <c r="N156" s="113"/>
    </row>
    <row r="157" spans="1:14" s="12" customFormat="1" x14ac:dyDescent="0.25">
      <c r="A157" s="111"/>
      <c r="B157" s="111"/>
      <c r="C157" s="111"/>
      <c r="D157" s="111"/>
      <c r="E157" s="111"/>
      <c r="F157" s="111"/>
      <c r="G157" s="112"/>
      <c r="H157" s="113"/>
      <c r="I157" s="113"/>
      <c r="J157" s="113"/>
      <c r="K157" s="113"/>
      <c r="L157" s="113"/>
      <c r="M157" s="113"/>
      <c r="N157" s="113"/>
    </row>
    <row r="158" spans="1:14" s="12" customFormat="1" x14ac:dyDescent="0.25">
      <c r="A158" s="111"/>
      <c r="B158" s="111"/>
      <c r="C158" s="111"/>
      <c r="D158" s="111"/>
      <c r="E158" s="111"/>
      <c r="F158" s="111"/>
      <c r="G158" s="112"/>
      <c r="H158" s="113"/>
      <c r="I158" s="113"/>
      <c r="J158" s="113"/>
      <c r="K158" s="113"/>
      <c r="L158" s="113"/>
      <c r="M158" s="113"/>
      <c r="N158" s="113"/>
    </row>
    <row r="159" spans="1:14" s="12" customFormat="1" x14ac:dyDescent="0.25">
      <c r="A159" s="111"/>
      <c r="B159" s="111"/>
      <c r="C159" s="111"/>
      <c r="D159" s="111"/>
      <c r="E159" s="111"/>
      <c r="F159" s="111"/>
      <c r="G159" s="112"/>
      <c r="H159" s="113"/>
      <c r="I159" s="113"/>
      <c r="J159" s="113"/>
      <c r="K159" s="113"/>
      <c r="L159" s="113"/>
      <c r="M159" s="113"/>
      <c r="N159" s="113"/>
    </row>
    <row r="160" spans="1:14" s="12" customFormat="1" x14ac:dyDescent="0.25">
      <c r="A160" s="111"/>
      <c r="B160" s="111"/>
      <c r="C160" s="111"/>
      <c r="D160" s="111"/>
      <c r="E160" s="111"/>
      <c r="F160" s="111"/>
      <c r="G160" s="112"/>
      <c r="H160" s="113"/>
      <c r="I160" s="113"/>
      <c r="J160" s="113"/>
      <c r="K160" s="113"/>
      <c r="L160" s="113"/>
      <c r="M160" s="113"/>
      <c r="N160" s="113"/>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9" r:id="rId4" name="cmdGetOpc">
          <controlPr defaultSize="0" autoLine="0" r:id="rId5">
            <anchor moveWithCells="1">
              <from>
                <xdr:col>5</xdr:col>
                <xdr:colOff>47625</xdr:colOff>
                <xdr:row>2</xdr:row>
                <xdr:rowOff>38100</xdr:rowOff>
              </from>
              <to>
                <xdr:col>6</xdr:col>
                <xdr:colOff>457200</xdr:colOff>
                <xdr:row>3</xdr:row>
                <xdr:rowOff>161925</xdr:rowOff>
              </to>
            </anchor>
          </controlPr>
        </control>
      </mc:Choice>
      <mc:Fallback>
        <control shapeId="30739" r:id="rId4" name="cmdGetOpc"/>
      </mc:Fallback>
    </mc:AlternateContent>
    <mc:AlternateContent xmlns:mc="http://schemas.openxmlformats.org/markup-compatibility/2006">
      <mc:Choice Requires="x14">
        <control shapeId="30721" r:id="rId6" name="cmdReadOpc">
          <controlPr defaultSize="0" autoLine="0" r:id="rId7">
            <anchor moveWithCells="1">
              <from>
                <xdr:col>6</xdr:col>
                <xdr:colOff>590550</xdr:colOff>
                <xdr:row>2</xdr:row>
                <xdr:rowOff>38100</xdr:rowOff>
              </from>
              <to>
                <xdr:col>8</xdr:col>
                <xdr:colOff>361950</xdr:colOff>
                <xdr:row>3</xdr:row>
                <xdr:rowOff>161925</xdr:rowOff>
              </to>
            </anchor>
          </controlPr>
        </control>
      </mc:Choice>
      <mc:Fallback>
        <control shapeId="30721" r:id="rId6" name="cmdReadOpc"/>
      </mc:Fallback>
    </mc:AlternateContent>
    <mc:AlternateContent xmlns:mc="http://schemas.openxmlformats.org/markup-compatibility/2006">
      <mc:Choice Requires="x14">
        <control shapeId="30722" r:id="rId8" name="cmdWriteOpc">
          <controlPr defaultSize="0" autoLine="0" r:id="rId9">
            <anchor moveWithCells="1">
              <from>
                <xdr:col>8</xdr:col>
                <xdr:colOff>400050</xdr:colOff>
                <xdr:row>2</xdr:row>
                <xdr:rowOff>38100</xdr:rowOff>
              </from>
              <to>
                <xdr:col>10</xdr:col>
                <xdr:colOff>200025</xdr:colOff>
                <xdr:row>3</xdr:row>
                <xdr:rowOff>161925</xdr:rowOff>
              </to>
            </anchor>
          </controlPr>
        </control>
      </mc:Choice>
      <mc:Fallback>
        <control shapeId="30722" r:id="rId8" name="cmdWriteOpc"/>
      </mc:Fallback>
    </mc:AlternateContent>
    <mc:AlternateContent xmlns:mc="http://schemas.openxmlformats.org/markup-compatibility/2006">
      <mc:Choice Requires="x14">
        <control shapeId="30723" r:id="rId10" name="cmbBoxOpc">
          <controlPr defaultSize="0" autoLine="0" linkedCell="B4" r:id="rId11">
            <anchor moveWithCells="1">
              <from>
                <xdr:col>1</xdr:col>
                <xdr:colOff>0</xdr:colOff>
                <xdr:row>2</xdr:row>
                <xdr:rowOff>133350</xdr:rowOff>
              </from>
              <to>
                <xdr:col>3</xdr:col>
                <xdr:colOff>76200</xdr:colOff>
                <xdr:row>4</xdr:row>
                <xdr:rowOff>0</xdr:rowOff>
              </to>
            </anchor>
          </controlPr>
        </control>
      </mc:Choice>
      <mc:Fallback>
        <control shapeId="30723" r:id="rId10" name="cmbBoxOpc"/>
      </mc:Fallback>
    </mc:AlternateContent>
    <mc:AlternateContent xmlns:mc="http://schemas.openxmlformats.org/markup-compatibility/2006">
      <mc:Choice Requires="x14">
        <control shapeId="30740" r:id="rId12" name="cmdRun">
          <controlPr defaultSize="0" autoLine="0" r:id="rId13">
            <anchor moveWithCells="1">
              <from>
                <xdr:col>10</xdr:col>
                <xdr:colOff>400050</xdr:colOff>
                <xdr:row>2</xdr:row>
                <xdr:rowOff>38100</xdr:rowOff>
              </from>
              <to>
                <xdr:col>12</xdr:col>
                <xdr:colOff>190500</xdr:colOff>
                <xdr:row>3</xdr:row>
                <xdr:rowOff>171450</xdr:rowOff>
              </to>
            </anchor>
          </controlPr>
        </control>
      </mc:Choice>
      <mc:Fallback>
        <control shapeId="30740" r:id="rId12" name="cmdRun"/>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V126"/>
  <sheetViews>
    <sheetView workbookViewId="0">
      <pane ySplit="13" topLeftCell="A38" activePane="bottomLeft" state="frozen"/>
      <selection pane="bottomLeft" activeCell="A38" sqref="A38"/>
    </sheetView>
  </sheetViews>
  <sheetFormatPr defaultRowHeight="15" x14ac:dyDescent="0.25"/>
  <cols>
    <col min="1" max="1" width="12.28515625" customWidth="1"/>
    <col min="2" max="5" width="9.140625" style="49"/>
    <col min="6" max="6" width="9.28515625" style="49" bestFit="1" customWidth="1"/>
    <col min="7" max="8" width="9.5703125" style="49" bestFit="1" customWidth="1"/>
    <col min="9" max="11" width="9.140625" style="49"/>
  </cols>
  <sheetData>
    <row r="1" spans="1:20" ht="21" x14ac:dyDescent="0.25">
      <c r="A1" s="129" t="s">
        <v>975</v>
      </c>
      <c r="B1"/>
      <c r="C1"/>
      <c r="D1"/>
      <c r="E1"/>
      <c r="F1"/>
      <c r="G1"/>
      <c r="H1"/>
      <c r="I1"/>
      <c r="J1"/>
      <c r="K1"/>
    </row>
    <row r="2" spans="1:20" x14ac:dyDescent="0.25">
      <c r="A2" s="3"/>
      <c r="B2"/>
      <c r="C2"/>
      <c r="D2"/>
      <c r="E2"/>
      <c r="F2"/>
      <c r="G2"/>
      <c r="H2"/>
      <c r="I2"/>
      <c r="J2"/>
      <c r="K2"/>
    </row>
    <row r="3" spans="1:20" x14ac:dyDescent="0.25">
      <c r="B3"/>
      <c r="C3"/>
      <c r="D3"/>
      <c r="E3"/>
      <c r="F3"/>
      <c r="G3"/>
      <c r="H3"/>
      <c r="I3"/>
      <c r="J3"/>
      <c r="K3"/>
    </row>
    <row r="4" spans="1:20" x14ac:dyDescent="0.25">
      <c r="A4" s="31" t="s">
        <v>688</v>
      </c>
      <c r="B4" t="s">
        <v>3220</v>
      </c>
      <c r="C4"/>
      <c r="D4" s="32" t="s">
        <v>801</v>
      </c>
      <c r="E4" s="10" t="s">
        <v>816</v>
      </c>
      <c r="F4"/>
      <c r="G4"/>
      <c r="H4"/>
      <c r="I4"/>
      <c r="J4"/>
      <c r="K4"/>
    </row>
    <row r="5" spans="1:20" x14ac:dyDescent="0.25">
      <c r="A5" s="92" t="s">
        <v>984</v>
      </c>
      <c r="B5" s="93"/>
      <c r="C5" s="94" t="s">
        <v>1027</v>
      </c>
      <c r="D5"/>
      <c r="E5"/>
      <c r="F5"/>
      <c r="G5"/>
      <c r="H5"/>
      <c r="I5"/>
      <c r="J5"/>
      <c r="K5"/>
    </row>
    <row r="6" spans="1:20" x14ac:dyDescent="0.25">
      <c r="B6"/>
      <c r="C6"/>
      <c r="D6"/>
      <c r="E6"/>
      <c r="F6"/>
      <c r="G6"/>
      <c r="H6"/>
      <c r="I6"/>
      <c r="J6"/>
      <c r="K6"/>
    </row>
    <row r="7" spans="1:20" x14ac:dyDescent="0.25">
      <c r="A7" s="31" t="s">
        <v>689</v>
      </c>
      <c r="B7" t="s">
        <v>3221</v>
      </c>
      <c r="C7"/>
      <c r="D7"/>
      <c r="E7"/>
      <c r="F7"/>
      <c r="G7"/>
      <c r="H7"/>
      <c r="I7"/>
      <c r="J7"/>
      <c r="K7"/>
    </row>
    <row r="8" spans="1:20" x14ac:dyDescent="0.25">
      <c r="A8" s="3" t="s">
        <v>877</v>
      </c>
      <c r="B8"/>
      <c r="C8"/>
      <c r="D8"/>
      <c r="E8"/>
      <c r="F8"/>
      <c r="G8"/>
      <c r="H8"/>
      <c r="I8"/>
      <c r="J8"/>
      <c r="K8"/>
    </row>
    <row r="9" spans="1:20" x14ac:dyDescent="0.25">
      <c r="A9" s="46" t="s">
        <v>817</v>
      </c>
      <c r="B9" s="49">
        <v>0.49</v>
      </c>
      <c r="C9" s="46" t="s">
        <v>818</v>
      </c>
      <c r="D9" s="49">
        <v>4</v>
      </c>
      <c r="E9" s="46" t="s">
        <v>819</v>
      </c>
      <c r="F9" s="49">
        <v>0</v>
      </c>
      <c r="G9" s="175" t="s">
        <v>826</v>
      </c>
      <c r="H9" s="176">
        <v>0</v>
      </c>
      <c r="I9" s="175" t="s">
        <v>825</v>
      </c>
      <c r="J9" s="176">
        <v>0</v>
      </c>
      <c r="K9" s="175" t="s">
        <v>824</v>
      </c>
      <c r="L9" s="176">
        <v>0</v>
      </c>
      <c r="M9" s="175" t="s">
        <v>823</v>
      </c>
      <c r="N9" s="176">
        <v>0</v>
      </c>
      <c r="O9" s="175" t="s">
        <v>822</v>
      </c>
      <c r="P9" s="176">
        <v>0</v>
      </c>
      <c r="Q9" s="175" t="s">
        <v>821</v>
      </c>
      <c r="R9" s="176">
        <v>0</v>
      </c>
      <c r="S9" s="175" t="s">
        <v>820</v>
      </c>
      <c r="T9" s="176">
        <v>0</v>
      </c>
    </row>
    <row r="10" spans="1:20" x14ac:dyDescent="0.25">
      <c r="A10" s="46" t="s">
        <v>836</v>
      </c>
      <c r="B10" s="49">
        <v>10</v>
      </c>
      <c r="C10" s="46" t="s">
        <v>835</v>
      </c>
      <c r="D10" s="49">
        <v>0</v>
      </c>
      <c r="E10" s="46" t="s">
        <v>834</v>
      </c>
      <c r="F10" s="49">
        <v>50</v>
      </c>
      <c r="G10" s="46" t="s">
        <v>833</v>
      </c>
      <c r="H10" s="49">
        <v>2</v>
      </c>
      <c r="I10" s="46" t="s">
        <v>832</v>
      </c>
      <c r="J10" s="49">
        <v>0</v>
      </c>
      <c r="K10" s="46" t="s">
        <v>831</v>
      </c>
      <c r="L10" s="49">
        <v>0</v>
      </c>
      <c r="M10" s="46" t="s">
        <v>830</v>
      </c>
      <c r="N10" s="49">
        <v>0</v>
      </c>
      <c r="O10" s="46" t="s">
        <v>829</v>
      </c>
      <c r="P10" s="49">
        <v>0</v>
      </c>
      <c r="Q10" s="46" t="s">
        <v>828</v>
      </c>
      <c r="R10" s="49">
        <v>0</v>
      </c>
      <c r="S10" s="46" t="s">
        <v>827</v>
      </c>
      <c r="T10" s="49"/>
    </row>
    <row r="11" spans="1:20" x14ac:dyDescent="0.25">
      <c r="A11" s="46"/>
      <c r="B11" s="10"/>
      <c r="C11" s="46"/>
      <c r="D11" s="48"/>
      <c r="E11" s="46"/>
      <c r="F11" s="10"/>
      <c r="G11" s="46"/>
      <c r="H11" s="10"/>
      <c r="I11" s="46"/>
      <c r="J11" s="10"/>
      <c r="K11" s="46"/>
      <c r="L11" s="10"/>
      <c r="M11" s="46"/>
      <c r="N11" s="10"/>
      <c r="O11" s="46"/>
      <c r="P11" s="10"/>
      <c r="Q11" s="46"/>
      <c r="R11" s="10"/>
      <c r="S11" s="46"/>
      <c r="T11" s="10"/>
    </row>
    <row r="12" spans="1:20" x14ac:dyDescent="0.25">
      <c r="A12" s="3" t="s">
        <v>837</v>
      </c>
      <c r="B12" s="10"/>
      <c r="C12"/>
      <c r="D12"/>
      <c r="E12"/>
      <c r="F12"/>
      <c r="G12"/>
      <c r="H12"/>
      <c r="I12"/>
      <c r="J12"/>
      <c r="K12"/>
    </row>
    <row r="13" spans="1:20" s="1" customFormat="1" x14ac:dyDescent="0.25">
      <c r="A13" s="40" t="s">
        <v>878</v>
      </c>
      <c r="B13" s="81">
        <v>1</v>
      </c>
      <c r="C13" s="81">
        <v>2</v>
      </c>
      <c r="D13" s="81">
        <v>3</v>
      </c>
      <c r="E13" s="81">
        <v>4</v>
      </c>
      <c r="F13" s="81">
        <v>5</v>
      </c>
      <c r="G13" s="81">
        <v>6</v>
      </c>
      <c r="H13" s="81">
        <v>7</v>
      </c>
      <c r="I13" s="81">
        <v>8</v>
      </c>
      <c r="J13" s="81">
        <v>9</v>
      </c>
      <c r="K13" s="81">
        <v>10</v>
      </c>
      <c r="L13" s="200" t="s">
        <v>879</v>
      </c>
      <c r="M13" s="200"/>
    </row>
    <row r="14" spans="1:20" s="10" customFormat="1" x14ac:dyDescent="0.25">
      <c r="A14" s="47" t="s">
        <v>838</v>
      </c>
      <c r="B14" s="49">
        <v>1.52</v>
      </c>
      <c r="C14" s="49"/>
      <c r="D14" s="49"/>
      <c r="E14" s="49"/>
      <c r="F14" s="49"/>
      <c r="G14" s="49"/>
      <c r="H14" s="49"/>
      <c r="I14" s="49"/>
      <c r="J14" s="49"/>
      <c r="K14" s="49"/>
      <c r="L14" s="12" t="s">
        <v>880</v>
      </c>
    </row>
    <row r="15" spans="1:20" s="10" customFormat="1" x14ac:dyDescent="0.25">
      <c r="A15" s="47" t="s">
        <v>839</v>
      </c>
      <c r="B15" s="49">
        <v>1.8</v>
      </c>
      <c r="C15" s="49"/>
      <c r="D15" s="49"/>
      <c r="E15" s="49"/>
      <c r="F15" s="49"/>
      <c r="G15" s="49"/>
      <c r="H15" s="49"/>
      <c r="I15" s="49"/>
      <c r="J15" s="49"/>
      <c r="K15" s="49"/>
      <c r="L15" s="12" t="s">
        <v>881</v>
      </c>
      <c r="T15"/>
    </row>
    <row r="16" spans="1:20" s="10" customFormat="1" x14ac:dyDescent="0.25">
      <c r="A16" s="47" t="s">
        <v>840</v>
      </c>
      <c r="B16" s="49">
        <v>0</v>
      </c>
      <c r="C16" s="49"/>
      <c r="D16" s="49"/>
      <c r="E16" s="49"/>
      <c r="F16" s="49"/>
      <c r="G16" s="49"/>
      <c r="H16" s="49"/>
      <c r="I16" s="49"/>
      <c r="J16" s="49"/>
      <c r="K16" s="49"/>
      <c r="L16" s="12" t="s">
        <v>882</v>
      </c>
      <c r="T16"/>
    </row>
    <row r="17" spans="1:20" s="10" customFormat="1" x14ac:dyDescent="0.25">
      <c r="A17" s="47" t="s">
        <v>841</v>
      </c>
      <c r="B17" s="49">
        <v>0</v>
      </c>
      <c r="C17" s="49"/>
      <c r="D17" s="49"/>
      <c r="E17" s="49"/>
      <c r="F17" s="49"/>
      <c r="G17" s="49"/>
      <c r="H17" s="49"/>
      <c r="I17" s="49"/>
      <c r="J17" s="49"/>
      <c r="K17" s="49"/>
      <c r="L17" s="12" t="s">
        <v>883</v>
      </c>
      <c r="T17"/>
    </row>
    <row r="18" spans="1:20" s="10" customFormat="1" x14ac:dyDescent="0.25">
      <c r="A18" s="47" t="s">
        <v>842</v>
      </c>
      <c r="B18" s="49">
        <v>83.27</v>
      </c>
      <c r="C18" s="49"/>
      <c r="D18" s="49"/>
      <c r="E18" s="49"/>
      <c r="F18" s="49"/>
      <c r="G18" s="49"/>
      <c r="H18" s="49"/>
      <c r="I18" s="49"/>
      <c r="J18" s="49"/>
      <c r="K18" s="49"/>
      <c r="L18" s="12" t="s">
        <v>884</v>
      </c>
      <c r="T18"/>
    </row>
    <row r="19" spans="1:20" s="10" customFormat="1" x14ac:dyDescent="0.25">
      <c r="A19" s="47" t="s">
        <v>843</v>
      </c>
      <c r="B19" s="49">
        <v>4.2300000000000004</v>
      </c>
      <c r="C19" s="49"/>
      <c r="D19" s="49"/>
      <c r="E19" s="49"/>
      <c r="F19" s="49"/>
      <c r="G19" s="49"/>
      <c r="H19" s="49"/>
      <c r="I19" s="49"/>
      <c r="J19" s="49"/>
      <c r="K19" s="49"/>
      <c r="L19" s="12" t="s">
        <v>885</v>
      </c>
      <c r="T19"/>
    </row>
    <row r="20" spans="1:20" s="10" customFormat="1" x14ac:dyDescent="0.25">
      <c r="A20" s="47" t="s">
        <v>1543</v>
      </c>
      <c r="B20" s="49">
        <v>0</v>
      </c>
      <c r="C20" s="49"/>
      <c r="D20" s="49"/>
      <c r="E20" s="49"/>
      <c r="F20" s="49"/>
      <c r="G20" s="49"/>
      <c r="H20" s="49"/>
      <c r="I20" s="49"/>
      <c r="J20" s="49"/>
      <c r="K20" s="49"/>
      <c r="L20" s="12" t="s">
        <v>886</v>
      </c>
      <c r="T20"/>
    </row>
    <row r="21" spans="1:20" s="10" customFormat="1" x14ac:dyDescent="0.25">
      <c r="A21" s="47" t="s">
        <v>844</v>
      </c>
      <c r="B21" s="49">
        <v>7</v>
      </c>
      <c r="C21" s="49"/>
      <c r="D21" s="49"/>
      <c r="E21" s="49"/>
      <c r="F21" s="49"/>
      <c r="G21" s="49"/>
      <c r="H21" s="49"/>
      <c r="I21" s="49"/>
      <c r="J21" s="49"/>
      <c r="K21" s="49"/>
      <c r="L21" s="12" t="s">
        <v>887</v>
      </c>
      <c r="T21"/>
    </row>
    <row r="22" spans="1:20" s="10" customFormat="1" x14ac:dyDescent="0.25">
      <c r="A22" s="47" t="s">
        <v>845</v>
      </c>
      <c r="B22" s="49">
        <v>0</v>
      </c>
      <c r="C22" s="49"/>
      <c r="D22" s="49"/>
      <c r="E22" s="49"/>
      <c r="F22" s="49"/>
      <c r="G22" s="49"/>
      <c r="H22" s="49"/>
      <c r="I22" s="49"/>
      <c r="J22" s="49"/>
      <c r="K22" s="49"/>
      <c r="L22" s="12" t="s">
        <v>888</v>
      </c>
      <c r="T22"/>
    </row>
    <row r="23" spans="1:20" s="10" customFormat="1" x14ac:dyDescent="0.25">
      <c r="A23" s="47" t="s">
        <v>846</v>
      </c>
      <c r="B23" s="49">
        <v>0</v>
      </c>
      <c r="C23" s="49"/>
      <c r="D23" s="49"/>
      <c r="E23" s="49"/>
      <c r="F23" s="49"/>
      <c r="G23" s="49"/>
      <c r="H23" s="49"/>
      <c r="I23" s="49"/>
      <c r="J23" s="49"/>
      <c r="K23" s="49"/>
      <c r="L23" s="12" t="s">
        <v>889</v>
      </c>
      <c r="T23"/>
    </row>
    <row r="24" spans="1:20" s="10" customFormat="1" x14ac:dyDescent="0.25">
      <c r="A24" s="47" t="s">
        <v>847</v>
      </c>
      <c r="B24" s="49">
        <v>0</v>
      </c>
      <c r="C24" s="49"/>
      <c r="D24" s="49"/>
      <c r="E24" s="49"/>
      <c r="F24" s="49"/>
      <c r="G24" s="49"/>
      <c r="H24" s="49"/>
      <c r="I24" s="49"/>
      <c r="J24" s="49"/>
      <c r="K24" s="49"/>
      <c r="L24" s="12" t="s">
        <v>890</v>
      </c>
      <c r="T24"/>
    </row>
    <row r="25" spans="1:20" s="10" customFormat="1" x14ac:dyDescent="0.25">
      <c r="A25" s="47" t="s">
        <v>848</v>
      </c>
      <c r="B25" s="49">
        <v>0</v>
      </c>
      <c r="C25" s="49"/>
      <c r="D25" s="49"/>
      <c r="E25" s="49"/>
      <c r="F25" s="49"/>
      <c r="G25" s="49"/>
      <c r="H25" s="49"/>
      <c r="I25" s="49"/>
      <c r="J25" s="49"/>
      <c r="K25" s="49"/>
      <c r="L25" s="12" t="s">
        <v>891</v>
      </c>
      <c r="T25"/>
    </row>
    <row r="26" spans="1:20" s="10" customFormat="1" x14ac:dyDescent="0.25">
      <c r="A26" s="47" t="s">
        <v>849</v>
      </c>
      <c r="B26" s="49">
        <v>82</v>
      </c>
      <c r="C26" s="49"/>
      <c r="D26" s="49"/>
      <c r="E26" s="49"/>
      <c r="F26" s="49"/>
      <c r="G26" s="49"/>
      <c r="H26" s="49"/>
      <c r="I26" s="49"/>
      <c r="J26" s="49"/>
      <c r="K26" s="49"/>
      <c r="L26" s="12" t="s">
        <v>892</v>
      </c>
      <c r="T26"/>
    </row>
    <row r="27" spans="1:20" s="10" customFormat="1" x14ac:dyDescent="0.25">
      <c r="A27" s="47" t="s">
        <v>850</v>
      </c>
      <c r="B27" s="49">
        <v>0</v>
      </c>
      <c r="C27" s="49"/>
      <c r="D27" s="49"/>
      <c r="E27" s="49"/>
      <c r="F27" s="49"/>
      <c r="G27" s="49"/>
      <c r="H27" s="49"/>
      <c r="I27" s="49"/>
      <c r="J27" s="49"/>
      <c r="K27" s="49"/>
      <c r="L27" s="12" t="s">
        <v>893</v>
      </c>
      <c r="T27"/>
    </row>
    <row r="28" spans="1:20" s="10" customFormat="1" x14ac:dyDescent="0.25">
      <c r="A28" s="47" t="s">
        <v>851</v>
      </c>
      <c r="B28" s="49">
        <v>0</v>
      </c>
      <c r="C28" s="49"/>
      <c r="D28" s="49"/>
      <c r="E28" s="49"/>
      <c r="F28" s="49"/>
      <c r="G28" s="49"/>
      <c r="H28" s="49"/>
      <c r="I28" s="49"/>
      <c r="J28" s="49"/>
      <c r="K28" s="49"/>
      <c r="L28" s="12" t="s">
        <v>894</v>
      </c>
      <c r="T28"/>
    </row>
    <row r="29" spans="1:20" s="10" customFormat="1" x14ac:dyDescent="0.25">
      <c r="A29" s="47" t="s">
        <v>852</v>
      </c>
      <c r="B29" s="49">
        <v>0</v>
      </c>
      <c r="C29" s="49"/>
      <c r="D29" s="49"/>
      <c r="E29" s="49"/>
      <c r="F29" s="49"/>
      <c r="G29" s="49"/>
      <c r="H29" s="49"/>
      <c r="I29" s="49"/>
      <c r="J29" s="49"/>
      <c r="K29" s="49"/>
      <c r="L29" s="12" t="s">
        <v>895</v>
      </c>
      <c r="T29"/>
    </row>
    <row r="30" spans="1:20" s="10" customFormat="1" x14ac:dyDescent="0.25">
      <c r="A30" s="47" t="s">
        <v>853</v>
      </c>
      <c r="B30" s="49">
        <v>0</v>
      </c>
      <c r="C30" s="49"/>
      <c r="D30" s="49"/>
      <c r="E30" s="49"/>
      <c r="F30" s="49"/>
      <c r="G30" s="49"/>
      <c r="H30" s="49"/>
      <c r="I30" s="49"/>
      <c r="J30" s="49"/>
      <c r="K30" s="49"/>
      <c r="L30" s="12" t="s">
        <v>896</v>
      </c>
      <c r="T30"/>
    </row>
    <row r="31" spans="1:20" s="10" customFormat="1" x14ac:dyDescent="0.25">
      <c r="A31" s="47" t="s">
        <v>854</v>
      </c>
      <c r="B31" s="49">
        <v>0</v>
      </c>
      <c r="C31" s="49"/>
      <c r="D31" s="49"/>
      <c r="E31" s="49"/>
      <c r="F31" s="49"/>
      <c r="G31" s="49"/>
      <c r="H31" s="49"/>
      <c r="I31" s="49"/>
      <c r="J31" s="49"/>
      <c r="K31" s="49"/>
      <c r="L31" s="12" t="s">
        <v>897</v>
      </c>
      <c r="T31"/>
    </row>
    <row r="32" spans="1:20" s="10" customFormat="1" x14ac:dyDescent="0.25">
      <c r="A32" s="47" t="s">
        <v>855</v>
      </c>
      <c r="B32" s="49">
        <v>0</v>
      </c>
      <c r="C32" s="49"/>
      <c r="D32" s="49"/>
      <c r="E32" s="49"/>
      <c r="F32" s="49"/>
      <c r="G32" s="49"/>
      <c r="H32" s="49"/>
      <c r="I32" s="49"/>
      <c r="J32" s="49"/>
      <c r="K32" s="49"/>
      <c r="L32" s="12" t="s">
        <v>898</v>
      </c>
      <c r="T32"/>
    </row>
    <row r="33" spans="1:22" s="10" customFormat="1" x14ac:dyDescent="0.25">
      <c r="A33" s="47" t="s">
        <v>856</v>
      </c>
      <c r="B33" s="49">
        <v>0</v>
      </c>
      <c r="C33" s="49"/>
      <c r="D33" s="49"/>
      <c r="E33" s="49"/>
      <c r="F33" s="49"/>
      <c r="G33" s="49"/>
      <c r="H33" s="49"/>
      <c r="I33" s="49"/>
      <c r="J33" s="49"/>
      <c r="K33" s="49"/>
      <c r="L33" s="12" t="s">
        <v>899</v>
      </c>
      <c r="T33"/>
    </row>
    <row r="34" spans="1:22" s="10" customFormat="1" x14ac:dyDescent="0.25">
      <c r="A34" s="47" t="s">
        <v>857</v>
      </c>
      <c r="B34" s="49">
        <v>0</v>
      </c>
      <c r="C34" s="49"/>
      <c r="D34" s="49"/>
      <c r="E34" s="49"/>
      <c r="F34" s="49"/>
      <c r="G34" s="49"/>
      <c r="H34" s="49"/>
      <c r="I34" s="49"/>
      <c r="J34" s="49"/>
      <c r="K34" s="49"/>
      <c r="L34" s="12" t="s">
        <v>900</v>
      </c>
      <c r="T34"/>
    </row>
    <row r="35" spans="1:22" s="10" customFormat="1" x14ac:dyDescent="0.25">
      <c r="A35" s="47" t="s">
        <v>1555</v>
      </c>
      <c r="B35" s="49">
        <v>0</v>
      </c>
      <c r="C35" s="49"/>
      <c r="D35" s="49"/>
      <c r="E35" s="49"/>
      <c r="F35" s="49"/>
      <c r="G35" s="49"/>
      <c r="H35" s="49"/>
      <c r="I35" s="49"/>
      <c r="J35" s="49"/>
      <c r="K35" s="49"/>
      <c r="L35" s="12" t="s">
        <v>901</v>
      </c>
      <c r="T35"/>
    </row>
    <row r="36" spans="1:22" s="10" customFormat="1" x14ac:dyDescent="0.25">
      <c r="A36" s="47" t="s">
        <v>858</v>
      </c>
      <c r="B36" s="49">
        <v>0</v>
      </c>
      <c r="C36" s="49"/>
      <c r="D36" s="49"/>
      <c r="E36" s="49"/>
      <c r="F36" s="49"/>
      <c r="G36" s="49"/>
      <c r="H36" s="49"/>
      <c r="I36" s="49"/>
      <c r="J36" s="49"/>
      <c r="K36" s="49"/>
      <c r="L36" s="12" t="s">
        <v>902</v>
      </c>
      <c r="T36"/>
    </row>
    <row r="37" spans="1:22" s="10" customFormat="1" x14ac:dyDescent="0.25">
      <c r="A37" s="47" t="s">
        <v>859</v>
      </c>
      <c r="B37" s="49">
        <v>0</v>
      </c>
      <c r="C37" s="49"/>
      <c r="D37" s="49"/>
      <c r="E37" s="49"/>
      <c r="F37" s="49"/>
      <c r="G37" s="49"/>
      <c r="H37" s="49"/>
      <c r="I37" s="49"/>
      <c r="J37" s="49"/>
      <c r="K37" s="49"/>
      <c r="L37" s="12" t="s">
        <v>903</v>
      </c>
      <c r="T37"/>
    </row>
    <row r="38" spans="1:22" s="10" customFormat="1" x14ac:dyDescent="0.25">
      <c r="A38" s="47" t="s">
        <v>1544</v>
      </c>
      <c r="B38" s="49">
        <v>0</v>
      </c>
      <c r="C38" s="49"/>
      <c r="D38" s="49"/>
      <c r="E38" s="49"/>
      <c r="F38" s="49"/>
      <c r="G38" s="49"/>
      <c r="H38" s="49"/>
      <c r="I38" s="49"/>
      <c r="J38" s="49"/>
      <c r="K38" s="49"/>
      <c r="L38" s="12" t="s">
        <v>904</v>
      </c>
      <c r="T38"/>
    </row>
    <row r="39" spans="1:22" s="10" customFormat="1" x14ac:dyDescent="0.25">
      <c r="A39" s="47" t="s">
        <v>860</v>
      </c>
      <c r="B39" s="49">
        <v>0</v>
      </c>
      <c r="C39" s="49"/>
      <c r="D39" s="49"/>
      <c r="E39" s="49"/>
      <c r="F39" s="49"/>
      <c r="G39" s="49"/>
      <c r="H39" s="49"/>
      <c r="I39" s="49"/>
      <c r="J39" s="49"/>
      <c r="K39" s="49"/>
      <c r="L39" s="12" t="s">
        <v>905</v>
      </c>
      <c r="T39"/>
    </row>
    <row r="40" spans="1:22" s="10" customFormat="1" x14ac:dyDescent="0.25">
      <c r="A40" s="47" t="s">
        <v>861</v>
      </c>
      <c r="B40" s="49">
        <v>0</v>
      </c>
      <c r="C40" s="49"/>
      <c r="D40" s="49"/>
      <c r="E40" s="49"/>
      <c r="F40" s="49"/>
      <c r="G40" s="49"/>
      <c r="H40" s="49"/>
      <c r="I40" s="49"/>
      <c r="J40" s="49"/>
      <c r="K40" s="49"/>
      <c r="L40" s="12" t="s">
        <v>906</v>
      </c>
      <c r="T40"/>
    </row>
    <row r="41" spans="1:22" x14ac:dyDescent="0.25">
      <c r="A41" s="47" t="s">
        <v>862</v>
      </c>
      <c r="B41" s="49">
        <v>0</v>
      </c>
      <c r="L41" s="12" t="s">
        <v>907</v>
      </c>
      <c r="U41" s="10"/>
      <c r="V41" s="10"/>
    </row>
    <row r="42" spans="1:22" x14ac:dyDescent="0.25">
      <c r="A42" s="47" t="s">
        <v>863</v>
      </c>
      <c r="B42" s="49">
        <v>0</v>
      </c>
      <c r="L42" s="12" t="s">
        <v>908</v>
      </c>
      <c r="U42" s="10"/>
      <c r="V42" s="10"/>
    </row>
    <row r="43" spans="1:22" x14ac:dyDescent="0.25">
      <c r="A43" s="47" t="s">
        <v>864</v>
      </c>
      <c r="B43" s="49">
        <v>0</v>
      </c>
      <c r="L43" s="12" t="s">
        <v>909</v>
      </c>
      <c r="U43" s="10"/>
      <c r="V43" s="10"/>
    </row>
    <row r="44" spans="1:22" x14ac:dyDescent="0.25">
      <c r="A44" s="47" t="s">
        <v>865</v>
      </c>
      <c r="B44" s="49">
        <v>0</v>
      </c>
      <c r="L44" s="12" t="s">
        <v>910</v>
      </c>
      <c r="U44" s="10"/>
      <c r="V44" s="10"/>
    </row>
    <row r="45" spans="1:22" x14ac:dyDescent="0.25">
      <c r="A45" s="47" t="s">
        <v>866</v>
      </c>
      <c r="B45" s="49">
        <v>0</v>
      </c>
      <c r="L45" s="12" t="s">
        <v>911</v>
      </c>
      <c r="U45" s="10"/>
      <c r="V45" s="10"/>
    </row>
    <row r="46" spans="1:22" x14ac:dyDescent="0.25">
      <c r="A46" s="47" t="s">
        <v>867</v>
      </c>
      <c r="B46" s="49">
        <v>0</v>
      </c>
      <c r="L46" s="12" t="s">
        <v>912</v>
      </c>
      <c r="U46" s="10"/>
      <c r="V46" s="10"/>
    </row>
    <row r="47" spans="1:22" x14ac:dyDescent="0.25">
      <c r="A47" s="47" t="s">
        <v>868</v>
      </c>
      <c r="B47" s="49">
        <v>0</v>
      </c>
      <c r="L47" s="12" t="s">
        <v>913</v>
      </c>
      <c r="U47" s="10"/>
      <c r="V47" s="10"/>
    </row>
    <row r="48" spans="1:22" x14ac:dyDescent="0.25">
      <c r="A48" s="47" t="s">
        <v>869</v>
      </c>
      <c r="B48" s="49">
        <v>0</v>
      </c>
      <c r="L48" s="12" t="s">
        <v>914</v>
      </c>
      <c r="U48" s="10"/>
      <c r="V48" s="10"/>
    </row>
    <row r="49" spans="1:22" x14ac:dyDescent="0.25">
      <c r="A49" s="47" t="s">
        <v>870</v>
      </c>
      <c r="B49" s="49">
        <v>0</v>
      </c>
      <c r="L49" s="12" t="s">
        <v>915</v>
      </c>
      <c r="U49" s="10"/>
      <c r="V49" s="10"/>
    </row>
    <row r="50" spans="1:22" x14ac:dyDescent="0.25">
      <c r="A50" s="47" t="s">
        <v>871</v>
      </c>
      <c r="B50" s="49">
        <v>0</v>
      </c>
      <c r="L50" s="12" t="s">
        <v>916</v>
      </c>
      <c r="U50" s="10"/>
      <c r="V50" s="10"/>
    </row>
    <row r="51" spans="1:22" x14ac:dyDescent="0.25">
      <c r="A51" s="47" t="s">
        <v>872</v>
      </c>
      <c r="B51" s="49">
        <v>0</v>
      </c>
      <c r="L51" s="12" t="s">
        <v>917</v>
      </c>
      <c r="U51" s="10"/>
      <c r="V51" s="10"/>
    </row>
    <row r="52" spans="1:22" x14ac:dyDescent="0.25">
      <c r="A52" s="47" t="s">
        <v>873</v>
      </c>
      <c r="B52" s="49">
        <v>0</v>
      </c>
      <c r="L52" s="12" t="s">
        <v>918</v>
      </c>
      <c r="U52" s="10"/>
      <c r="V52" s="10"/>
    </row>
    <row r="53" spans="1:22" x14ac:dyDescent="0.25">
      <c r="A53" s="47" t="s">
        <v>874</v>
      </c>
      <c r="B53" s="49">
        <v>0</v>
      </c>
      <c r="L53" s="12" t="s">
        <v>919</v>
      </c>
      <c r="U53" s="10"/>
      <c r="V53" s="10"/>
    </row>
    <row r="54" spans="1:22" x14ac:dyDescent="0.25">
      <c r="A54" s="47" t="s">
        <v>875</v>
      </c>
      <c r="B54" s="49">
        <v>0</v>
      </c>
      <c r="L54" s="12" t="s">
        <v>920</v>
      </c>
      <c r="U54" s="10"/>
      <c r="V54" s="10"/>
    </row>
    <row r="55" spans="1:22" x14ac:dyDescent="0.25">
      <c r="A55" s="47" t="s">
        <v>876</v>
      </c>
      <c r="B55" s="49">
        <v>0</v>
      </c>
      <c r="L55" s="12" t="s">
        <v>921</v>
      </c>
      <c r="U55" s="10"/>
      <c r="V55" s="10"/>
    </row>
    <row r="56" spans="1:22" x14ac:dyDescent="0.25">
      <c r="A56" s="47" t="s">
        <v>1551</v>
      </c>
      <c r="B56" s="49">
        <v>0</v>
      </c>
      <c r="L56" t="s">
        <v>1545</v>
      </c>
    </row>
    <row r="57" spans="1:22" x14ac:dyDescent="0.25">
      <c r="A57" s="47" t="s">
        <v>1552</v>
      </c>
      <c r="B57" s="49">
        <v>0</v>
      </c>
      <c r="L57" t="s">
        <v>1546</v>
      </c>
    </row>
    <row r="58" spans="1:22" x14ac:dyDescent="0.25">
      <c r="A58" s="47" t="s">
        <v>1553</v>
      </c>
      <c r="B58" s="177" t="s">
        <v>3219</v>
      </c>
      <c r="C58" s="177"/>
      <c r="D58" s="177"/>
      <c r="E58" s="177"/>
      <c r="L58" t="s">
        <v>1547</v>
      </c>
    </row>
    <row r="59" spans="1:22" x14ac:dyDescent="0.25">
      <c r="A59" s="47" t="s">
        <v>1554</v>
      </c>
      <c r="B59" s="49">
        <v>140</v>
      </c>
      <c r="L59" t="s">
        <v>1548</v>
      </c>
    </row>
    <row r="60" spans="1:22" x14ac:dyDescent="0.25">
      <c r="A60" s="47" t="s">
        <v>1549</v>
      </c>
      <c r="B60" s="49">
        <v>0.6</v>
      </c>
      <c r="L60" t="s">
        <v>1556</v>
      </c>
    </row>
    <row r="61" spans="1:22" x14ac:dyDescent="0.25">
      <c r="A61" s="47" t="s">
        <v>1550</v>
      </c>
      <c r="B61" s="49">
        <v>0.01</v>
      </c>
      <c r="L61" t="s">
        <v>1557</v>
      </c>
    </row>
    <row r="62" spans="1:22" x14ac:dyDescent="0.25">
      <c r="A62" s="12"/>
    </row>
    <row r="63" spans="1:22" x14ac:dyDescent="0.25">
      <c r="A63" s="12"/>
    </row>
    <row r="64" spans="1:22" x14ac:dyDescent="0.25">
      <c r="A64" s="12"/>
    </row>
    <row r="65" spans="1:1" x14ac:dyDescent="0.25">
      <c r="A65" s="12"/>
    </row>
    <row r="66" spans="1:1" x14ac:dyDescent="0.25">
      <c r="A66" s="12"/>
    </row>
    <row r="67" spans="1:1" x14ac:dyDescent="0.25">
      <c r="A67" s="12"/>
    </row>
    <row r="68" spans="1:1" x14ac:dyDescent="0.25">
      <c r="A68" s="12"/>
    </row>
    <row r="69" spans="1:1" x14ac:dyDescent="0.25">
      <c r="A69" s="12"/>
    </row>
    <row r="70" spans="1:1" x14ac:dyDescent="0.25">
      <c r="A70" s="12"/>
    </row>
    <row r="71" spans="1:1" x14ac:dyDescent="0.25">
      <c r="A71" s="12"/>
    </row>
    <row r="72" spans="1:1" x14ac:dyDescent="0.25">
      <c r="A72" s="12"/>
    </row>
    <row r="73" spans="1:1" x14ac:dyDescent="0.25">
      <c r="A73" s="12"/>
    </row>
    <row r="74" spans="1:1" x14ac:dyDescent="0.25">
      <c r="A74" s="12"/>
    </row>
    <row r="75" spans="1:1" x14ac:dyDescent="0.25">
      <c r="A75" s="12"/>
    </row>
    <row r="76" spans="1:1" x14ac:dyDescent="0.25">
      <c r="A76" s="12"/>
    </row>
    <row r="77" spans="1:1" x14ac:dyDescent="0.25">
      <c r="A77" s="12"/>
    </row>
    <row r="78" spans="1:1" x14ac:dyDescent="0.25">
      <c r="A78" s="12"/>
    </row>
    <row r="79" spans="1:1" x14ac:dyDescent="0.25">
      <c r="A79" s="12"/>
    </row>
    <row r="80" spans="1:1" x14ac:dyDescent="0.25">
      <c r="A80" s="12"/>
    </row>
    <row r="81" spans="1:1" x14ac:dyDescent="0.25">
      <c r="A81" s="12"/>
    </row>
    <row r="82" spans="1:1" x14ac:dyDescent="0.25">
      <c r="A82" s="12"/>
    </row>
    <row r="83" spans="1:1" x14ac:dyDescent="0.25">
      <c r="A83" s="12"/>
    </row>
    <row r="84" spans="1:1" x14ac:dyDescent="0.25">
      <c r="A84" s="12"/>
    </row>
    <row r="85" spans="1:1" x14ac:dyDescent="0.25">
      <c r="A85" s="12"/>
    </row>
    <row r="86" spans="1:1" x14ac:dyDescent="0.25">
      <c r="A86" s="12"/>
    </row>
    <row r="87" spans="1:1" x14ac:dyDescent="0.25">
      <c r="A87" s="12"/>
    </row>
    <row r="88" spans="1:1" x14ac:dyDescent="0.25">
      <c r="A88" s="12"/>
    </row>
    <row r="89" spans="1:1" x14ac:dyDescent="0.25">
      <c r="A89" s="12"/>
    </row>
    <row r="90" spans="1:1" x14ac:dyDescent="0.25">
      <c r="A90" s="12"/>
    </row>
    <row r="91" spans="1:1" x14ac:dyDescent="0.25">
      <c r="A91" s="12"/>
    </row>
    <row r="92" spans="1:1" x14ac:dyDescent="0.25">
      <c r="A92" s="12"/>
    </row>
    <row r="93" spans="1:1" x14ac:dyDescent="0.25">
      <c r="A93" s="12"/>
    </row>
    <row r="94" spans="1:1" x14ac:dyDescent="0.25">
      <c r="A94" s="12"/>
    </row>
    <row r="95" spans="1:1" x14ac:dyDescent="0.25">
      <c r="A95" s="12"/>
    </row>
    <row r="96" spans="1:1" x14ac:dyDescent="0.25">
      <c r="A96" s="12"/>
    </row>
    <row r="97" spans="1:1" x14ac:dyDescent="0.25">
      <c r="A97" s="12"/>
    </row>
    <row r="98" spans="1:1" x14ac:dyDescent="0.25">
      <c r="A98" s="12"/>
    </row>
    <row r="99" spans="1:1" x14ac:dyDescent="0.25">
      <c r="A99" s="12"/>
    </row>
    <row r="100" spans="1:1" x14ac:dyDescent="0.25">
      <c r="A100" s="12"/>
    </row>
    <row r="101" spans="1:1" x14ac:dyDescent="0.25">
      <c r="A101" s="12"/>
    </row>
    <row r="102" spans="1:1" x14ac:dyDescent="0.25">
      <c r="A102" s="12"/>
    </row>
    <row r="103" spans="1:1" x14ac:dyDescent="0.25">
      <c r="A103" s="12"/>
    </row>
    <row r="104" spans="1:1" x14ac:dyDescent="0.25">
      <c r="A104" s="12"/>
    </row>
    <row r="105" spans="1:1" x14ac:dyDescent="0.25">
      <c r="A105" s="12"/>
    </row>
    <row r="106" spans="1:1" x14ac:dyDescent="0.25">
      <c r="A106" s="12"/>
    </row>
    <row r="107" spans="1:1" x14ac:dyDescent="0.25">
      <c r="A107" s="12"/>
    </row>
    <row r="108" spans="1:1" x14ac:dyDescent="0.25">
      <c r="A108" s="12"/>
    </row>
    <row r="109" spans="1:1" x14ac:dyDescent="0.25">
      <c r="A109" s="12"/>
    </row>
    <row r="110" spans="1:1" x14ac:dyDescent="0.25">
      <c r="A110" s="12"/>
    </row>
    <row r="111" spans="1:1" x14ac:dyDescent="0.25">
      <c r="A111" s="12"/>
    </row>
    <row r="112" spans="1:1" x14ac:dyDescent="0.25">
      <c r="A112" s="12"/>
    </row>
    <row r="113" spans="1:1" x14ac:dyDescent="0.25">
      <c r="A113" s="12"/>
    </row>
    <row r="114" spans="1:1" x14ac:dyDescent="0.25">
      <c r="A114" s="12"/>
    </row>
    <row r="115" spans="1:1" x14ac:dyDescent="0.25">
      <c r="A115" s="12"/>
    </row>
    <row r="116" spans="1:1" x14ac:dyDescent="0.25">
      <c r="A116" s="12"/>
    </row>
    <row r="117" spans="1:1" x14ac:dyDescent="0.25">
      <c r="A117" s="12"/>
    </row>
    <row r="118" spans="1:1" x14ac:dyDescent="0.25">
      <c r="A118" s="12"/>
    </row>
    <row r="119" spans="1:1" x14ac:dyDescent="0.25">
      <c r="A119" s="12"/>
    </row>
    <row r="120" spans="1:1" x14ac:dyDescent="0.25">
      <c r="A120" s="12"/>
    </row>
    <row r="121" spans="1:1" x14ac:dyDescent="0.25">
      <c r="A121" s="12"/>
    </row>
    <row r="122" spans="1:1" x14ac:dyDescent="0.25">
      <c r="A122" s="12"/>
    </row>
    <row r="123" spans="1:1" x14ac:dyDescent="0.25">
      <c r="A123" s="12"/>
    </row>
    <row r="124" spans="1:1" x14ac:dyDescent="0.25">
      <c r="A124" s="12"/>
    </row>
    <row r="125" spans="1:1" x14ac:dyDescent="0.25">
      <c r="A125" s="12"/>
    </row>
    <row r="126" spans="1:1" x14ac:dyDescent="0.25">
      <c r="A126" s="12"/>
    </row>
  </sheetData>
  <mergeCells count="1">
    <mergeCell ref="L13:M13"/>
  </mergeCells>
  <pageMargins left="0.7" right="0.7" top="0.75" bottom="0.75" header="0.3" footer="0.3"/>
  <pageSetup orientation="portrait" r:id="rId1"/>
  <drawing r:id="rId2"/>
  <legacyDrawing r:id="rId3"/>
  <controls>
    <mc:AlternateContent xmlns:mc="http://schemas.openxmlformats.org/markup-compatibility/2006">
      <mc:Choice Requires="x14">
        <control shapeId="72714" r:id="rId4" name="cmdRunSol">
          <controlPr defaultSize="0" autoLine="0" r:id="rId5">
            <anchor moveWithCells="1">
              <from>
                <xdr:col>10</xdr:col>
                <xdr:colOff>400050</xdr:colOff>
                <xdr:row>2</xdr:row>
                <xdr:rowOff>38100</xdr:rowOff>
              </from>
              <to>
                <xdr:col>12</xdr:col>
                <xdr:colOff>200025</xdr:colOff>
                <xdr:row>3</xdr:row>
                <xdr:rowOff>171450</xdr:rowOff>
              </to>
            </anchor>
          </controlPr>
        </control>
      </mc:Choice>
      <mc:Fallback>
        <control shapeId="72714" r:id="rId4" name="cmdRunSol"/>
      </mc:Fallback>
    </mc:AlternateContent>
    <mc:AlternateContent xmlns:mc="http://schemas.openxmlformats.org/markup-compatibility/2006">
      <mc:Choice Requires="x14">
        <control shapeId="72713" r:id="rId6" name="cmdGetSol">
          <controlPr defaultSize="0" autoLine="0" r:id="rId7">
            <anchor moveWithCells="1">
              <from>
                <xdr:col>5</xdr:col>
                <xdr:colOff>47625</xdr:colOff>
                <xdr:row>2</xdr:row>
                <xdr:rowOff>38100</xdr:rowOff>
              </from>
              <to>
                <xdr:col>6</xdr:col>
                <xdr:colOff>447675</xdr:colOff>
                <xdr:row>3</xdr:row>
                <xdr:rowOff>171450</xdr:rowOff>
              </to>
            </anchor>
          </controlPr>
        </control>
      </mc:Choice>
      <mc:Fallback>
        <control shapeId="72713" r:id="rId6" name="cmdGetSol"/>
      </mc:Fallback>
    </mc:AlternateContent>
    <mc:AlternateContent xmlns:mc="http://schemas.openxmlformats.org/markup-compatibility/2006">
      <mc:Choice Requires="x14">
        <control shapeId="72712" r:id="rId8" name="cmbBoxSol">
          <controlPr defaultSize="0" autoLine="0" linkedCell="B4" r:id="rId9">
            <anchor moveWithCells="1">
              <from>
                <xdr:col>1</xdr:col>
                <xdr:colOff>0</xdr:colOff>
                <xdr:row>2</xdr:row>
                <xdr:rowOff>133350</xdr:rowOff>
              </from>
              <to>
                <xdr:col>3</xdr:col>
                <xdr:colOff>76200</xdr:colOff>
                <xdr:row>4</xdr:row>
                <xdr:rowOff>0</xdr:rowOff>
              </to>
            </anchor>
          </controlPr>
        </control>
      </mc:Choice>
      <mc:Fallback>
        <control shapeId="72712" r:id="rId8" name="cmbBoxSol"/>
      </mc:Fallback>
    </mc:AlternateContent>
    <mc:AlternateContent xmlns:mc="http://schemas.openxmlformats.org/markup-compatibility/2006">
      <mc:Choice Requires="x14">
        <control shapeId="72711" r:id="rId10" name="cmdWriteSol">
          <controlPr defaultSize="0" autoLine="0" r:id="rId11">
            <anchor moveWithCells="1">
              <from>
                <xdr:col>8</xdr:col>
                <xdr:colOff>400050</xdr:colOff>
                <xdr:row>2</xdr:row>
                <xdr:rowOff>38100</xdr:rowOff>
              </from>
              <to>
                <xdr:col>10</xdr:col>
                <xdr:colOff>200025</xdr:colOff>
                <xdr:row>3</xdr:row>
                <xdr:rowOff>171450</xdr:rowOff>
              </to>
            </anchor>
          </controlPr>
        </control>
      </mc:Choice>
      <mc:Fallback>
        <control shapeId="72711" r:id="rId10" name="cmdWriteSol"/>
      </mc:Fallback>
    </mc:AlternateContent>
    <mc:AlternateContent xmlns:mc="http://schemas.openxmlformats.org/markup-compatibility/2006">
      <mc:Choice Requires="x14">
        <control shapeId="72710" r:id="rId12" name="cmdReadSol">
          <controlPr defaultSize="0" autoLine="0" r:id="rId13">
            <anchor moveWithCells="1">
              <from>
                <xdr:col>6</xdr:col>
                <xdr:colOff>590550</xdr:colOff>
                <xdr:row>2</xdr:row>
                <xdr:rowOff>38100</xdr:rowOff>
              </from>
              <to>
                <xdr:col>8</xdr:col>
                <xdr:colOff>333375</xdr:colOff>
                <xdr:row>3</xdr:row>
                <xdr:rowOff>171450</xdr:rowOff>
              </to>
            </anchor>
          </controlPr>
        </control>
      </mc:Choice>
      <mc:Fallback>
        <control shapeId="72710" r:id="rId12" name="cmdReadSo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G9"/>
  <sheetViews>
    <sheetView workbookViewId="0">
      <pane ySplit="4" topLeftCell="A5" activePane="bottomLeft" state="frozen"/>
      <selection pane="bottomLeft" activeCell="B9" sqref="B9"/>
    </sheetView>
  </sheetViews>
  <sheetFormatPr defaultRowHeight="15" x14ac:dyDescent="0.25"/>
  <cols>
    <col min="1" max="1" width="12.5703125" customWidth="1"/>
    <col min="2" max="2" width="25.5703125" style="6" customWidth="1"/>
    <col min="3" max="3" width="74" customWidth="1"/>
  </cols>
  <sheetData>
    <row r="1" spans="1:7" ht="21" x14ac:dyDescent="0.25">
      <c r="A1" s="129" t="s">
        <v>974</v>
      </c>
      <c r="B1"/>
    </row>
    <row r="2" spans="1:7" x14ac:dyDescent="0.25">
      <c r="A2" s="92" t="s">
        <v>984</v>
      </c>
      <c r="B2" s="93"/>
      <c r="C2" s="94" t="s">
        <v>985</v>
      </c>
    </row>
    <row r="3" spans="1:7" x14ac:dyDescent="0.25">
      <c r="B3"/>
    </row>
    <row r="4" spans="1:7" s="8" customFormat="1" x14ac:dyDescent="0.25">
      <c r="A4" s="82" t="s">
        <v>685</v>
      </c>
      <c r="B4" s="82" t="s">
        <v>686</v>
      </c>
      <c r="C4" s="80" t="s">
        <v>966</v>
      </c>
      <c r="D4" s="82"/>
    </row>
    <row r="5" spans="1:7" x14ac:dyDescent="0.25">
      <c r="A5">
        <v>6</v>
      </c>
      <c r="B5" s="6" t="s">
        <v>2441</v>
      </c>
      <c r="C5" t="s">
        <v>3222</v>
      </c>
    </row>
    <row r="6" spans="1:7" x14ac:dyDescent="0.25">
      <c r="A6">
        <v>9</v>
      </c>
      <c r="B6" s="6" t="s">
        <v>3223</v>
      </c>
      <c r="C6" t="s">
        <v>2205</v>
      </c>
      <c r="D6" t="s">
        <v>3224</v>
      </c>
      <c r="E6" t="s">
        <v>3225</v>
      </c>
      <c r="F6" t="s">
        <v>143</v>
      </c>
    </row>
    <row r="7" spans="1:7" x14ac:dyDescent="0.25">
      <c r="A7">
        <v>10</v>
      </c>
      <c r="B7" s="6" t="s">
        <v>3226</v>
      </c>
      <c r="C7" t="s">
        <v>2153</v>
      </c>
      <c r="D7" t="s">
        <v>3227</v>
      </c>
    </row>
    <row r="8" spans="1:7" x14ac:dyDescent="0.25">
      <c r="A8">
        <v>12</v>
      </c>
      <c r="B8" s="6" t="s">
        <v>3228</v>
      </c>
      <c r="C8" t="s">
        <v>3229</v>
      </c>
      <c r="D8" t="s">
        <v>2092</v>
      </c>
      <c r="E8" t="s">
        <v>3230</v>
      </c>
      <c r="F8" t="s">
        <v>3231</v>
      </c>
      <c r="G8" t="s">
        <v>3232</v>
      </c>
    </row>
    <row r="9" spans="1:7" x14ac:dyDescent="0.25">
      <c r="A9">
        <v>13</v>
      </c>
      <c r="B9" s="6" t="s">
        <v>3233</v>
      </c>
      <c r="C9" t="s">
        <v>3234</v>
      </c>
      <c r="D9" t="s">
        <v>3227</v>
      </c>
    </row>
  </sheetData>
  <pageMargins left="0.7" right="0.7" top="0.75" bottom="0.75" header="0.3" footer="0.3"/>
  <drawing r:id="rId1"/>
  <legacyDrawing r:id="rId2"/>
  <controls>
    <mc:AlternateContent xmlns:mc="http://schemas.openxmlformats.org/markup-compatibility/2006">
      <mc:Choice Requires="x14">
        <control shapeId="73730" r:id="rId3" name="cmdWriteOpsc">
          <controlPr defaultSize="0" autoLine="0" r:id="rId4">
            <anchor moveWithCells="1">
              <from>
                <xdr:col>2</xdr:col>
                <xdr:colOff>3914775</xdr:colOff>
                <xdr:row>0</xdr:row>
                <xdr:rowOff>66675</xdr:rowOff>
              </from>
              <to>
                <xdr:col>3</xdr:col>
                <xdr:colOff>0</xdr:colOff>
                <xdr:row>1</xdr:row>
                <xdr:rowOff>123825</xdr:rowOff>
              </to>
            </anchor>
          </controlPr>
        </control>
      </mc:Choice>
      <mc:Fallback>
        <control shapeId="73730" r:id="rId3" name="cmdWriteOpsc"/>
      </mc:Fallback>
    </mc:AlternateContent>
    <mc:AlternateContent xmlns:mc="http://schemas.openxmlformats.org/markup-compatibility/2006">
      <mc:Choice Requires="x14">
        <control shapeId="73729" r:id="rId5" name="cmdReadOpsc">
          <controlPr defaultSize="0" autoLine="0" r:id="rId6">
            <anchor moveWithCells="1">
              <from>
                <xdr:col>2</xdr:col>
                <xdr:colOff>2857500</xdr:colOff>
                <xdr:row>0</xdr:row>
                <xdr:rowOff>66675</xdr:rowOff>
              </from>
              <to>
                <xdr:col>2</xdr:col>
                <xdr:colOff>3876675</xdr:colOff>
                <xdr:row>1</xdr:row>
                <xdr:rowOff>123825</xdr:rowOff>
              </to>
            </anchor>
          </controlPr>
        </control>
      </mc:Choice>
      <mc:Fallback>
        <control shapeId="73729" r:id="rId5" name="cmdReadOpsc"/>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D4"/>
  <sheetViews>
    <sheetView workbookViewId="0">
      <pane ySplit="4" topLeftCell="A5" activePane="bottomLeft" state="frozen"/>
      <selection pane="bottomLeft"/>
    </sheetView>
  </sheetViews>
  <sheetFormatPr defaultRowHeight="15" x14ac:dyDescent="0.25"/>
  <cols>
    <col min="1" max="1" width="12.5703125" customWidth="1"/>
    <col min="2" max="2" width="14.7109375" style="6" customWidth="1"/>
    <col min="3" max="3" width="74" customWidth="1"/>
  </cols>
  <sheetData>
    <row r="1" spans="1:4" ht="21" x14ac:dyDescent="0.25">
      <c r="A1" s="129" t="s">
        <v>1380</v>
      </c>
      <c r="B1"/>
    </row>
    <row r="2" spans="1:4" x14ac:dyDescent="0.25">
      <c r="A2" s="92" t="s">
        <v>984</v>
      </c>
      <c r="B2" s="93"/>
      <c r="C2" s="94" t="s">
        <v>985</v>
      </c>
    </row>
    <row r="3" spans="1:4" x14ac:dyDescent="0.25">
      <c r="B3"/>
    </row>
    <row r="4" spans="1:4" s="8" customFormat="1" x14ac:dyDescent="0.25">
      <c r="A4" s="162" t="s">
        <v>685</v>
      </c>
      <c r="B4" s="162" t="s">
        <v>686</v>
      </c>
      <c r="C4" s="80" t="s">
        <v>966</v>
      </c>
      <c r="D4" s="162"/>
    </row>
  </sheetData>
  <pageMargins left="0.7" right="0.7" top="0.75" bottom="0.75" header="0.3" footer="0.3"/>
  <drawing r:id="rId1"/>
  <legacyDrawing r:id="rId2"/>
  <controls>
    <mc:AlternateContent xmlns:mc="http://schemas.openxmlformats.org/markup-compatibility/2006">
      <mc:Choice Requires="x14">
        <control shapeId="82946" r:id="rId3" name="cmdWriteSolc">
          <controlPr defaultSize="0" autoLine="0" r:id="rId4">
            <anchor moveWithCells="1">
              <from>
                <xdr:col>2</xdr:col>
                <xdr:colOff>3914775</xdr:colOff>
                <xdr:row>0</xdr:row>
                <xdr:rowOff>66675</xdr:rowOff>
              </from>
              <to>
                <xdr:col>3</xdr:col>
                <xdr:colOff>0</xdr:colOff>
                <xdr:row>1</xdr:row>
                <xdr:rowOff>123825</xdr:rowOff>
              </to>
            </anchor>
          </controlPr>
        </control>
      </mc:Choice>
      <mc:Fallback>
        <control shapeId="82946" r:id="rId3" name="cmdWriteSolc"/>
      </mc:Fallback>
    </mc:AlternateContent>
    <mc:AlternateContent xmlns:mc="http://schemas.openxmlformats.org/markup-compatibility/2006">
      <mc:Choice Requires="x14">
        <control shapeId="82945" r:id="rId5" name="cmdReadSolc">
          <controlPr defaultSize="0" autoLine="0" r:id="rId6">
            <anchor moveWithCells="1">
              <from>
                <xdr:col>2</xdr:col>
                <xdr:colOff>2857500</xdr:colOff>
                <xdr:row>0</xdr:row>
                <xdr:rowOff>66675</xdr:rowOff>
              </from>
              <to>
                <xdr:col>2</xdr:col>
                <xdr:colOff>3876675</xdr:colOff>
                <xdr:row>1</xdr:row>
                <xdr:rowOff>123825</xdr:rowOff>
              </to>
            </anchor>
          </controlPr>
        </control>
      </mc:Choice>
      <mc:Fallback>
        <control shapeId="82945" r:id="rId5" name="cmdReadSolc"/>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F44"/>
  <sheetViews>
    <sheetView workbookViewId="0">
      <pane ySplit="4" topLeftCell="A5" activePane="bottomLeft" state="frozen"/>
      <selection pane="bottomLeft" activeCell="G15" sqref="G15"/>
    </sheetView>
  </sheetViews>
  <sheetFormatPr defaultRowHeight="15" x14ac:dyDescent="0.25"/>
  <cols>
    <col min="1" max="1" width="12.28515625" customWidth="1"/>
    <col min="2" max="2" width="17.140625" customWidth="1"/>
    <col min="3" max="5" width="9.7109375" customWidth="1"/>
    <col min="6" max="6" width="21.5703125" bestFit="1" customWidth="1"/>
  </cols>
  <sheetData>
    <row r="1" spans="1:6" ht="21" x14ac:dyDescent="0.25">
      <c r="A1" s="129" t="s">
        <v>978</v>
      </c>
    </row>
    <row r="2" spans="1:6" x14ac:dyDescent="0.25">
      <c r="A2" s="92" t="s">
        <v>984</v>
      </c>
      <c r="B2" s="93"/>
      <c r="C2" s="94" t="s">
        <v>985</v>
      </c>
    </row>
    <row r="4" spans="1:6" s="8" customFormat="1" x14ac:dyDescent="0.25">
      <c r="A4" s="142" t="s">
        <v>685</v>
      </c>
      <c r="B4" s="142" t="s">
        <v>686</v>
      </c>
      <c r="C4" s="142" t="s">
        <v>803</v>
      </c>
      <c r="D4" s="142" t="s">
        <v>802</v>
      </c>
      <c r="E4" s="200" t="s">
        <v>1146</v>
      </c>
      <c r="F4" s="200"/>
    </row>
    <row r="5" spans="1:6" x14ac:dyDescent="0.25">
      <c r="A5">
        <v>144</v>
      </c>
      <c r="B5" t="s">
        <v>3207</v>
      </c>
      <c r="C5">
        <v>36.869999999999997</v>
      </c>
      <c r="D5">
        <v>-108.11</v>
      </c>
    </row>
    <row r="6" spans="1:6" x14ac:dyDescent="0.25">
      <c r="A6">
        <v>389</v>
      </c>
      <c r="B6" t="s">
        <v>3208</v>
      </c>
      <c r="C6">
        <v>37.090000000000003</v>
      </c>
      <c r="D6">
        <v>-107.91</v>
      </c>
    </row>
    <row r="7" spans="1:6" x14ac:dyDescent="0.25">
      <c r="A7">
        <v>390</v>
      </c>
      <c r="B7" t="s">
        <v>3207</v>
      </c>
      <c r="C7">
        <v>37</v>
      </c>
      <c r="D7">
        <v>-107.85</v>
      </c>
    </row>
    <row r="8" spans="1:6" x14ac:dyDescent="0.25">
      <c r="A8">
        <v>391</v>
      </c>
      <c r="B8" t="s">
        <v>3208</v>
      </c>
      <c r="C8">
        <v>37.01</v>
      </c>
      <c r="D8">
        <v>-107.94</v>
      </c>
    </row>
    <row r="9" spans="1:6" x14ac:dyDescent="0.25">
      <c r="A9">
        <v>392</v>
      </c>
      <c r="B9" t="s">
        <v>3209</v>
      </c>
      <c r="C9">
        <v>37.29</v>
      </c>
      <c r="D9">
        <v>-107.76</v>
      </c>
    </row>
    <row r="10" spans="1:6" x14ac:dyDescent="0.25">
      <c r="A10">
        <v>393</v>
      </c>
      <c r="B10" t="s">
        <v>3210</v>
      </c>
      <c r="C10">
        <v>37.159999999999997</v>
      </c>
      <c r="D10">
        <v>-107.73</v>
      </c>
    </row>
    <row r="11" spans="1:6" x14ac:dyDescent="0.25">
      <c r="A11">
        <v>394</v>
      </c>
      <c r="B11" t="s">
        <v>3210</v>
      </c>
      <c r="C11">
        <v>37.19</v>
      </c>
      <c r="D11">
        <v>-107.77</v>
      </c>
    </row>
    <row r="12" spans="1:6" x14ac:dyDescent="0.25">
      <c r="A12">
        <v>395</v>
      </c>
      <c r="B12" t="s">
        <v>3210</v>
      </c>
      <c r="C12">
        <v>37.11</v>
      </c>
      <c r="D12">
        <v>-107.83</v>
      </c>
    </row>
    <row r="13" spans="1:6" x14ac:dyDescent="0.25">
      <c r="A13">
        <v>396</v>
      </c>
      <c r="B13" t="s">
        <v>3211</v>
      </c>
      <c r="C13">
        <v>37.25</v>
      </c>
      <c r="D13">
        <v>-107.85</v>
      </c>
    </row>
    <row r="14" spans="1:6" x14ac:dyDescent="0.25">
      <c r="A14">
        <v>397</v>
      </c>
      <c r="B14" t="s">
        <v>3212</v>
      </c>
      <c r="C14">
        <v>37.22</v>
      </c>
      <c r="D14">
        <v>-107.94</v>
      </c>
    </row>
    <row r="15" spans="1:6" x14ac:dyDescent="0.25">
      <c r="A15">
        <v>398</v>
      </c>
      <c r="B15" t="s">
        <v>3210</v>
      </c>
      <c r="C15">
        <v>37.159999999999997</v>
      </c>
      <c r="D15">
        <v>-107.91</v>
      </c>
    </row>
    <row r="16" spans="1:6" x14ac:dyDescent="0.25">
      <c r="A16">
        <v>400</v>
      </c>
      <c r="B16" t="s">
        <v>3207</v>
      </c>
      <c r="C16">
        <v>36.909999999999997</v>
      </c>
      <c r="D16">
        <v>-107.92</v>
      </c>
    </row>
    <row r="17" spans="1:4" x14ac:dyDescent="0.25">
      <c r="A17">
        <v>401</v>
      </c>
      <c r="B17" t="s">
        <v>3207</v>
      </c>
      <c r="C17">
        <v>36.86</v>
      </c>
      <c r="D17">
        <v>-107.96</v>
      </c>
    </row>
    <row r="18" spans="1:4" x14ac:dyDescent="0.25">
      <c r="A18">
        <v>402</v>
      </c>
      <c r="B18" t="s">
        <v>3207</v>
      </c>
      <c r="C18">
        <v>36.82</v>
      </c>
      <c r="D18">
        <v>-108.05</v>
      </c>
    </row>
    <row r="19" spans="1:4" x14ac:dyDescent="0.25">
      <c r="A19">
        <v>403</v>
      </c>
      <c r="B19" t="s">
        <v>3207</v>
      </c>
      <c r="C19">
        <v>36.770000000000003</v>
      </c>
      <c r="D19">
        <v>-108.13</v>
      </c>
    </row>
    <row r="20" spans="1:4" x14ac:dyDescent="0.25">
      <c r="A20">
        <v>543</v>
      </c>
      <c r="B20" t="s">
        <v>3213</v>
      </c>
      <c r="C20">
        <v>37.880000000000003</v>
      </c>
      <c r="D20">
        <v>-107.57</v>
      </c>
    </row>
    <row r="21" spans="1:4" x14ac:dyDescent="0.25">
      <c r="A21">
        <v>544</v>
      </c>
      <c r="B21" t="s">
        <v>3213</v>
      </c>
      <c r="C21">
        <v>37.869999999999997</v>
      </c>
      <c r="D21">
        <v>-107.66</v>
      </c>
    </row>
    <row r="22" spans="1:4" x14ac:dyDescent="0.25">
      <c r="A22">
        <v>545</v>
      </c>
      <c r="B22" t="s">
        <v>3213</v>
      </c>
      <c r="C22">
        <v>37.82</v>
      </c>
      <c r="D22">
        <v>-107.75</v>
      </c>
    </row>
    <row r="23" spans="1:4" x14ac:dyDescent="0.25">
      <c r="A23">
        <v>546</v>
      </c>
      <c r="B23" t="s">
        <v>3213</v>
      </c>
      <c r="C23">
        <v>37.799999999999997</v>
      </c>
      <c r="D23">
        <v>-107.62</v>
      </c>
    </row>
    <row r="24" spans="1:4" x14ac:dyDescent="0.25">
      <c r="A24">
        <v>547</v>
      </c>
      <c r="B24" t="s">
        <v>3214</v>
      </c>
      <c r="C24">
        <v>37.71</v>
      </c>
      <c r="D24">
        <v>-107.84</v>
      </c>
    </row>
    <row r="25" spans="1:4" x14ac:dyDescent="0.25">
      <c r="A25">
        <v>548</v>
      </c>
      <c r="B25" t="s">
        <v>3213</v>
      </c>
      <c r="C25">
        <v>37.71</v>
      </c>
      <c r="D25">
        <v>-107.75</v>
      </c>
    </row>
    <row r="26" spans="1:4" x14ac:dyDescent="0.25">
      <c r="A26">
        <v>549</v>
      </c>
      <c r="B26" t="s">
        <v>3213</v>
      </c>
      <c r="C26">
        <v>37.65</v>
      </c>
      <c r="D26">
        <v>-107.79</v>
      </c>
    </row>
    <row r="27" spans="1:4" x14ac:dyDescent="0.25">
      <c r="A27">
        <v>550</v>
      </c>
      <c r="B27" t="s">
        <v>3213</v>
      </c>
      <c r="C27">
        <v>37.72</v>
      </c>
      <c r="D27">
        <v>-107.59</v>
      </c>
    </row>
    <row r="28" spans="1:4" x14ac:dyDescent="0.25">
      <c r="A28">
        <v>551</v>
      </c>
      <c r="B28" t="s">
        <v>3213</v>
      </c>
      <c r="C28">
        <v>37.69</v>
      </c>
      <c r="D28">
        <v>-107.64</v>
      </c>
    </row>
    <row r="29" spans="1:4" x14ac:dyDescent="0.25">
      <c r="A29">
        <v>552</v>
      </c>
      <c r="B29" t="s">
        <v>3213</v>
      </c>
      <c r="C29">
        <v>37.61</v>
      </c>
      <c r="D29">
        <v>-107.65</v>
      </c>
    </row>
    <row r="30" spans="1:4" x14ac:dyDescent="0.25">
      <c r="A30">
        <v>553</v>
      </c>
      <c r="B30" t="s">
        <v>3215</v>
      </c>
      <c r="C30">
        <v>37.630000000000003</v>
      </c>
      <c r="D30">
        <v>-107.71</v>
      </c>
    </row>
    <row r="31" spans="1:4" x14ac:dyDescent="0.25">
      <c r="A31">
        <v>555</v>
      </c>
      <c r="B31" t="s">
        <v>3216</v>
      </c>
      <c r="C31">
        <v>37.49</v>
      </c>
      <c r="D31">
        <v>-107.99</v>
      </c>
    </row>
    <row r="32" spans="1:4" x14ac:dyDescent="0.25">
      <c r="A32">
        <v>556</v>
      </c>
      <c r="B32" t="s">
        <v>3216</v>
      </c>
      <c r="C32">
        <v>37.549999999999997</v>
      </c>
      <c r="D32">
        <v>-107.94</v>
      </c>
    </row>
    <row r="33" spans="1:4" x14ac:dyDescent="0.25">
      <c r="A33">
        <v>557</v>
      </c>
      <c r="B33" t="s">
        <v>3216</v>
      </c>
      <c r="C33">
        <v>37.53</v>
      </c>
      <c r="D33">
        <v>-107.88</v>
      </c>
    </row>
    <row r="34" spans="1:4" x14ac:dyDescent="0.25">
      <c r="A34">
        <v>558</v>
      </c>
      <c r="B34" t="s">
        <v>3216</v>
      </c>
      <c r="C34">
        <v>37.450000000000003</v>
      </c>
      <c r="D34">
        <v>-107.89</v>
      </c>
    </row>
    <row r="35" spans="1:4" x14ac:dyDescent="0.25">
      <c r="A35">
        <v>559</v>
      </c>
      <c r="B35" t="s">
        <v>3216</v>
      </c>
      <c r="C35">
        <v>37.54</v>
      </c>
      <c r="D35">
        <v>-107.74</v>
      </c>
    </row>
    <row r="36" spans="1:4" x14ac:dyDescent="0.25">
      <c r="A36">
        <v>560</v>
      </c>
      <c r="B36" t="s">
        <v>3216</v>
      </c>
      <c r="C36">
        <v>37.549999999999997</v>
      </c>
      <c r="D36">
        <v>-107.82</v>
      </c>
    </row>
    <row r="37" spans="1:4" x14ac:dyDescent="0.25">
      <c r="A37">
        <v>561</v>
      </c>
      <c r="B37" t="s">
        <v>3216</v>
      </c>
      <c r="C37">
        <v>37.43</v>
      </c>
      <c r="D37">
        <v>-107.77</v>
      </c>
    </row>
    <row r="38" spans="1:4" x14ac:dyDescent="0.25">
      <c r="A38">
        <v>564</v>
      </c>
      <c r="B38" t="s">
        <v>3216</v>
      </c>
      <c r="C38">
        <v>37.42</v>
      </c>
      <c r="D38">
        <v>-107.66</v>
      </c>
    </row>
    <row r="39" spans="1:4" x14ac:dyDescent="0.25">
      <c r="A39">
        <v>565</v>
      </c>
      <c r="B39" t="s">
        <v>3215</v>
      </c>
      <c r="C39">
        <v>37.64</v>
      </c>
      <c r="D39">
        <v>-107.87</v>
      </c>
    </row>
    <row r="40" spans="1:4" x14ac:dyDescent="0.25">
      <c r="A40">
        <v>566</v>
      </c>
      <c r="B40" t="s">
        <v>3217</v>
      </c>
      <c r="C40">
        <v>37.68</v>
      </c>
      <c r="D40">
        <v>-107.93</v>
      </c>
    </row>
    <row r="41" spans="1:4" x14ac:dyDescent="0.25">
      <c r="A41">
        <v>654</v>
      </c>
      <c r="B41" t="s">
        <v>3218</v>
      </c>
      <c r="C41">
        <v>37.380000000000003</v>
      </c>
      <c r="D41">
        <v>-107.85</v>
      </c>
    </row>
    <row r="42" spans="1:4" x14ac:dyDescent="0.25">
      <c r="A42">
        <v>655</v>
      </c>
      <c r="B42" t="s">
        <v>3216</v>
      </c>
      <c r="C42">
        <v>37.380000000000003</v>
      </c>
      <c r="D42">
        <v>-107.94</v>
      </c>
    </row>
    <row r="43" spans="1:4" x14ac:dyDescent="0.25">
      <c r="A43">
        <v>656</v>
      </c>
      <c r="B43" t="s">
        <v>3211</v>
      </c>
      <c r="C43">
        <v>37.35</v>
      </c>
      <c r="D43">
        <v>-108</v>
      </c>
    </row>
    <row r="44" spans="1:4" x14ac:dyDescent="0.25">
      <c r="A44">
        <v>657</v>
      </c>
      <c r="B44" t="s">
        <v>3211</v>
      </c>
      <c r="C44">
        <v>37.28</v>
      </c>
      <c r="D44">
        <v>-107.96</v>
      </c>
    </row>
  </sheetData>
  <mergeCells count="1">
    <mergeCell ref="E4:F4"/>
  </mergeCells>
  <pageMargins left="0.7" right="0.7" top="0.75" bottom="0.75" header="0.3" footer="0.3"/>
  <drawing r:id="rId1"/>
  <legacyDrawing r:id="rId2"/>
  <controls>
    <mc:AlternateContent xmlns:mc="http://schemas.openxmlformats.org/markup-compatibility/2006">
      <mc:Choice Requires="x14">
        <control shapeId="27649" r:id="rId3" name="cmdReadWtr">
          <controlPr defaultSize="0" autoLine="0" r:id="rId4">
            <anchor moveWithCells="1">
              <from>
                <xdr:col>5</xdr:col>
                <xdr:colOff>628650</xdr:colOff>
                <xdr:row>0</xdr:row>
                <xdr:rowOff>76200</xdr:rowOff>
              </from>
              <to>
                <xdr:col>6</xdr:col>
                <xdr:colOff>209550</xdr:colOff>
                <xdr:row>1</xdr:row>
                <xdr:rowOff>123825</xdr:rowOff>
              </to>
            </anchor>
          </controlPr>
        </control>
      </mc:Choice>
      <mc:Fallback>
        <control shapeId="27649" r:id="rId3" name="cmdReadWtr"/>
      </mc:Fallback>
    </mc:AlternateContent>
    <mc:AlternateContent xmlns:mc="http://schemas.openxmlformats.org/markup-compatibility/2006">
      <mc:Choice Requires="x14">
        <control shapeId="27650" r:id="rId5" name="cmdWriteWtr">
          <controlPr defaultSize="0" autoLine="0" r:id="rId6">
            <anchor moveWithCells="1">
              <from>
                <xdr:col>6</xdr:col>
                <xdr:colOff>257175</xdr:colOff>
                <xdr:row>0</xdr:row>
                <xdr:rowOff>66675</xdr:rowOff>
              </from>
              <to>
                <xdr:col>8</xdr:col>
                <xdr:colOff>57150</xdr:colOff>
                <xdr:row>1</xdr:row>
                <xdr:rowOff>114300</xdr:rowOff>
              </to>
            </anchor>
          </controlPr>
        </control>
      </mc:Choice>
      <mc:Fallback>
        <control shapeId="27650" r:id="rId5" name="cmdWriteWtr"/>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F4"/>
  <sheetViews>
    <sheetView workbookViewId="0">
      <pane ySplit="4" topLeftCell="A5" activePane="bottomLeft" state="frozen"/>
      <selection pane="bottomLeft"/>
    </sheetView>
  </sheetViews>
  <sheetFormatPr defaultRowHeight="15" x14ac:dyDescent="0.25"/>
  <cols>
    <col min="1" max="1" width="12.140625" customWidth="1"/>
    <col min="2" max="2" width="17" customWidth="1"/>
    <col min="3" max="5" width="9.7109375" customWidth="1"/>
    <col min="6" max="6" width="22.5703125" bestFit="1" customWidth="1"/>
  </cols>
  <sheetData>
    <row r="1" spans="1:6" ht="21" x14ac:dyDescent="0.25">
      <c r="A1" s="129" t="s">
        <v>977</v>
      </c>
    </row>
    <row r="2" spans="1:6" x14ac:dyDescent="0.25">
      <c r="A2" s="92" t="s">
        <v>984</v>
      </c>
      <c r="B2" s="93"/>
      <c r="C2" s="94" t="s">
        <v>985</v>
      </c>
    </row>
    <row r="4" spans="1:6" s="8" customFormat="1" x14ac:dyDescent="0.25">
      <c r="A4" s="142" t="s">
        <v>685</v>
      </c>
      <c r="B4" s="142" t="s">
        <v>686</v>
      </c>
      <c r="C4" s="142" t="s">
        <v>803</v>
      </c>
      <c r="D4" s="142" t="s">
        <v>802</v>
      </c>
      <c r="E4" s="200" t="s">
        <v>1146</v>
      </c>
      <c r="F4" s="200"/>
    </row>
  </sheetData>
  <mergeCells count="1">
    <mergeCell ref="E4:F4"/>
  </mergeCells>
  <pageMargins left="0.7" right="0.7" top="0.75" bottom="0.75" header="0.3" footer="0.3"/>
  <drawing r:id="rId1"/>
  <legacyDrawing r:id="rId2"/>
  <controls>
    <mc:AlternateContent xmlns:mc="http://schemas.openxmlformats.org/markup-compatibility/2006">
      <mc:Choice Requires="x14">
        <control shapeId="28673" r:id="rId3" name="cmdReadWp1">
          <controlPr defaultSize="0" autoLine="0" r:id="rId4">
            <anchor moveWithCells="1">
              <from>
                <xdr:col>5</xdr:col>
                <xdr:colOff>638175</xdr:colOff>
                <xdr:row>0</xdr:row>
                <xdr:rowOff>66675</xdr:rowOff>
              </from>
              <to>
                <xdr:col>6</xdr:col>
                <xdr:colOff>152400</xdr:colOff>
                <xdr:row>1</xdr:row>
                <xdr:rowOff>114300</xdr:rowOff>
              </to>
            </anchor>
          </controlPr>
        </control>
      </mc:Choice>
      <mc:Fallback>
        <control shapeId="28673" r:id="rId3" name="cmdReadWp1"/>
      </mc:Fallback>
    </mc:AlternateContent>
    <mc:AlternateContent xmlns:mc="http://schemas.openxmlformats.org/markup-compatibility/2006">
      <mc:Choice Requires="x14">
        <control shapeId="28674" r:id="rId5" name="cmdWriteWp1">
          <controlPr defaultSize="0" autoLine="0" r:id="rId6">
            <anchor moveWithCells="1">
              <from>
                <xdr:col>6</xdr:col>
                <xdr:colOff>190500</xdr:colOff>
                <xdr:row>0</xdr:row>
                <xdr:rowOff>66675</xdr:rowOff>
              </from>
              <to>
                <xdr:col>7</xdr:col>
                <xdr:colOff>600075</xdr:colOff>
                <xdr:row>1</xdr:row>
                <xdr:rowOff>114300</xdr:rowOff>
              </to>
            </anchor>
          </controlPr>
        </control>
      </mc:Choice>
      <mc:Fallback>
        <control shapeId="28674" r:id="rId5" name="cmdWriteWp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F10"/>
  <sheetViews>
    <sheetView workbookViewId="0">
      <pane ySplit="4" topLeftCell="A5" activePane="bottomLeft" state="frozen"/>
      <selection pane="bottomLeft"/>
    </sheetView>
  </sheetViews>
  <sheetFormatPr defaultRowHeight="15" x14ac:dyDescent="0.25"/>
  <cols>
    <col min="1" max="1" width="12" customWidth="1"/>
    <col min="2" max="2" width="17.7109375" customWidth="1"/>
    <col min="3" max="5" width="9.7109375" customWidth="1"/>
    <col min="6" max="6" width="26.85546875" customWidth="1"/>
  </cols>
  <sheetData>
    <row r="1" spans="1:6" ht="21" x14ac:dyDescent="0.25">
      <c r="A1" s="129" t="s">
        <v>976</v>
      </c>
    </row>
    <row r="2" spans="1:6" x14ac:dyDescent="0.25">
      <c r="A2" s="92" t="s">
        <v>984</v>
      </c>
      <c r="B2" s="93"/>
      <c r="C2" s="94" t="s">
        <v>985</v>
      </c>
    </row>
    <row r="4" spans="1:6" s="8" customFormat="1" x14ac:dyDescent="0.25">
      <c r="A4" s="142" t="s">
        <v>685</v>
      </c>
      <c r="B4" s="142" t="s">
        <v>686</v>
      </c>
      <c r="C4" s="142" t="s">
        <v>803</v>
      </c>
      <c r="D4" s="142" t="s">
        <v>802</v>
      </c>
      <c r="E4" s="200" t="s">
        <v>1146</v>
      </c>
      <c r="F4" s="200"/>
    </row>
    <row r="5" spans="1:6" x14ac:dyDescent="0.25">
      <c r="C5" s="29"/>
      <c r="D5" s="29"/>
    </row>
    <row r="6" spans="1:6" x14ac:dyDescent="0.25">
      <c r="C6" s="29"/>
      <c r="D6" s="29"/>
    </row>
    <row r="7" spans="1:6" x14ac:dyDescent="0.25">
      <c r="C7" s="29"/>
      <c r="D7" s="29"/>
    </row>
    <row r="8" spans="1:6" x14ac:dyDescent="0.25">
      <c r="C8" s="29"/>
      <c r="D8" s="29"/>
    </row>
    <row r="9" spans="1:6" x14ac:dyDescent="0.25">
      <c r="C9" s="29"/>
      <c r="D9" s="29"/>
    </row>
    <row r="10" spans="1:6" x14ac:dyDescent="0.25">
      <c r="C10" s="29"/>
    </row>
  </sheetData>
  <mergeCells count="1">
    <mergeCell ref="E4:F4"/>
  </mergeCells>
  <pageMargins left="0.7" right="0.7" top="0.75" bottom="0.75" header="0.3" footer="0.3"/>
  <drawing r:id="rId1"/>
  <legacyDrawing r:id="rId2"/>
  <controls>
    <mc:AlternateContent xmlns:mc="http://schemas.openxmlformats.org/markup-compatibility/2006">
      <mc:Choice Requires="x14">
        <control shapeId="29697" r:id="rId3" name="cmdReadWnd">
          <controlPr defaultSize="0" autoLine="0" r:id="rId4">
            <anchor moveWithCells="1">
              <from>
                <xdr:col>5</xdr:col>
                <xdr:colOff>771525</xdr:colOff>
                <xdr:row>0</xdr:row>
                <xdr:rowOff>76200</xdr:rowOff>
              </from>
              <to>
                <xdr:col>6</xdr:col>
                <xdr:colOff>0</xdr:colOff>
                <xdr:row>1</xdr:row>
                <xdr:rowOff>133350</xdr:rowOff>
              </to>
            </anchor>
          </controlPr>
        </control>
      </mc:Choice>
      <mc:Fallback>
        <control shapeId="29697" r:id="rId3" name="cmdReadWnd"/>
      </mc:Fallback>
    </mc:AlternateContent>
    <mc:AlternateContent xmlns:mc="http://schemas.openxmlformats.org/markup-compatibility/2006">
      <mc:Choice Requires="x14">
        <control shapeId="29698" r:id="rId5" name="cmdWriteWnd">
          <controlPr defaultSize="0" autoLine="0" r:id="rId6">
            <anchor moveWithCells="1">
              <from>
                <xdr:col>6</xdr:col>
                <xdr:colOff>66675</xdr:colOff>
                <xdr:row>0</xdr:row>
                <xdr:rowOff>76200</xdr:rowOff>
              </from>
              <to>
                <xdr:col>7</xdr:col>
                <xdr:colOff>476250</xdr:colOff>
                <xdr:row>1</xdr:row>
                <xdr:rowOff>133350</xdr:rowOff>
              </to>
            </anchor>
          </controlPr>
        </control>
      </mc:Choice>
      <mc:Fallback>
        <control shapeId="29698" r:id="rId5" name="cmdWriteWnd"/>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O59"/>
  <sheetViews>
    <sheetView zoomScaleNormal="100" workbookViewId="0">
      <selection activeCell="B7" sqref="B7"/>
    </sheetView>
  </sheetViews>
  <sheetFormatPr defaultRowHeight="15" x14ac:dyDescent="0.25"/>
  <cols>
    <col min="1" max="1" width="11.85546875" style="12" customWidth="1"/>
    <col min="2" max="2" width="10.7109375" style="12" customWidth="1"/>
    <col min="3" max="3" width="8.85546875" style="10"/>
    <col min="11" max="11" width="8.85546875" style="4"/>
    <col min="14" max="14" width="8.85546875" style="10"/>
  </cols>
  <sheetData>
    <row r="1" spans="1:15" ht="25.35" customHeight="1" x14ac:dyDescent="0.25">
      <c r="A1" s="129" t="s">
        <v>1144</v>
      </c>
      <c r="O1" s="10"/>
    </row>
    <row r="2" spans="1:15" ht="19.899999999999999" customHeight="1" x14ac:dyDescent="0.25">
      <c r="A2" s="136" t="s">
        <v>1033</v>
      </c>
      <c r="B2" s="132" t="s">
        <v>1563</v>
      </c>
      <c r="C2" s="114"/>
      <c r="D2" s="32" t="s">
        <v>801</v>
      </c>
      <c r="E2" s="115" t="s">
        <v>1362</v>
      </c>
    </row>
    <row r="3" spans="1:15" x14ac:dyDescent="0.25">
      <c r="A3" s="137" t="s">
        <v>984</v>
      </c>
      <c r="B3" s="133"/>
      <c r="C3" s="125"/>
      <c r="D3" s="114"/>
    </row>
    <row r="5" spans="1:15" s="3" customFormat="1" x14ac:dyDescent="0.25">
      <c r="A5" s="135" t="s">
        <v>1085</v>
      </c>
      <c r="B5" s="134"/>
      <c r="C5" s="13"/>
      <c r="K5" s="10"/>
      <c r="N5" s="13"/>
    </row>
    <row r="6" spans="1:15" x14ac:dyDescent="0.25">
      <c r="A6" s="12" t="s">
        <v>1123</v>
      </c>
      <c r="B6" s="10"/>
      <c r="L6" s="4"/>
    </row>
    <row r="7" spans="1:15" x14ac:dyDescent="0.25">
      <c r="A7" s="12" t="s">
        <v>1124</v>
      </c>
      <c r="B7" s="10"/>
      <c r="L7" s="4"/>
    </row>
    <row r="8" spans="1:15" x14ac:dyDescent="0.25">
      <c r="A8" s="12" t="s">
        <v>1125</v>
      </c>
      <c r="B8" s="139"/>
      <c r="L8" s="4"/>
    </row>
    <row r="10" spans="1:15" s="87" customFormat="1" ht="12.75" x14ac:dyDescent="0.2">
      <c r="A10" s="135" t="s">
        <v>1096</v>
      </c>
      <c r="B10" s="135"/>
      <c r="C10" s="88"/>
      <c r="K10" s="89"/>
      <c r="N10" s="88"/>
    </row>
    <row r="11" spans="1:15" x14ac:dyDescent="0.25">
      <c r="A11" s="12">
        <v>1</v>
      </c>
      <c r="B11" s="12" t="s">
        <v>1086</v>
      </c>
      <c r="C11" s="48"/>
      <c r="D11" t="s">
        <v>1508</v>
      </c>
      <c r="L11" s="4"/>
    </row>
    <row r="12" spans="1:15" x14ac:dyDescent="0.25">
      <c r="A12" s="12">
        <v>2</v>
      </c>
      <c r="B12" s="12" t="s">
        <v>1087</v>
      </c>
      <c r="C12" s="48"/>
      <c r="D12" t="s">
        <v>1509</v>
      </c>
      <c r="L12" s="4"/>
    </row>
    <row r="13" spans="1:15" x14ac:dyDescent="0.25">
      <c r="A13" s="12">
        <v>3</v>
      </c>
      <c r="B13" s="12" t="s">
        <v>1088</v>
      </c>
      <c r="C13" s="48"/>
      <c r="D13" t="s">
        <v>1510</v>
      </c>
      <c r="L13" s="4"/>
    </row>
    <row r="14" spans="1:15" x14ac:dyDescent="0.25">
      <c r="A14" s="12">
        <v>4</v>
      </c>
      <c r="B14" s="12" t="s">
        <v>1089</v>
      </c>
      <c r="C14" s="48"/>
      <c r="D14" t="s">
        <v>1511</v>
      </c>
      <c r="L14" s="4"/>
    </row>
    <row r="15" spans="1:15" x14ac:dyDescent="0.25">
      <c r="A15" s="12">
        <v>5</v>
      </c>
      <c r="B15" s="12" t="s">
        <v>1090</v>
      </c>
      <c r="C15" s="48"/>
      <c r="D15" t="s">
        <v>1519</v>
      </c>
      <c r="L15" s="4"/>
    </row>
    <row r="16" spans="1:15" x14ac:dyDescent="0.25">
      <c r="A16" s="12">
        <v>6</v>
      </c>
      <c r="B16" s="12" t="s">
        <v>1091</v>
      </c>
      <c r="C16" s="48"/>
      <c r="D16" t="s">
        <v>1512</v>
      </c>
      <c r="L16" s="4"/>
    </row>
    <row r="17" spans="1:14" x14ac:dyDescent="0.25">
      <c r="A17" s="12">
        <v>7</v>
      </c>
      <c r="B17" s="12" t="s">
        <v>1092</v>
      </c>
      <c r="C17" s="48"/>
      <c r="D17" t="s">
        <v>1513</v>
      </c>
      <c r="L17" s="4"/>
    </row>
    <row r="18" spans="1:14" x14ac:dyDescent="0.25">
      <c r="A18" s="12">
        <v>8</v>
      </c>
      <c r="B18" s="12" t="s">
        <v>1093</v>
      </c>
      <c r="C18" s="48"/>
      <c r="D18" t="s">
        <v>1514</v>
      </c>
      <c r="L18" s="4"/>
    </row>
    <row r="19" spans="1:14" x14ac:dyDescent="0.25">
      <c r="A19" s="12">
        <v>9</v>
      </c>
      <c r="B19" s="12" t="s">
        <v>1094</v>
      </c>
      <c r="C19" s="48"/>
      <c r="D19" t="s">
        <v>1515</v>
      </c>
      <c r="L19" s="4"/>
    </row>
    <row r="20" spans="1:14" x14ac:dyDescent="0.25">
      <c r="A20" s="12">
        <v>10</v>
      </c>
      <c r="B20" s="12" t="s">
        <v>1095</v>
      </c>
      <c r="C20" s="48"/>
      <c r="D20" t="s">
        <v>1516</v>
      </c>
      <c r="L20" s="4"/>
    </row>
    <row r="21" spans="1:14" x14ac:dyDescent="0.25">
      <c r="D21" t="s">
        <v>1238</v>
      </c>
    </row>
    <row r="22" spans="1:14" s="87" customFormat="1" x14ac:dyDescent="0.25">
      <c r="A22" s="135" t="s">
        <v>1097</v>
      </c>
      <c r="B22" s="135"/>
      <c r="C22" s="88"/>
      <c r="D22" s="87" t="s">
        <v>1238</v>
      </c>
      <c r="E22"/>
      <c r="K22" s="89"/>
      <c r="N22" s="88"/>
    </row>
    <row r="23" spans="1:14" s="178" customFormat="1" x14ac:dyDescent="0.25">
      <c r="A23" s="178">
        <v>1</v>
      </c>
      <c r="B23" s="178" t="s">
        <v>1562</v>
      </c>
      <c r="C23" s="176"/>
      <c r="D23" s="178" t="s">
        <v>1328</v>
      </c>
      <c r="K23" s="179"/>
      <c r="L23" s="179"/>
    </row>
    <row r="24" spans="1:14" s="178" customFormat="1" x14ac:dyDescent="0.25">
      <c r="A24" s="178">
        <v>2</v>
      </c>
      <c r="B24" s="178" t="s">
        <v>1562</v>
      </c>
      <c r="C24" s="176"/>
      <c r="D24" s="178" t="s">
        <v>1328</v>
      </c>
      <c r="K24" s="179"/>
      <c r="L24" s="179"/>
    </row>
    <row r="25" spans="1:14" s="178" customFormat="1" x14ac:dyDescent="0.25">
      <c r="A25" s="178">
        <v>3</v>
      </c>
      <c r="B25" s="178" t="s">
        <v>1562</v>
      </c>
      <c r="C25" s="176"/>
      <c r="D25" s="178" t="s">
        <v>1328</v>
      </c>
      <c r="K25" s="179"/>
      <c r="L25" s="179"/>
    </row>
    <row r="26" spans="1:14" s="178" customFormat="1" x14ac:dyDescent="0.25">
      <c r="A26" s="178">
        <v>4</v>
      </c>
      <c r="B26" s="178" t="s">
        <v>1562</v>
      </c>
      <c r="C26" s="176"/>
      <c r="D26" s="178" t="s">
        <v>1328</v>
      </c>
      <c r="K26" s="179"/>
      <c r="L26" s="179"/>
    </row>
    <row r="27" spans="1:14" s="178" customFormat="1" x14ac:dyDescent="0.25">
      <c r="A27" s="178">
        <v>5</v>
      </c>
      <c r="B27" s="178" t="s">
        <v>1562</v>
      </c>
      <c r="C27" s="176"/>
      <c r="D27" s="178" t="s">
        <v>1328</v>
      </c>
      <c r="K27" s="179"/>
      <c r="L27" s="179"/>
    </row>
    <row r="28" spans="1:14" x14ac:dyDescent="0.25">
      <c r="A28" s="12">
        <v>6</v>
      </c>
      <c r="B28" s="12" t="s">
        <v>1560</v>
      </c>
      <c r="C28" s="48"/>
      <c r="D28" t="s">
        <v>1561</v>
      </c>
      <c r="L28" s="4"/>
    </row>
    <row r="29" spans="1:14" s="178" customFormat="1" x14ac:dyDescent="0.25">
      <c r="A29" s="178">
        <v>7</v>
      </c>
      <c r="B29" s="178" t="s">
        <v>1562</v>
      </c>
      <c r="C29" s="176"/>
      <c r="D29" s="178" t="s">
        <v>1328</v>
      </c>
      <c r="K29" s="179"/>
      <c r="L29" s="179"/>
    </row>
    <row r="30" spans="1:14" s="178" customFormat="1" x14ac:dyDescent="0.25">
      <c r="A30" s="178">
        <v>8</v>
      </c>
      <c r="B30" s="178" t="s">
        <v>1562</v>
      </c>
      <c r="C30" s="176"/>
      <c r="D30" s="178" t="s">
        <v>1328</v>
      </c>
      <c r="K30" s="179"/>
      <c r="L30" s="179"/>
    </row>
    <row r="31" spans="1:14" x14ac:dyDescent="0.25">
      <c r="A31" s="12">
        <v>9</v>
      </c>
      <c r="B31" s="12" t="s">
        <v>1098</v>
      </c>
      <c r="C31" s="48"/>
      <c r="D31" t="s">
        <v>1517</v>
      </c>
      <c r="L31" s="4"/>
    </row>
    <row r="32" spans="1:14" x14ac:dyDescent="0.25">
      <c r="A32" s="12">
        <v>10</v>
      </c>
      <c r="B32" s="12" t="s">
        <v>1099</v>
      </c>
      <c r="C32" s="48"/>
      <c r="D32" t="s">
        <v>1518</v>
      </c>
      <c r="L32" s="4"/>
    </row>
    <row r="33" spans="1:14" x14ac:dyDescent="0.25">
      <c r="D33" t="s">
        <v>1238</v>
      </c>
    </row>
    <row r="34" spans="1:14" s="87" customFormat="1" x14ac:dyDescent="0.25">
      <c r="A34" s="135" t="s">
        <v>1100</v>
      </c>
      <c r="B34" s="135"/>
      <c r="C34" s="88"/>
      <c r="D34" s="87" t="s">
        <v>1238</v>
      </c>
      <c r="E34"/>
      <c r="K34" s="89"/>
      <c r="N34" s="88"/>
    </row>
    <row r="35" spans="1:14" x14ac:dyDescent="0.25">
      <c r="A35" s="138">
        <v>42024</v>
      </c>
      <c r="D35" t="s">
        <v>1328</v>
      </c>
      <c r="L35" s="4"/>
    </row>
    <row r="36" spans="1:14" x14ac:dyDescent="0.25">
      <c r="D36" t="s">
        <v>1238</v>
      </c>
      <c r="L36" s="4"/>
    </row>
    <row r="37" spans="1:14" x14ac:dyDescent="0.25">
      <c r="A37" s="135" t="s">
        <v>1101</v>
      </c>
      <c r="B37" s="135"/>
      <c r="C37" s="88"/>
      <c r="D37" s="87" t="s">
        <v>1238</v>
      </c>
      <c r="L37" s="4"/>
    </row>
    <row r="38" spans="1:14" x14ac:dyDescent="0.25">
      <c r="A38" s="12">
        <v>1</v>
      </c>
      <c r="B38" s="12" t="s">
        <v>1102</v>
      </c>
      <c r="D38" t="s">
        <v>1329</v>
      </c>
      <c r="L38" s="4"/>
    </row>
    <row r="39" spans="1:14" x14ac:dyDescent="0.25">
      <c r="A39" s="12">
        <v>2</v>
      </c>
      <c r="B39" s="12" t="s">
        <v>1103</v>
      </c>
      <c r="D39" t="s">
        <v>1329</v>
      </c>
      <c r="L39" s="4"/>
    </row>
    <row r="40" spans="1:14" x14ac:dyDescent="0.25">
      <c r="A40" s="12">
        <v>3</v>
      </c>
      <c r="B40" s="12" t="s">
        <v>1104</v>
      </c>
      <c r="D40" t="s">
        <v>1329</v>
      </c>
      <c r="L40" s="4"/>
    </row>
    <row r="41" spans="1:14" x14ac:dyDescent="0.25">
      <c r="A41" s="12">
        <v>4</v>
      </c>
      <c r="B41" s="12" t="s">
        <v>1105</v>
      </c>
      <c r="D41" t="s">
        <v>1329</v>
      </c>
      <c r="L41" s="4"/>
    </row>
    <row r="42" spans="1:14" x14ac:dyDescent="0.25">
      <c r="A42" s="12">
        <v>5</v>
      </c>
      <c r="B42" s="12" t="s">
        <v>1106</v>
      </c>
      <c r="D42" t="s">
        <v>1329</v>
      </c>
      <c r="L42" s="4"/>
    </row>
    <row r="43" spans="1:14" x14ac:dyDescent="0.25">
      <c r="A43" s="12">
        <v>6</v>
      </c>
      <c r="B43" s="12" t="s">
        <v>1107</v>
      </c>
      <c r="D43" t="s">
        <v>1329</v>
      </c>
    </row>
    <row r="44" spans="1:14" x14ac:dyDescent="0.25">
      <c r="A44" s="12">
        <v>7</v>
      </c>
      <c r="B44" s="12" t="s">
        <v>1108</v>
      </c>
      <c r="D44" t="s">
        <v>1329</v>
      </c>
    </row>
    <row r="45" spans="1:14" x14ac:dyDescent="0.25">
      <c r="A45" s="12">
        <v>8</v>
      </c>
      <c r="B45" s="12" t="s">
        <v>1109</v>
      </c>
      <c r="D45" t="s">
        <v>1329</v>
      </c>
    </row>
    <row r="46" spans="1:14" x14ac:dyDescent="0.25">
      <c r="A46" s="12">
        <v>9</v>
      </c>
      <c r="B46" s="12" t="s">
        <v>1110</v>
      </c>
      <c r="D46" t="s">
        <v>1329</v>
      </c>
    </row>
    <row r="47" spans="1:14" x14ac:dyDescent="0.25">
      <c r="A47" s="12">
        <v>10</v>
      </c>
      <c r="B47" s="12" t="s">
        <v>1111</v>
      </c>
      <c r="D47" t="s">
        <v>1329</v>
      </c>
    </row>
    <row r="48" spans="1:14" x14ac:dyDescent="0.25">
      <c r="D48" t="s">
        <v>1238</v>
      </c>
    </row>
    <row r="49" spans="1:4" x14ac:dyDescent="0.25">
      <c r="A49" s="135" t="s">
        <v>1112</v>
      </c>
      <c r="B49" s="135"/>
      <c r="C49" s="88"/>
      <c r="D49" s="87" t="s">
        <v>1238</v>
      </c>
    </row>
    <row r="50" spans="1:4" x14ac:dyDescent="0.25">
      <c r="A50" s="12">
        <v>1</v>
      </c>
      <c r="B50" s="12" t="s">
        <v>1113</v>
      </c>
      <c r="C50" s="48"/>
      <c r="D50" t="s">
        <v>1330</v>
      </c>
    </row>
    <row r="51" spans="1:4" x14ac:dyDescent="0.25">
      <c r="A51" s="12">
        <v>2</v>
      </c>
      <c r="B51" s="12" t="s">
        <v>1114</v>
      </c>
      <c r="C51" s="48"/>
      <c r="D51" t="s">
        <v>1330</v>
      </c>
    </row>
    <row r="52" spans="1:4" x14ac:dyDescent="0.25">
      <c r="A52" s="12">
        <v>3</v>
      </c>
      <c r="B52" s="12" t="s">
        <v>1115</v>
      </c>
      <c r="C52" s="48"/>
      <c r="D52" t="s">
        <v>1330</v>
      </c>
    </row>
    <row r="53" spans="1:4" x14ac:dyDescent="0.25">
      <c r="A53" s="12">
        <v>4</v>
      </c>
      <c r="B53" s="12" t="s">
        <v>1116</v>
      </c>
      <c r="C53" s="48"/>
      <c r="D53" t="s">
        <v>1330</v>
      </c>
    </row>
    <row r="54" spans="1:4" x14ac:dyDescent="0.25">
      <c r="A54" s="12">
        <v>5</v>
      </c>
      <c r="B54" s="12" t="s">
        <v>1117</v>
      </c>
      <c r="C54" s="48"/>
      <c r="D54" t="s">
        <v>1330</v>
      </c>
    </row>
    <row r="55" spans="1:4" x14ac:dyDescent="0.25">
      <c r="A55" s="12">
        <v>6</v>
      </c>
      <c r="B55" s="12" t="s">
        <v>1118</v>
      </c>
      <c r="C55" s="48"/>
      <c r="D55" t="s">
        <v>1330</v>
      </c>
    </row>
    <row r="56" spans="1:4" x14ac:dyDescent="0.25">
      <c r="A56" s="12">
        <v>7</v>
      </c>
      <c r="B56" s="12" t="s">
        <v>1119</v>
      </c>
      <c r="C56" s="48"/>
      <c r="D56" t="s">
        <v>1330</v>
      </c>
    </row>
    <row r="57" spans="1:4" x14ac:dyDescent="0.25">
      <c r="A57" s="12">
        <v>8</v>
      </c>
      <c r="B57" s="12" t="s">
        <v>1120</v>
      </c>
      <c r="C57" s="48"/>
      <c r="D57" t="s">
        <v>1330</v>
      </c>
    </row>
    <row r="58" spans="1:4" x14ac:dyDescent="0.25">
      <c r="A58" s="12">
        <v>9</v>
      </c>
      <c r="B58" s="12" t="s">
        <v>1121</v>
      </c>
      <c r="C58" s="48"/>
      <c r="D58" t="s">
        <v>1330</v>
      </c>
    </row>
    <row r="59" spans="1:4" x14ac:dyDescent="0.25">
      <c r="A59" s="12">
        <v>10</v>
      </c>
      <c r="B59" s="12" t="s">
        <v>1122</v>
      </c>
      <c r="C59" s="48"/>
      <c r="D59" t="s">
        <v>1330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81921" r:id="rId4" name="cmdWrite">
          <controlPr defaultSize="0" autoLine="0" r:id="rId5">
            <anchor moveWithCells="1">
              <from>
                <xdr:col>8</xdr:col>
                <xdr:colOff>504825</xdr:colOff>
                <xdr:row>0</xdr:row>
                <xdr:rowOff>285750</xdr:rowOff>
              </from>
              <to>
                <xdr:col>10</xdr:col>
                <xdr:colOff>304800</xdr:colOff>
                <xdr:row>2</xdr:row>
                <xdr:rowOff>28575</xdr:rowOff>
              </to>
            </anchor>
          </controlPr>
        </control>
      </mc:Choice>
      <mc:Fallback>
        <control shapeId="81921" r:id="rId4" name="cmdWrite"/>
      </mc:Fallback>
    </mc:AlternateContent>
    <mc:AlternateContent xmlns:mc="http://schemas.openxmlformats.org/markup-compatibility/2006">
      <mc:Choice Requires="x14">
        <control shapeId="81922" r:id="rId6" name="cmdRead">
          <controlPr defaultSize="0" autoLine="0" r:id="rId7">
            <anchor moveWithCells="1">
              <from>
                <xdr:col>7</xdr:col>
                <xdr:colOff>38100</xdr:colOff>
                <xdr:row>0</xdr:row>
                <xdr:rowOff>285750</xdr:rowOff>
              </from>
              <to>
                <xdr:col>8</xdr:col>
                <xdr:colOff>447675</xdr:colOff>
                <xdr:row>2</xdr:row>
                <xdr:rowOff>28575</xdr:rowOff>
              </to>
            </anchor>
          </controlPr>
        </control>
      </mc:Choice>
      <mc:Fallback>
        <control shapeId="81922" r:id="rId6" name="cmdRead"/>
      </mc:Fallback>
    </mc:AlternateContent>
    <mc:AlternateContent xmlns:mc="http://schemas.openxmlformats.org/markup-compatibility/2006">
      <mc:Choice Requires="x14">
        <control shapeId="81923" r:id="rId8" name="cmdRun">
          <controlPr defaultSize="0" autoLine="0" r:id="rId9">
            <anchor moveWithCells="1">
              <from>
                <xdr:col>10</xdr:col>
                <xdr:colOff>400050</xdr:colOff>
                <xdr:row>0</xdr:row>
                <xdr:rowOff>285750</xdr:rowOff>
              </from>
              <to>
                <xdr:col>12</xdr:col>
                <xdr:colOff>219075</xdr:colOff>
                <xdr:row>2</xdr:row>
                <xdr:rowOff>28575</xdr:rowOff>
              </to>
            </anchor>
          </controlPr>
        </control>
      </mc:Choice>
      <mc:Fallback>
        <control shapeId="81923" r:id="rId8" name="cmdRun"/>
      </mc:Fallback>
    </mc:AlternateContent>
    <mc:AlternateContent xmlns:mc="http://schemas.openxmlformats.org/markup-compatibility/2006">
      <mc:Choice Requires="x14">
        <control shapeId="81924" r:id="rId10" name="cmbBoxSit">
          <controlPr defaultSize="0" autoLine="0" linkedCell="B2" r:id="rId11">
            <anchor moveWithCells="1">
              <from>
                <xdr:col>1</xdr:col>
                <xdr:colOff>19050</xdr:colOff>
                <xdr:row>1</xdr:row>
                <xdr:rowOff>19050</xdr:rowOff>
              </from>
              <to>
                <xdr:col>3</xdr:col>
                <xdr:colOff>57150</xdr:colOff>
                <xdr:row>2</xdr:row>
                <xdr:rowOff>9525</xdr:rowOff>
              </to>
            </anchor>
          </controlPr>
        </control>
      </mc:Choice>
      <mc:Fallback>
        <control shapeId="81924" r:id="rId10" name="cmbBoxSit"/>
      </mc:Fallback>
    </mc:AlternateContent>
    <mc:AlternateContent xmlns:mc="http://schemas.openxmlformats.org/markup-compatibility/2006">
      <mc:Choice Requires="x14">
        <control shapeId="81925" r:id="rId12" name="cmdGetSit">
          <controlPr defaultSize="0" autoLine="0" r:id="rId13">
            <anchor moveWithCells="1">
              <from>
                <xdr:col>5</xdr:col>
                <xdr:colOff>123825</xdr:colOff>
                <xdr:row>0</xdr:row>
                <xdr:rowOff>285750</xdr:rowOff>
              </from>
              <to>
                <xdr:col>6</xdr:col>
                <xdr:colOff>533400</xdr:colOff>
                <xdr:row>2</xdr:row>
                <xdr:rowOff>28575</xdr:rowOff>
              </to>
            </anchor>
          </controlPr>
        </control>
      </mc:Choice>
      <mc:Fallback>
        <control shapeId="81925" r:id="rId12" name="cmdGetSit"/>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1:Y148"/>
  <sheetViews>
    <sheetView tabSelected="1" zoomScaleNormal="100" workbookViewId="0">
      <pane ySplit="3" topLeftCell="A67" activePane="bottomLeft" state="frozen"/>
      <selection pane="bottomLeft" activeCell="Y90" sqref="Y90"/>
    </sheetView>
  </sheetViews>
  <sheetFormatPr defaultRowHeight="15" x14ac:dyDescent="0.25"/>
  <cols>
    <col min="1" max="1" width="12.140625" style="95" customWidth="1"/>
    <col min="7" max="7" width="9.140625" customWidth="1"/>
    <col min="10" max="10" width="9.140625" style="9"/>
    <col min="22" max="22" width="9.85546875" bestFit="1" customWidth="1"/>
    <col min="23" max="23" width="14.28515625" bestFit="1" customWidth="1"/>
    <col min="24" max="24" width="8.7109375" bestFit="1" customWidth="1"/>
    <col min="25" max="25" width="45.85546875" customWidth="1"/>
  </cols>
  <sheetData>
    <row r="1" spans="1:25" ht="21" x14ac:dyDescent="0.25">
      <c r="A1" s="129" t="s">
        <v>981</v>
      </c>
    </row>
    <row r="2" spans="1:25" x14ac:dyDescent="0.25">
      <c r="A2" s="92" t="s">
        <v>984</v>
      </c>
      <c r="B2" s="93"/>
      <c r="C2" s="94" t="s">
        <v>985</v>
      </c>
    </row>
    <row r="3" spans="1:25" x14ac:dyDescent="0.25">
      <c r="V3" s="8" t="s">
        <v>219</v>
      </c>
      <c r="W3" s="8" t="s">
        <v>220</v>
      </c>
      <c r="X3" s="8" t="s">
        <v>222</v>
      </c>
      <c r="Y3" s="8" t="s">
        <v>221</v>
      </c>
    </row>
    <row r="4" spans="1:25" ht="15.6" customHeight="1" x14ac:dyDescent="0.25">
      <c r="A4" s="95" t="s">
        <v>524</v>
      </c>
      <c r="B4" t="s">
        <v>525</v>
      </c>
      <c r="C4" t="s">
        <v>526</v>
      </c>
      <c r="J4"/>
      <c r="V4">
        <v>1</v>
      </c>
      <c r="W4" s="1" t="s">
        <v>223</v>
      </c>
      <c r="X4" s="173" t="s">
        <v>1522</v>
      </c>
      <c r="Y4" t="s">
        <v>224</v>
      </c>
    </row>
    <row r="5" spans="1:25" ht="14.45" customHeight="1" x14ac:dyDescent="0.25">
      <c r="C5" t="s">
        <v>527</v>
      </c>
      <c r="J5"/>
      <c r="V5">
        <v>2</v>
      </c>
      <c r="W5" s="1" t="s">
        <v>225</v>
      </c>
      <c r="X5" s="173" t="s">
        <v>1522</v>
      </c>
      <c r="Y5" t="s">
        <v>226</v>
      </c>
    </row>
    <row r="6" spans="1:25" ht="15.95" customHeight="1" x14ac:dyDescent="0.25">
      <c r="A6" s="96">
        <v>1</v>
      </c>
      <c r="B6" s="15">
        <v>2</v>
      </c>
      <c r="C6" s="15">
        <v>3</v>
      </c>
      <c r="D6" s="15">
        <v>4</v>
      </c>
      <c r="E6" s="15">
        <v>5</v>
      </c>
      <c r="F6" s="15">
        <v>6</v>
      </c>
      <c r="G6" s="15">
        <v>10</v>
      </c>
      <c r="H6" s="15">
        <v>11</v>
      </c>
      <c r="I6" s="15">
        <v>12</v>
      </c>
      <c r="J6" s="15">
        <v>13</v>
      </c>
      <c r="K6" s="15">
        <v>14</v>
      </c>
      <c r="L6" s="15">
        <v>15</v>
      </c>
      <c r="M6" s="15">
        <v>16</v>
      </c>
      <c r="N6" s="15">
        <v>17</v>
      </c>
      <c r="O6" s="15">
        <v>18</v>
      </c>
      <c r="P6" s="15">
        <v>19</v>
      </c>
      <c r="Q6" s="15">
        <v>24</v>
      </c>
      <c r="R6" s="15">
        <v>25</v>
      </c>
      <c r="S6" s="15">
        <v>26</v>
      </c>
      <c r="T6" s="15">
        <v>27</v>
      </c>
      <c r="U6" s="17" t="s">
        <v>632</v>
      </c>
      <c r="V6">
        <v>3</v>
      </c>
      <c r="W6" s="1" t="s">
        <v>227</v>
      </c>
      <c r="X6" t="s">
        <v>229</v>
      </c>
      <c r="Y6" t="s">
        <v>228</v>
      </c>
    </row>
    <row r="7" spans="1:25" ht="14.45" customHeight="1" x14ac:dyDescent="0.25">
      <c r="A7" s="96">
        <v>29</v>
      </c>
      <c r="B7" s="15">
        <v>30</v>
      </c>
      <c r="C7" s="15">
        <v>31</v>
      </c>
      <c r="D7" s="15">
        <v>37</v>
      </c>
      <c r="E7" s="15">
        <v>38</v>
      </c>
      <c r="F7" s="15">
        <v>39</v>
      </c>
      <c r="G7" s="15">
        <v>40</v>
      </c>
      <c r="H7" s="15">
        <v>41</v>
      </c>
      <c r="I7" s="15">
        <v>42</v>
      </c>
      <c r="J7" s="15">
        <v>43</v>
      </c>
      <c r="K7" s="15">
        <v>44</v>
      </c>
      <c r="L7" s="15">
        <v>45</v>
      </c>
      <c r="M7" s="15">
        <v>46</v>
      </c>
      <c r="N7" s="15">
        <v>47</v>
      </c>
      <c r="O7" s="15">
        <v>48</v>
      </c>
      <c r="P7" s="15">
        <v>49</v>
      </c>
      <c r="Q7" s="15">
        <v>50</v>
      </c>
      <c r="R7" s="15">
        <v>51</v>
      </c>
      <c r="S7" s="15">
        <v>52</v>
      </c>
      <c r="T7" s="15">
        <v>53</v>
      </c>
      <c r="U7" s="17" t="s">
        <v>632</v>
      </c>
      <c r="V7">
        <v>4</v>
      </c>
      <c r="W7" s="202" t="s">
        <v>230</v>
      </c>
      <c r="X7" s="203" t="s">
        <v>232</v>
      </c>
      <c r="Y7" s="203" t="s">
        <v>231</v>
      </c>
    </row>
    <row r="8" spans="1:25" ht="14.45" customHeight="1" x14ac:dyDescent="0.25">
      <c r="A8" s="96">
        <v>54</v>
      </c>
      <c r="B8" s="15">
        <v>55</v>
      </c>
      <c r="C8" s="15">
        <v>56</v>
      </c>
      <c r="D8" s="15">
        <v>57</v>
      </c>
      <c r="E8" s="15">
        <v>64</v>
      </c>
      <c r="F8" s="15">
        <v>65</v>
      </c>
      <c r="G8" s="15">
        <v>66</v>
      </c>
      <c r="H8" s="15">
        <v>67</v>
      </c>
      <c r="I8" s="15">
        <v>71</v>
      </c>
      <c r="J8" s="15">
        <v>72</v>
      </c>
      <c r="K8" s="15">
        <v>73</v>
      </c>
      <c r="L8" s="15">
        <v>74</v>
      </c>
      <c r="M8" s="15">
        <v>75</v>
      </c>
      <c r="N8" s="15">
        <v>76</v>
      </c>
      <c r="O8" s="15">
        <v>77</v>
      </c>
      <c r="P8" s="15">
        <v>78</v>
      </c>
      <c r="Q8" s="15">
        <v>81</v>
      </c>
      <c r="R8" s="15">
        <v>83</v>
      </c>
      <c r="S8" s="15">
        <v>84</v>
      </c>
      <c r="T8" s="15">
        <v>85</v>
      </c>
      <c r="U8" s="17" t="s">
        <v>632</v>
      </c>
      <c r="V8">
        <v>5</v>
      </c>
      <c r="W8" t="s">
        <v>233</v>
      </c>
      <c r="X8" t="s">
        <v>232</v>
      </c>
      <c r="Y8" t="s">
        <v>234</v>
      </c>
    </row>
    <row r="9" spans="1:25" ht="14.45" customHeight="1" x14ac:dyDescent="0.25">
      <c r="A9" s="96">
        <v>88</v>
      </c>
      <c r="B9" s="15">
        <v>91</v>
      </c>
      <c r="C9" s="15">
        <v>92</v>
      </c>
      <c r="D9" s="15">
        <v>93</v>
      </c>
      <c r="E9" s="15">
        <v>94</v>
      </c>
      <c r="F9" s="15">
        <v>95</v>
      </c>
      <c r="G9" s="15">
        <v>96</v>
      </c>
      <c r="H9" s="15">
        <v>98</v>
      </c>
      <c r="I9" s="15">
        <v>99</v>
      </c>
      <c r="J9" s="15">
        <v>102</v>
      </c>
      <c r="K9" s="15">
        <v>103</v>
      </c>
      <c r="L9" s="15">
        <v>104</v>
      </c>
      <c r="M9" s="15">
        <v>105</v>
      </c>
      <c r="N9" s="15">
        <v>106</v>
      </c>
      <c r="O9" s="15">
        <v>107</v>
      </c>
      <c r="P9" s="15">
        <v>108</v>
      </c>
      <c r="Q9" s="15">
        <v>110</v>
      </c>
      <c r="R9" s="15">
        <v>117</v>
      </c>
      <c r="S9" s="15">
        <v>120</v>
      </c>
      <c r="T9" s="15">
        <v>125</v>
      </c>
      <c r="U9" s="17" t="s">
        <v>632</v>
      </c>
      <c r="V9">
        <v>6</v>
      </c>
      <c r="W9" t="s">
        <v>235</v>
      </c>
      <c r="X9" t="s">
        <v>232</v>
      </c>
      <c r="Y9" t="s">
        <v>236</v>
      </c>
    </row>
    <row r="10" spans="1:25" ht="14.45" customHeight="1" x14ac:dyDescent="0.25">
      <c r="A10" s="96">
        <v>126</v>
      </c>
      <c r="B10" s="96">
        <v>127</v>
      </c>
      <c r="C10" s="96">
        <v>128</v>
      </c>
      <c r="D10" s="96">
        <v>154</v>
      </c>
      <c r="E10" s="96">
        <v>134</v>
      </c>
      <c r="F10" s="96">
        <v>141</v>
      </c>
      <c r="G10" s="96">
        <v>143</v>
      </c>
      <c r="H10" s="96">
        <v>146</v>
      </c>
      <c r="I10" s="96">
        <v>147</v>
      </c>
      <c r="J10" s="96">
        <v>148</v>
      </c>
      <c r="K10" s="96">
        <v>156</v>
      </c>
      <c r="L10" s="96"/>
      <c r="M10" s="96"/>
      <c r="N10" s="96"/>
      <c r="O10" s="96"/>
      <c r="P10" s="96"/>
      <c r="Q10" s="96"/>
      <c r="R10" s="96"/>
      <c r="S10" s="96"/>
      <c r="T10" s="96"/>
      <c r="U10" s="17" t="s">
        <v>632</v>
      </c>
      <c r="V10">
        <v>7</v>
      </c>
      <c r="W10" t="s">
        <v>237</v>
      </c>
      <c r="X10" t="s">
        <v>239</v>
      </c>
      <c r="Y10" t="s">
        <v>238</v>
      </c>
    </row>
    <row r="11" spans="1:25" ht="14.45" customHeight="1" x14ac:dyDescent="0.25">
      <c r="V11">
        <v>8</v>
      </c>
      <c r="W11" s="1" t="s">
        <v>240</v>
      </c>
      <c r="Y11" t="s">
        <v>241</v>
      </c>
    </row>
    <row r="12" spans="1:25" ht="15.6" customHeight="1" x14ac:dyDescent="0.25">
      <c r="A12" s="95" t="s">
        <v>528</v>
      </c>
      <c r="B12" t="s">
        <v>529</v>
      </c>
      <c r="C12" t="s">
        <v>530</v>
      </c>
      <c r="J12"/>
      <c r="V12">
        <v>9</v>
      </c>
      <c r="W12" s="1" t="s">
        <v>242</v>
      </c>
      <c r="X12" t="s">
        <v>244</v>
      </c>
      <c r="Y12" t="s">
        <v>243</v>
      </c>
    </row>
    <row r="13" spans="1:25" ht="14.45" customHeight="1" x14ac:dyDescent="0.25">
      <c r="C13" t="s">
        <v>531</v>
      </c>
      <c r="J13"/>
      <c r="V13">
        <v>10</v>
      </c>
      <c r="W13" s="204" t="s">
        <v>245</v>
      </c>
      <c r="X13" s="93" t="s">
        <v>232</v>
      </c>
      <c r="Y13" s="93" t="s">
        <v>246</v>
      </c>
    </row>
    <row r="14" spans="1:25" ht="14.45" customHeight="1" x14ac:dyDescent="0.25">
      <c r="A14" s="96">
        <v>38</v>
      </c>
      <c r="B14" s="15">
        <v>39</v>
      </c>
      <c r="C14" s="15">
        <v>40</v>
      </c>
      <c r="D14" s="15">
        <v>49</v>
      </c>
      <c r="E14" s="17"/>
      <c r="F14" s="15"/>
      <c r="G14" s="15"/>
      <c r="H14" s="15"/>
      <c r="I14" s="15"/>
      <c r="J14" s="15"/>
      <c r="K14" s="15"/>
      <c r="L14" s="15"/>
      <c r="M14" s="15"/>
      <c r="N14" s="15"/>
      <c r="O14" s="15"/>
      <c r="P14" s="15"/>
      <c r="Q14" s="15"/>
      <c r="R14" s="15"/>
      <c r="S14" s="15"/>
      <c r="T14" s="15"/>
      <c r="V14">
        <v>11</v>
      </c>
      <c r="W14" s="202" t="s">
        <v>247</v>
      </c>
      <c r="X14" s="203" t="s">
        <v>232</v>
      </c>
      <c r="Y14" s="203" t="s">
        <v>248</v>
      </c>
    </row>
    <row r="15" spans="1:25" ht="14.45" customHeight="1" x14ac:dyDescent="0.25">
      <c r="J15"/>
      <c r="V15">
        <v>12</v>
      </c>
      <c r="W15" s="202" t="s">
        <v>249</v>
      </c>
      <c r="X15" s="203" t="s">
        <v>232</v>
      </c>
      <c r="Y15" s="203" t="s">
        <v>250</v>
      </c>
    </row>
    <row r="16" spans="1:25" ht="15.6" customHeight="1" x14ac:dyDescent="0.25">
      <c r="A16" s="95" t="s">
        <v>532</v>
      </c>
      <c r="B16" t="s">
        <v>533</v>
      </c>
      <c r="C16" t="s">
        <v>534</v>
      </c>
      <c r="J16"/>
      <c r="V16">
        <v>13</v>
      </c>
      <c r="W16" s="202" t="s">
        <v>251</v>
      </c>
      <c r="X16" s="203" t="s">
        <v>232</v>
      </c>
      <c r="Y16" s="203" t="s">
        <v>252</v>
      </c>
    </row>
    <row r="17" spans="1:25" ht="14.45" customHeight="1" x14ac:dyDescent="0.25">
      <c r="C17" t="s">
        <v>535</v>
      </c>
      <c r="J17"/>
      <c r="V17">
        <v>14</v>
      </c>
      <c r="W17" t="s">
        <v>253</v>
      </c>
      <c r="Y17" t="s">
        <v>254</v>
      </c>
    </row>
    <row r="18" spans="1:25" ht="14.45" customHeight="1" x14ac:dyDescent="0.25">
      <c r="A18" s="96">
        <v>1</v>
      </c>
      <c r="B18" s="15">
        <v>2</v>
      </c>
      <c r="C18" s="15">
        <v>3</v>
      </c>
      <c r="D18" s="15">
        <v>4</v>
      </c>
      <c r="E18" s="15">
        <v>5</v>
      </c>
      <c r="F18" s="15">
        <v>6</v>
      </c>
      <c r="G18" s="15">
        <v>7</v>
      </c>
      <c r="H18" s="15">
        <v>8</v>
      </c>
      <c r="I18" s="15">
        <v>9</v>
      </c>
      <c r="J18" s="15">
        <v>10</v>
      </c>
      <c r="K18" s="15">
        <v>11</v>
      </c>
      <c r="L18" s="15">
        <v>12</v>
      </c>
      <c r="M18" s="15">
        <v>13</v>
      </c>
      <c r="N18" s="15">
        <v>14</v>
      </c>
      <c r="O18" s="15">
        <v>15</v>
      </c>
      <c r="P18" s="15">
        <v>16</v>
      </c>
      <c r="Q18" s="15">
        <v>17</v>
      </c>
      <c r="R18" s="15">
        <v>18</v>
      </c>
      <c r="S18" s="15">
        <v>19</v>
      </c>
      <c r="T18" s="15">
        <v>20</v>
      </c>
      <c r="U18" s="17" t="s">
        <v>632</v>
      </c>
      <c r="V18">
        <v>15</v>
      </c>
      <c r="W18" s="203" t="s">
        <v>255</v>
      </c>
      <c r="X18" s="203" t="s">
        <v>232</v>
      </c>
      <c r="Y18" s="203" t="s">
        <v>256</v>
      </c>
    </row>
    <row r="19" spans="1:25" ht="14.45" customHeight="1" x14ac:dyDescent="0.25">
      <c r="A19" s="95">
        <v>4</v>
      </c>
      <c r="B19">
        <v>5</v>
      </c>
      <c r="C19">
        <v>6</v>
      </c>
      <c r="D19">
        <v>13</v>
      </c>
      <c r="E19">
        <v>83</v>
      </c>
      <c r="F19">
        <v>72</v>
      </c>
      <c r="G19">
        <v>117</v>
      </c>
      <c r="J19"/>
      <c r="V19">
        <v>16</v>
      </c>
      <c r="W19" s="203" t="s">
        <v>257</v>
      </c>
      <c r="X19" s="203" t="s">
        <v>232</v>
      </c>
      <c r="Y19" s="203" t="s">
        <v>258</v>
      </c>
    </row>
    <row r="20" spans="1:25" ht="15.6" customHeight="1" x14ac:dyDescent="0.25">
      <c r="A20" s="95" t="s">
        <v>536</v>
      </c>
      <c r="B20" t="s">
        <v>537</v>
      </c>
      <c r="C20" t="s">
        <v>538</v>
      </c>
      <c r="V20">
        <v>17</v>
      </c>
      <c r="W20" t="s">
        <v>259</v>
      </c>
      <c r="X20" t="s">
        <v>232</v>
      </c>
      <c r="Y20" t="s">
        <v>260</v>
      </c>
    </row>
    <row r="21" spans="1:25" ht="14.45" customHeight="1" x14ac:dyDescent="0.25">
      <c r="C21" t="s">
        <v>539</v>
      </c>
      <c r="V21">
        <v>18</v>
      </c>
      <c r="W21" t="s">
        <v>261</v>
      </c>
      <c r="X21" t="s">
        <v>232</v>
      </c>
      <c r="Y21" t="s">
        <v>262</v>
      </c>
    </row>
    <row r="22" spans="1:25" ht="14.45" customHeight="1" x14ac:dyDescent="0.25">
      <c r="A22" s="96">
        <v>4</v>
      </c>
      <c r="B22" s="96">
        <v>11</v>
      </c>
      <c r="C22" s="96">
        <v>12</v>
      </c>
      <c r="D22" s="96">
        <v>13</v>
      </c>
      <c r="E22" s="96">
        <v>15</v>
      </c>
      <c r="F22" s="96">
        <v>16</v>
      </c>
      <c r="G22" s="96">
        <v>19</v>
      </c>
      <c r="H22" s="96">
        <v>71</v>
      </c>
      <c r="I22" s="96">
        <v>72</v>
      </c>
      <c r="J22" s="96">
        <v>26</v>
      </c>
      <c r="K22" s="96">
        <v>27</v>
      </c>
      <c r="L22" s="96">
        <v>29</v>
      </c>
      <c r="M22" s="96">
        <v>37</v>
      </c>
      <c r="N22" s="96">
        <v>38</v>
      </c>
      <c r="O22" s="96">
        <v>39</v>
      </c>
      <c r="P22" s="96">
        <v>40</v>
      </c>
      <c r="Q22" s="96">
        <v>42</v>
      </c>
      <c r="R22" s="96">
        <v>46</v>
      </c>
      <c r="S22" s="96">
        <v>48</v>
      </c>
      <c r="T22" s="96">
        <v>74</v>
      </c>
      <c r="U22" s="17" t="s">
        <v>632</v>
      </c>
      <c r="V22">
        <v>19</v>
      </c>
      <c r="W22" s="203" t="s">
        <v>263</v>
      </c>
      <c r="X22" s="203" t="s">
        <v>232</v>
      </c>
      <c r="Y22" s="203" t="s">
        <v>264</v>
      </c>
    </row>
    <row r="23" spans="1:25" x14ac:dyDescent="0.25">
      <c r="A23" s="96">
        <v>76</v>
      </c>
      <c r="B23" s="96">
        <v>77</v>
      </c>
      <c r="C23" s="96">
        <v>104</v>
      </c>
      <c r="D23" s="96">
        <v>105</v>
      </c>
      <c r="E23" s="96">
        <v>106</v>
      </c>
      <c r="F23" s="96">
        <v>117</v>
      </c>
      <c r="G23" s="96">
        <v>120</v>
      </c>
      <c r="H23" s="96">
        <v>125</v>
      </c>
      <c r="I23" s="96">
        <v>126</v>
      </c>
      <c r="J23" s="96">
        <v>128</v>
      </c>
      <c r="K23" s="96">
        <v>64</v>
      </c>
      <c r="L23" s="96">
        <v>65</v>
      </c>
      <c r="M23" s="96">
        <v>66</v>
      </c>
      <c r="N23" s="96">
        <v>68</v>
      </c>
      <c r="O23" s="96">
        <v>69</v>
      </c>
      <c r="P23" s="96">
        <v>70</v>
      </c>
      <c r="Q23" s="96">
        <v>111</v>
      </c>
      <c r="R23" s="96">
        <v>112</v>
      </c>
      <c r="S23" s="96">
        <v>113</v>
      </c>
      <c r="T23" s="96">
        <v>114</v>
      </c>
      <c r="U23" s="17" t="s">
        <v>632</v>
      </c>
      <c r="V23">
        <v>20</v>
      </c>
      <c r="W23" t="s">
        <v>265</v>
      </c>
      <c r="X23" t="s">
        <v>232</v>
      </c>
      <c r="Y23" t="s">
        <v>266</v>
      </c>
    </row>
    <row r="24" spans="1:25" x14ac:dyDescent="0.25">
      <c r="V24">
        <v>21</v>
      </c>
      <c r="W24" t="s">
        <v>267</v>
      </c>
      <c r="X24" t="s">
        <v>232</v>
      </c>
      <c r="Y24" t="s">
        <v>268</v>
      </c>
    </row>
    <row r="25" spans="1:25" ht="15.75" x14ac:dyDescent="0.25">
      <c r="A25" s="95" t="s">
        <v>540</v>
      </c>
      <c r="B25" t="s">
        <v>541</v>
      </c>
      <c r="C25" t="s">
        <v>542</v>
      </c>
      <c r="V25">
        <v>22</v>
      </c>
      <c r="W25" t="s">
        <v>269</v>
      </c>
      <c r="X25" t="s">
        <v>232</v>
      </c>
      <c r="Y25" t="s">
        <v>270</v>
      </c>
    </row>
    <row r="26" spans="1:25" x14ac:dyDescent="0.25">
      <c r="C26" t="s">
        <v>543</v>
      </c>
      <c r="V26">
        <v>23</v>
      </c>
      <c r="W26" t="s">
        <v>271</v>
      </c>
      <c r="X26" t="s">
        <v>232</v>
      </c>
      <c r="Y26" t="s">
        <v>272</v>
      </c>
    </row>
    <row r="27" spans="1:25" x14ac:dyDescent="0.25">
      <c r="A27" s="96">
        <v>3</v>
      </c>
      <c r="B27" s="15">
        <v>4</v>
      </c>
      <c r="C27" s="15">
        <v>10</v>
      </c>
      <c r="D27" s="15">
        <v>11</v>
      </c>
      <c r="E27" s="15">
        <v>13</v>
      </c>
      <c r="F27" s="15">
        <v>16</v>
      </c>
      <c r="G27" s="15">
        <v>18</v>
      </c>
      <c r="H27" s="15">
        <v>120</v>
      </c>
      <c r="I27" s="15">
        <v>71</v>
      </c>
      <c r="J27" s="15">
        <v>15</v>
      </c>
      <c r="K27" s="15">
        <v>72</v>
      </c>
      <c r="L27" s="15">
        <v>117</v>
      </c>
      <c r="M27" s="15">
        <v>14</v>
      </c>
      <c r="N27" s="15">
        <v>26</v>
      </c>
      <c r="O27" s="15">
        <v>27</v>
      </c>
      <c r="P27" s="15">
        <v>29</v>
      </c>
      <c r="Q27" s="15">
        <v>37</v>
      </c>
      <c r="R27" s="15">
        <v>38</v>
      </c>
      <c r="S27" s="15">
        <v>39</v>
      </c>
      <c r="T27" s="15">
        <v>40</v>
      </c>
      <c r="U27" s="17" t="s">
        <v>632</v>
      </c>
      <c r="V27">
        <v>24</v>
      </c>
      <c r="W27" t="s">
        <v>273</v>
      </c>
      <c r="Y27" t="s">
        <v>274</v>
      </c>
    </row>
    <row r="28" spans="1:25" x14ac:dyDescent="0.25">
      <c r="A28" s="96">
        <v>41</v>
      </c>
      <c r="B28" s="15">
        <v>42</v>
      </c>
      <c r="C28" s="15">
        <v>43</v>
      </c>
      <c r="D28" s="15">
        <v>44</v>
      </c>
      <c r="E28" s="15">
        <v>45</v>
      </c>
      <c r="F28" s="15">
        <v>46</v>
      </c>
      <c r="G28" s="15">
        <v>53</v>
      </c>
      <c r="H28" s="15">
        <v>54</v>
      </c>
      <c r="I28" s="15">
        <v>55</v>
      </c>
      <c r="J28" s="15">
        <v>56</v>
      </c>
      <c r="K28" s="15">
        <v>57</v>
      </c>
      <c r="L28" s="15">
        <v>118</v>
      </c>
      <c r="M28" s="15">
        <v>119</v>
      </c>
      <c r="N28" s="15"/>
      <c r="O28" s="15"/>
      <c r="P28" s="15"/>
      <c r="Q28" s="15"/>
      <c r="R28" s="15"/>
      <c r="S28" s="15"/>
      <c r="T28" s="15"/>
      <c r="U28" s="17" t="s">
        <v>632</v>
      </c>
      <c r="V28">
        <v>25</v>
      </c>
      <c r="W28" t="s">
        <v>275</v>
      </c>
      <c r="Y28" t="s">
        <v>276</v>
      </c>
    </row>
    <row r="29" spans="1:25" x14ac:dyDescent="0.25">
      <c r="V29">
        <v>26</v>
      </c>
      <c r="W29" t="s">
        <v>277</v>
      </c>
      <c r="X29" t="s">
        <v>279</v>
      </c>
      <c r="Y29" t="s">
        <v>278</v>
      </c>
    </row>
    <row r="30" spans="1:25" x14ac:dyDescent="0.25">
      <c r="A30" s="95" t="s">
        <v>520</v>
      </c>
      <c r="B30" t="s">
        <v>521</v>
      </c>
      <c r="C30" t="s">
        <v>522</v>
      </c>
      <c r="V30">
        <v>27</v>
      </c>
      <c r="W30" s="1" t="s">
        <v>280</v>
      </c>
      <c r="X30" t="s">
        <v>279</v>
      </c>
      <c r="Y30" t="s">
        <v>281</v>
      </c>
    </row>
    <row r="31" spans="1:25" x14ac:dyDescent="0.25">
      <c r="C31" t="s">
        <v>626</v>
      </c>
      <c r="V31">
        <v>28</v>
      </c>
      <c r="W31" t="s">
        <v>282</v>
      </c>
      <c r="X31" t="s">
        <v>279</v>
      </c>
      <c r="Y31" t="s">
        <v>283</v>
      </c>
    </row>
    <row r="32" spans="1:25" x14ac:dyDescent="0.25">
      <c r="C32" t="s">
        <v>627</v>
      </c>
      <c r="V32">
        <v>29</v>
      </c>
      <c r="W32" t="s">
        <v>284</v>
      </c>
      <c r="X32" t="s">
        <v>279</v>
      </c>
      <c r="Y32" t="s">
        <v>285</v>
      </c>
    </row>
    <row r="33" spans="1:25" ht="15.75" x14ac:dyDescent="0.25">
      <c r="A33" s="98"/>
      <c r="B33" s="11"/>
      <c r="C33" t="s">
        <v>523</v>
      </c>
      <c r="E33" s="11"/>
      <c r="F33" s="11"/>
      <c r="G33" s="11"/>
      <c r="H33" s="11"/>
      <c r="I33" s="11"/>
      <c r="J33" s="11"/>
      <c r="K33" s="11"/>
      <c r="L33" s="11"/>
      <c r="M33" s="11"/>
      <c r="N33" s="11"/>
      <c r="O33" s="11"/>
      <c r="P33" s="11"/>
      <c r="Q33" s="11"/>
      <c r="V33">
        <v>30</v>
      </c>
      <c r="W33" t="s">
        <v>286</v>
      </c>
      <c r="X33" t="s">
        <v>279</v>
      </c>
      <c r="Y33" t="s">
        <v>287</v>
      </c>
    </row>
    <row r="34" spans="1:25" x14ac:dyDescent="0.25">
      <c r="A34" s="97"/>
      <c r="G34" s="12"/>
      <c r="H34" s="10"/>
      <c r="I34" s="10"/>
      <c r="J34" s="10"/>
      <c r="K34" s="10"/>
      <c r="L34" s="10"/>
      <c r="M34" s="10"/>
      <c r="N34" s="10"/>
      <c r="O34" s="10"/>
      <c r="P34" s="10"/>
      <c r="Q34" s="10"/>
      <c r="V34">
        <v>31</v>
      </c>
      <c r="W34" t="s">
        <v>288</v>
      </c>
      <c r="X34" t="s">
        <v>279</v>
      </c>
      <c r="Y34" t="s">
        <v>289</v>
      </c>
    </row>
    <row r="35" spans="1:25" x14ac:dyDescent="0.25">
      <c r="A35" s="97"/>
      <c r="B35" s="3" t="s">
        <v>28</v>
      </c>
      <c r="C35" s="14" t="s">
        <v>630</v>
      </c>
      <c r="D35" s="3" t="s">
        <v>631</v>
      </c>
      <c r="E35" s="3" t="s">
        <v>15</v>
      </c>
      <c r="G35" s="12"/>
      <c r="H35" s="10"/>
      <c r="I35" s="10"/>
      <c r="J35" s="10"/>
      <c r="K35" s="10"/>
      <c r="L35" s="10"/>
      <c r="M35" s="10"/>
      <c r="N35" s="10"/>
      <c r="O35" s="10"/>
      <c r="P35" s="10"/>
      <c r="Q35" s="10"/>
      <c r="V35">
        <v>32</v>
      </c>
      <c r="W35" t="s">
        <v>290</v>
      </c>
      <c r="Y35" t="s">
        <v>291</v>
      </c>
    </row>
    <row r="36" spans="1:25" x14ac:dyDescent="0.25">
      <c r="B36" s="10">
        <v>1</v>
      </c>
      <c r="C36" s="16">
        <v>0</v>
      </c>
      <c r="D36" s="12" t="s">
        <v>544</v>
      </c>
      <c r="E36" s="12" t="s">
        <v>545</v>
      </c>
      <c r="G36" s="12"/>
      <c r="K36" s="4"/>
      <c r="R36" s="11"/>
      <c r="T36" s="11"/>
      <c r="V36">
        <v>33</v>
      </c>
      <c r="W36" t="s">
        <v>292</v>
      </c>
      <c r="X36" t="s">
        <v>232</v>
      </c>
      <c r="Y36" t="s">
        <v>293</v>
      </c>
    </row>
    <row r="37" spans="1:25" x14ac:dyDescent="0.25">
      <c r="B37" s="12">
        <v>2</v>
      </c>
      <c r="C37" s="16">
        <v>0</v>
      </c>
      <c r="D37" s="12" t="s">
        <v>546</v>
      </c>
      <c r="E37" s="12" t="s">
        <v>547</v>
      </c>
      <c r="G37" s="12"/>
      <c r="K37" s="4"/>
      <c r="R37" s="10"/>
      <c r="T37" s="10"/>
      <c r="V37">
        <v>34</v>
      </c>
      <c r="W37" t="s">
        <v>294</v>
      </c>
      <c r="Y37" t="s">
        <v>295</v>
      </c>
    </row>
    <row r="38" spans="1:25" x14ac:dyDescent="0.25">
      <c r="B38" s="12">
        <v>3</v>
      </c>
      <c r="C38" s="16">
        <v>0</v>
      </c>
      <c r="D38" s="12" t="s">
        <v>548</v>
      </c>
      <c r="E38" s="12" t="s">
        <v>549</v>
      </c>
      <c r="G38" s="12"/>
      <c r="K38" s="4"/>
      <c r="R38" s="10"/>
      <c r="T38" s="11"/>
      <c r="V38">
        <v>35</v>
      </c>
      <c r="W38" t="s">
        <v>296</v>
      </c>
      <c r="Y38" t="s">
        <v>297</v>
      </c>
    </row>
    <row r="39" spans="1:25" x14ac:dyDescent="0.25">
      <c r="B39" s="10">
        <v>4</v>
      </c>
      <c r="C39" s="16">
        <v>0</v>
      </c>
      <c r="D39" s="12" t="s">
        <v>550</v>
      </c>
      <c r="E39" s="12" t="s">
        <v>551</v>
      </c>
      <c r="G39" s="12"/>
      <c r="K39" s="4"/>
      <c r="V39">
        <v>36</v>
      </c>
      <c r="W39" t="s">
        <v>298</v>
      </c>
      <c r="X39" t="s">
        <v>279</v>
      </c>
      <c r="Y39" t="s">
        <v>299</v>
      </c>
    </row>
    <row r="40" spans="1:25" x14ac:dyDescent="0.25">
      <c r="B40" s="12">
        <v>5</v>
      </c>
      <c r="C40" s="16">
        <v>0</v>
      </c>
      <c r="D40" s="12" t="s">
        <v>552</v>
      </c>
      <c r="E40" s="12" t="s">
        <v>553</v>
      </c>
      <c r="G40" s="12"/>
      <c r="K40" s="4"/>
      <c r="V40">
        <v>37</v>
      </c>
      <c r="W40" s="1" t="s">
        <v>300</v>
      </c>
      <c r="X40" t="s">
        <v>302</v>
      </c>
      <c r="Y40" t="s">
        <v>301</v>
      </c>
    </row>
    <row r="41" spans="1:25" x14ac:dyDescent="0.25">
      <c r="B41" s="12">
        <v>6</v>
      </c>
      <c r="C41" s="16">
        <v>0</v>
      </c>
      <c r="D41" s="12" t="s">
        <v>554</v>
      </c>
      <c r="E41" s="12" t="s">
        <v>555</v>
      </c>
      <c r="G41" s="12"/>
      <c r="K41" s="4"/>
      <c r="V41">
        <v>38</v>
      </c>
      <c r="W41" t="s">
        <v>303</v>
      </c>
      <c r="X41" t="s">
        <v>302</v>
      </c>
      <c r="Y41" t="s">
        <v>304</v>
      </c>
    </row>
    <row r="42" spans="1:25" x14ac:dyDescent="0.25">
      <c r="B42" s="12">
        <v>7</v>
      </c>
      <c r="C42" s="16">
        <v>0</v>
      </c>
      <c r="D42" s="12" t="s">
        <v>556</v>
      </c>
      <c r="E42" s="12" t="s">
        <v>557</v>
      </c>
      <c r="G42" s="12"/>
      <c r="K42" s="4"/>
      <c r="V42">
        <v>39</v>
      </c>
      <c r="W42" t="s">
        <v>305</v>
      </c>
      <c r="X42" t="s">
        <v>302</v>
      </c>
      <c r="Y42" t="s">
        <v>306</v>
      </c>
    </row>
    <row r="43" spans="1:25" x14ac:dyDescent="0.25">
      <c r="B43" s="10">
        <v>8</v>
      </c>
      <c r="C43" s="16">
        <v>0</v>
      </c>
      <c r="D43" s="12" t="s">
        <v>558</v>
      </c>
      <c r="E43" s="12" t="s">
        <v>559</v>
      </c>
      <c r="G43" s="12"/>
      <c r="K43" s="4"/>
      <c r="V43">
        <v>40</v>
      </c>
      <c r="W43" t="s">
        <v>307</v>
      </c>
      <c r="X43" t="s">
        <v>302</v>
      </c>
      <c r="Y43" t="s">
        <v>308</v>
      </c>
    </row>
    <row r="44" spans="1:25" x14ac:dyDescent="0.25">
      <c r="B44" s="10">
        <v>9</v>
      </c>
      <c r="C44" s="16">
        <v>0</v>
      </c>
      <c r="D44" s="12" t="s">
        <v>560</v>
      </c>
      <c r="E44" s="12" t="s">
        <v>561</v>
      </c>
      <c r="G44" s="12"/>
      <c r="K44" s="4"/>
      <c r="V44">
        <v>41</v>
      </c>
      <c r="W44" t="s">
        <v>309</v>
      </c>
      <c r="X44" t="s">
        <v>302</v>
      </c>
      <c r="Y44" t="s">
        <v>310</v>
      </c>
    </row>
    <row r="45" spans="1:25" x14ac:dyDescent="0.25">
      <c r="B45" s="12">
        <v>10</v>
      </c>
      <c r="C45" s="16">
        <v>0</v>
      </c>
      <c r="D45" s="12" t="s">
        <v>562</v>
      </c>
      <c r="E45" s="12" t="s">
        <v>563</v>
      </c>
      <c r="G45" s="12"/>
      <c r="K45" s="4"/>
      <c r="V45">
        <v>42</v>
      </c>
      <c r="W45" t="s">
        <v>311</v>
      </c>
      <c r="X45" t="s">
        <v>302</v>
      </c>
      <c r="Y45" t="s">
        <v>312</v>
      </c>
    </row>
    <row r="46" spans="1:25" x14ac:dyDescent="0.25">
      <c r="B46" s="10">
        <v>11</v>
      </c>
      <c r="C46" s="16">
        <v>0</v>
      </c>
      <c r="D46" s="12" t="s">
        <v>564</v>
      </c>
      <c r="E46" s="12" t="s">
        <v>565</v>
      </c>
      <c r="G46" s="12"/>
      <c r="K46" s="4"/>
      <c r="V46">
        <v>43</v>
      </c>
      <c r="W46" t="s">
        <v>313</v>
      </c>
      <c r="X46" t="s">
        <v>302</v>
      </c>
      <c r="Y46" t="s">
        <v>314</v>
      </c>
    </row>
    <row r="47" spans="1:25" x14ac:dyDescent="0.25">
      <c r="B47" s="12">
        <v>12</v>
      </c>
      <c r="C47" s="16">
        <v>0</v>
      </c>
      <c r="D47" s="12" t="s">
        <v>566</v>
      </c>
      <c r="E47" s="12" t="s">
        <v>612</v>
      </c>
      <c r="G47" s="12"/>
      <c r="K47" s="4"/>
      <c r="V47">
        <v>44</v>
      </c>
      <c r="W47" t="s">
        <v>315</v>
      </c>
      <c r="X47" t="s">
        <v>302</v>
      </c>
      <c r="Y47" t="s">
        <v>316</v>
      </c>
    </row>
    <row r="48" spans="1:25" x14ac:dyDescent="0.25">
      <c r="B48">
        <v>13</v>
      </c>
      <c r="C48" s="16">
        <v>0</v>
      </c>
      <c r="D48" s="12" t="s">
        <v>567</v>
      </c>
      <c r="E48" s="12" t="s">
        <v>568</v>
      </c>
      <c r="G48" s="12"/>
      <c r="K48" s="4"/>
      <c r="V48">
        <v>45</v>
      </c>
      <c r="W48" t="s">
        <v>317</v>
      </c>
      <c r="X48" t="s">
        <v>302</v>
      </c>
      <c r="Y48" t="s">
        <v>318</v>
      </c>
    </row>
    <row r="49" spans="2:25" x14ac:dyDescent="0.25">
      <c r="B49">
        <v>14</v>
      </c>
      <c r="C49" s="16">
        <v>0</v>
      </c>
      <c r="D49" s="12" t="s">
        <v>967</v>
      </c>
      <c r="E49" s="12" t="s">
        <v>968</v>
      </c>
      <c r="G49" s="12"/>
      <c r="K49" s="4"/>
      <c r="V49">
        <v>46</v>
      </c>
      <c r="W49" t="s">
        <v>319</v>
      </c>
      <c r="X49" t="s">
        <v>302</v>
      </c>
      <c r="Y49" t="s">
        <v>320</v>
      </c>
    </row>
    <row r="50" spans="2:25" x14ac:dyDescent="0.25">
      <c r="B50">
        <v>15</v>
      </c>
      <c r="C50" s="16">
        <v>0</v>
      </c>
      <c r="D50" s="12" t="s">
        <v>569</v>
      </c>
      <c r="E50" s="12" t="s">
        <v>570</v>
      </c>
      <c r="G50" s="12"/>
      <c r="K50" s="4"/>
      <c r="V50">
        <v>47</v>
      </c>
      <c r="W50" t="s">
        <v>321</v>
      </c>
      <c r="X50" t="s">
        <v>302</v>
      </c>
      <c r="Y50" t="s">
        <v>322</v>
      </c>
    </row>
    <row r="51" spans="2:25" x14ac:dyDescent="0.25">
      <c r="B51">
        <v>16</v>
      </c>
      <c r="C51" s="16">
        <v>0</v>
      </c>
      <c r="D51" s="12" t="s">
        <v>571</v>
      </c>
      <c r="E51" s="12" t="s">
        <v>572</v>
      </c>
      <c r="G51" s="12"/>
      <c r="K51" s="4"/>
      <c r="V51">
        <v>48</v>
      </c>
      <c r="W51" t="s">
        <v>323</v>
      </c>
      <c r="X51" t="s">
        <v>302</v>
      </c>
      <c r="Y51" t="s">
        <v>324</v>
      </c>
    </row>
    <row r="52" spans="2:25" x14ac:dyDescent="0.25">
      <c r="B52">
        <v>17</v>
      </c>
      <c r="C52" s="16">
        <v>0</v>
      </c>
      <c r="D52" s="12" t="s">
        <v>573</v>
      </c>
      <c r="E52" s="12" t="s">
        <v>574</v>
      </c>
      <c r="G52" s="12"/>
      <c r="K52" s="4"/>
      <c r="V52">
        <v>49</v>
      </c>
      <c r="W52" t="s">
        <v>325</v>
      </c>
      <c r="X52" t="s">
        <v>302</v>
      </c>
      <c r="Y52" t="s">
        <v>326</v>
      </c>
    </row>
    <row r="53" spans="2:25" x14ac:dyDescent="0.25">
      <c r="B53">
        <v>18</v>
      </c>
      <c r="C53" s="16">
        <v>0</v>
      </c>
      <c r="D53" s="12" t="s">
        <v>575</v>
      </c>
      <c r="E53" s="12" t="s">
        <v>576</v>
      </c>
      <c r="G53" s="12"/>
      <c r="K53" s="4"/>
      <c r="V53">
        <v>50</v>
      </c>
      <c r="W53" t="s">
        <v>327</v>
      </c>
      <c r="X53" t="s">
        <v>302</v>
      </c>
      <c r="Y53" t="s">
        <v>328</v>
      </c>
    </row>
    <row r="54" spans="2:25" x14ac:dyDescent="0.25">
      <c r="B54">
        <v>19</v>
      </c>
      <c r="C54" s="16">
        <v>0</v>
      </c>
      <c r="D54" s="12" t="s">
        <v>577</v>
      </c>
      <c r="E54" s="12" t="s">
        <v>578</v>
      </c>
      <c r="G54" s="12"/>
      <c r="K54" s="4"/>
      <c r="V54">
        <v>51</v>
      </c>
      <c r="W54" t="s">
        <v>329</v>
      </c>
      <c r="X54" t="s">
        <v>302</v>
      </c>
      <c r="Y54" t="s">
        <v>330</v>
      </c>
    </row>
    <row r="55" spans="2:25" x14ac:dyDescent="0.25">
      <c r="B55">
        <v>20</v>
      </c>
      <c r="C55" s="16">
        <v>0</v>
      </c>
      <c r="D55" s="12" t="s">
        <v>579</v>
      </c>
      <c r="E55" s="12" t="s">
        <v>580</v>
      </c>
      <c r="G55" s="12"/>
      <c r="K55" s="4"/>
      <c r="V55">
        <v>52</v>
      </c>
      <c r="W55" t="s">
        <v>331</v>
      </c>
      <c r="Y55" t="s">
        <v>332</v>
      </c>
    </row>
    <row r="56" spans="2:25" x14ac:dyDescent="0.25">
      <c r="B56">
        <v>21</v>
      </c>
      <c r="C56" s="16">
        <v>0</v>
      </c>
      <c r="D56" s="12" t="s">
        <v>581</v>
      </c>
      <c r="E56" s="12" t="s">
        <v>582</v>
      </c>
      <c r="G56" s="12"/>
      <c r="K56" s="4"/>
      <c r="V56">
        <v>53</v>
      </c>
      <c r="W56" t="s">
        <v>205</v>
      </c>
      <c r="X56" t="s">
        <v>302</v>
      </c>
      <c r="Y56" t="s">
        <v>333</v>
      </c>
    </row>
    <row r="57" spans="2:25" x14ac:dyDescent="0.25">
      <c r="B57">
        <v>22</v>
      </c>
      <c r="C57" s="16">
        <v>0</v>
      </c>
      <c r="D57" s="12" t="s">
        <v>583</v>
      </c>
      <c r="E57" s="12" t="s">
        <v>584</v>
      </c>
      <c r="G57" s="12"/>
      <c r="K57" s="4"/>
      <c r="V57">
        <v>54</v>
      </c>
      <c r="W57" t="s">
        <v>334</v>
      </c>
      <c r="X57" t="s">
        <v>302</v>
      </c>
      <c r="Y57" t="s">
        <v>335</v>
      </c>
    </row>
    <row r="58" spans="2:25" x14ac:dyDescent="0.25">
      <c r="B58">
        <v>23</v>
      </c>
      <c r="C58" s="16">
        <v>0</v>
      </c>
      <c r="D58" s="12" t="s">
        <v>585</v>
      </c>
      <c r="E58" s="12" t="s">
        <v>586</v>
      </c>
      <c r="G58" s="12"/>
      <c r="K58" s="4"/>
      <c r="R58" s="11"/>
      <c r="V58">
        <v>55</v>
      </c>
      <c r="W58" t="s">
        <v>336</v>
      </c>
      <c r="X58" t="s">
        <v>302</v>
      </c>
      <c r="Y58" t="s">
        <v>337</v>
      </c>
    </row>
    <row r="59" spans="2:25" x14ac:dyDescent="0.25">
      <c r="B59" s="10">
        <v>24</v>
      </c>
      <c r="C59" s="16">
        <v>0</v>
      </c>
      <c r="D59" s="12" t="s">
        <v>587</v>
      </c>
      <c r="E59" s="12" t="s">
        <v>588</v>
      </c>
      <c r="G59" s="12"/>
      <c r="K59" s="4"/>
      <c r="R59" s="11"/>
      <c r="V59">
        <v>56</v>
      </c>
      <c r="W59" t="s">
        <v>206</v>
      </c>
      <c r="X59" t="s">
        <v>302</v>
      </c>
      <c r="Y59" t="s">
        <v>338</v>
      </c>
    </row>
    <row r="60" spans="2:25" x14ac:dyDescent="0.25">
      <c r="B60">
        <v>25</v>
      </c>
      <c r="C60" s="16">
        <v>0</v>
      </c>
      <c r="D60" s="12" t="s">
        <v>589</v>
      </c>
      <c r="E60" s="12" t="s">
        <v>590</v>
      </c>
      <c r="G60" s="12"/>
      <c r="K60" s="4"/>
      <c r="V60">
        <v>57</v>
      </c>
      <c r="W60" t="s">
        <v>339</v>
      </c>
      <c r="X60" t="s">
        <v>302</v>
      </c>
      <c r="Y60" t="s">
        <v>340</v>
      </c>
    </row>
    <row r="61" spans="2:25" x14ac:dyDescent="0.25">
      <c r="B61">
        <v>26</v>
      </c>
      <c r="C61" s="16">
        <v>0</v>
      </c>
      <c r="D61" s="12" t="s">
        <v>591</v>
      </c>
      <c r="E61" s="12" t="s">
        <v>592</v>
      </c>
      <c r="G61" s="12"/>
      <c r="K61" s="4"/>
      <c r="V61">
        <v>58</v>
      </c>
      <c r="W61" t="s">
        <v>341</v>
      </c>
      <c r="X61" t="s">
        <v>279</v>
      </c>
      <c r="Y61" t="s">
        <v>342</v>
      </c>
    </row>
    <row r="62" spans="2:25" x14ac:dyDescent="0.25">
      <c r="B62">
        <v>27</v>
      </c>
      <c r="C62" s="16">
        <v>0</v>
      </c>
      <c r="D62" s="12" t="s">
        <v>593</v>
      </c>
      <c r="E62" s="12" t="s">
        <v>594</v>
      </c>
      <c r="G62" s="12"/>
      <c r="K62" s="4"/>
      <c r="V62">
        <v>59</v>
      </c>
      <c r="W62" t="s">
        <v>343</v>
      </c>
      <c r="X62" t="s">
        <v>1523</v>
      </c>
      <c r="Y62" t="s">
        <v>344</v>
      </c>
    </row>
    <row r="63" spans="2:25" x14ac:dyDescent="0.25">
      <c r="B63">
        <v>28</v>
      </c>
      <c r="C63" s="16">
        <v>0</v>
      </c>
      <c r="D63" s="12" t="s">
        <v>595</v>
      </c>
      <c r="E63" s="12" t="s">
        <v>596</v>
      </c>
      <c r="G63" s="12"/>
      <c r="K63" s="4"/>
      <c r="V63">
        <v>60</v>
      </c>
      <c r="W63" t="s">
        <v>345</v>
      </c>
      <c r="Y63" t="s">
        <v>346</v>
      </c>
    </row>
    <row r="64" spans="2:25" x14ac:dyDescent="0.25">
      <c r="B64">
        <v>29</v>
      </c>
      <c r="C64" s="16">
        <v>0</v>
      </c>
      <c r="D64" s="12" t="s">
        <v>597</v>
      </c>
      <c r="E64" s="12" t="s">
        <v>598</v>
      </c>
      <c r="G64" s="12"/>
      <c r="K64" s="4"/>
      <c r="V64">
        <v>61</v>
      </c>
      <c r="W64" t="s">
        <v>347</v>
      </c>
      <c r="X64" t="s">
        <v>302</v>
      </c>
      <c r="Y64" t="s">
        <v>348</v>
      </c>
    </row>
    <row r="65" spans="2:25" x14ac:dyDescent="0.25">
      <c r="B65">
        <v>30</v>
      </c>
      <c r="C65" s="16">
        <v>0</v>
      </c>
      <c r="D65" s="12" t="s">
        <v>599</v>
      </c>
      <c r="E65" s="12" t="s">
        <v>600</v>
      </c>
      <c r="G65" s="12"/>
      <c r="K65" s="4"/>
      <c r="V65">
        <v>62</v>
      </c>
      <c r="W65" t="s">
        <v>349</v>
      </c>
      <c r="X65" t="s">
        <v>302</v>
      </c>
      <c r="Y65" t="s">
        <v>350</v>
      </c>
    </row>
    <row r="66" spans="2:25" x14ac:dyDescent="0.25">
      <c r="B66">
        <v>31</v>
      </c>
      <c r="C66" s="16">
        <v>0</v>
      </c>
      <c r="D66" s="12" t="s">
        <v>601</v>
      </c>
      <c r="E66" s="12" t="s">
        <v>602</v>
      </c>
      <c r="G66" s="12"/>
      <c r="K66" s="4"/>
      <c r="V66">
        <v>63</v>
      </c>
      <c r="W66" t="s">
        <v>351</v>
      </c>
      <c r="X66" t="s">
        <v>232</v>
      </c>
      <c r="Y66" t="s">
        <v>352</v>
      </c>
    </row>
    <row r="67" spans="2:25" x14ac:dyDescent="0.25">
      <c r="B67">
        <v>32</v>
      </c>
      <c r="C67" s="16">
        <v>0</v>
      </c>
      <c r="D67" s="12" t="s">
        <v>603</v>
      </c>
      <c r="E67" s="12" t="s">
        <v>615</v>
      </c>
      <c r="G67" s="12"/>
      <c r="K67" s="4"/>
      <c r="V67">
        <v>64</v>
      </c>
      <c r="W67" t="s">
        <v>353</v>
      </c>
      <c r="X67" t="s">
        <v>232</v>
      </c>
      <c r="Y67" t="s">
        <v>354</v>
      </c>
    </row>
    <row r="68" spans="2:25" x14ac:dyDescent="0.25">
      <c r="B68">
        <v>33</v>
      </c>
      <c r="C68" s="16">
        <v>0</v>
      </c>
      <c r="D68" s="12" t="s">
        <v>969</v>
      </c>
      <c r="E68" s="12" t="s">
        <v>970</v>
      </c>
      <c r="G68" s="12"/>
      <c r="K68" s="4"/>
      <c r="V68">
        <v>65</v>
      </c>
      <c r="W68" t="s">
        <v>355</v>
      </c>
      <c r="X68" t="s">
        <v>232</v>
      </c>
      <c r="Y68" t="s">
        <v>356</v>
      </c>
    </row>
    <row r="69" spans="2:25" x14ac:dyDescent="0.25">
      <c r="B69">
        <v>34</v>
      </c>
      <c r="C69" s="16">
        <v>0</v>
      </c>
      <c r="D69" s="12" t="s">
        <v>604</v>
      </c>
      <c r="E69" s="12" t="s">
        <v>605</v>
      </c>
      <c r="G69" s="12"/>
      <c r="K69" s="4"/>
      <c r="V69">
        <v>66</v>
      </c>
      <c r="W69" t="s">
        <v>357</v>
      </c>
      <c r="X69" t="s">
        <v>232</v>
      </c>
      <c r="Y69" t="s">
        <v>358</v>
      </c>
    </row>
    <row r="70" spans="2:25" x14ac:dyDescent="0.25">
      <c r="B70">
        <v>35</v>
      </c>
      <c r="C70" s="16">
        <v>1</v>
      </c>
      <c r="D70" s="12" t="s">
        <v>606</v>
      </c>
      <c r="E70" s="12" t="s">
        <v>607</v>
      </c>
      <c r="G70" s="12"/>
      <c r="K70" s="4"/>
      <c r="V70">
        <v>67</v>
      </c>
      <c r="W70" t="s">
        <v>359</v>
      </c>
      <c r="X70" t="s">
        <v>232</v>
      </c>
      <c r="Y70" t="s">
        <v>360</v>
      </c>
    </row>
    <row r="71" spans="2:25" x14ac:dyDescent="0.25">
      <c r="B71">
        <v>36</v>
      </c>
      <c r="C71" s="16">
        <v>0</v>
      </c>
      <c r="D71" s="12" t="s">
        <v>608</v>
      </c>
      <c r="E71" s="12" t="s">
        <v>609</v>
      </c>
      <c r="G71" s="12"/>
      <c r="K71" s="4"/>
      <c r="V71">
        <v>68</v>
      </c>
      <c r="W71" t="s">
        <v>361</v>
      </c>
      <c r="X71" t="s">
        <v>363</v>
      </c>
      <c r="Y71" t="s">
        <v>362</v>
      </c>
    </row>
    <row r="72" spans="2:25" x14ac:dyDescent="0.25">
      <c r="B72">
        <v>37</v>
      </c>
      <c r="C72" s="16">
        <v>0</v>
      </c>
      <c r="D72" s="12" t="s">
        <v>610</v>
      </c>
      <c r="E72" s="12" t="s">
        <v>614</v>
      </c>
      <c r="K72" s="4"/>
      <c r="V72">
        <v>69</v>
      </c>
      <c r="W72" t="s">
        <v>364</v>
      </c>
      <c r="X72" t="s">
        <v>363</v>
      </c>
      <c r="Y72" t="s">
        <v>365</v>
      </c>
    </row>
    <row r="73" spans="2:25" x14ac:dyDescent="0.25">
      <c r="B73">
        <v>38</v>
      </c>
      <c r="C73" s="16">
        <v>0</v>
      </c>
      <c r="D73" s="12" t="s">
        <v>611</v>
      </c>
      <c r="E73" s="12" t="s">
        <v>613</v>
      </c>
      <c r="K73" s="4"/>
      <c r="V73">
        <v>70</v>
      </c>
      <c r="W73" t="s">
        <v>366</v>
      </c>
      <c r="X73" t="s">
        <v>363</v>
      </c>
      <c r="Y73" t="s">
        <v>367</v>
      </c>
    </row>
    <row r="74" spans="2:25" x14ac:dyDescent="0.25">
      <c r="B74">
        <v>39</v>
      </c>
      <c r="C74" s="16">
        <v>0</v>
      </c>
      <c r="D74" s="9" t="s">
        <v>1564</v>
      </c>
      <c r="E74" s="12" t="s">
        <v>1570</v>
      </c>
      <c r="V74">
        <v>71</v>
      </c>
      <c r="W74" s="203" t="s">
        <v>368</v>
      </c>
      <c r="X74" s="203" t="s">
        <v>232</v>
      </c>
      <c r="Y74" s="203" t="s">
        <v>369</v>
      </c>
    </row>
    <row r="75" spans="2:25" x14ac:dyDescent="0.25">
      <c r="B75">
        <v>40</v>
      </c>
      <c r="C75" s="16">
        <v>0</v>
      </c>
      <c r="D75" s="9" t="s">
        <v>1565</v>
      </c>
      <c r="E75" s="12" t="s">
        <v>1571</v>
      </c>
      <c r="V75">
        <v>72</v>
      </c>
      <c r="W75" s="203" t="s">
        <v>370</v>
      </c>
      <c r="X75" s="203" t="s">
        <v>232</v>
      </c>
      <c r="Y75" s="203" t="s">
        <v>371</v>
      </c>
    </row>
    <row r="76" spans="2:25" x14ac:dyDescent="0.25">
      <c r="B76">
        <v>41</v>
      </c>
      <c r="C76" s="16">
        <v>0</v>
      </c>
      <c r="D76" s="9" t="s">
        <v>1566</v>
      </c>
      <c r="E76" s="12" t="s">
        <v>1572</v>
      </c>
      <c r="V76">
        <v>73</v>
      </c>
      <c r="W76" t="s">
        <v>372</v>
      </c>
      <c r="X76" t="s">
        <v>302</v>
      </c>
      <c r="Y76" t="s">
        <v>373</v>
      </c>
    </row>
    <row r="77" spans="2:25" x14ac:dyDescent="0.25">
      <c r="B77">
        <v>42</v>
      </c>
      <c r="C77" s="16">
        <v>0</v>
      </c>
      <c r="D77" s="9" t="s">
        <v>1567</v>
      </c>
      <c r="E77" s="12" t="s">
        <v>1573</v>
      </c>
      <c r="V77">
        <v>74</v>
      </c>
      <c r="W77" t="s">
        <v>374</v>
      </c>
      <c r="X77" t="s">
        <v>302</v>
      </c>
      <c r="Y77" t="s">
        <v>375</v>
      </c>
    </row>
    <row r="78" spans="2:25" x14ac:dyDescent="0.25">
      <c r="B78">
        <v>43</v>
      </c>
      <c r="C78" s="16">
        <v>0</v>
      </c>
      <c r="D78" s="9" t="s">
        <v>971</v>
      </c>
      <c r="E78" s="12" t="s">
        <v>972</v>
      </c>
      <c r="V78">
        <v>75</v>
      </c>
      <c r="W78" t="s">
        <v>376</v>
      </c>
      <c r="X78" t="s">
        <v>302</v>
      </c>
      <c r="Y78" t="s">
        <v>377</v>
      </c>
    </row>
    <row r="79" spans="2:25" x14ac:dyDescent="0.25">
      <c r="B79">
        <v>44</v>
      </c>
      <c r="C79" s="16">
        <v>0</v>
      </c>
      <c r="D79" s="9" t="s">
        <v>1568</v>
      </c>
      <c r="E79" t="s">
        <v>1574</v>
      </c>
      <c r="V79">
        <v>76</v>
      </c>
      <c r="W79" t="s">
        <v>378</v>
      </c>
      <c r="X79" t="s">
        <v>302</v>
      </c>
      <c r="Y79" t="s">
        <v>379</v>
      </c>
    </row>
    <row r="80" spans="2:25" x14ac:dyDescent="0.25">
      <c r="B80">
        <v>45</v>
      </c>
      <c r="C80" s="16">
        <v>0</v>
      </c>
      <c r="D80" s="9" t="s">
        <v>1569</v>
      </c>
      <c r="E80" t="s">
        <v>1575</v>
      </c>
      <c r="V80">
        <v>77</v>
      </c>
      <c r="W80" t="s">
        <v>380</v>
      </c>
      <c r="X80" t="s">
        <v>302</v>
      </c>
      <c r="Y80" t="s">
        <v>381</v>
      </c>
    </row>
    <row r="81" spans="2:25" x14ac:dyDescent="0.25">
      <c r="B81">
        <v>46</v>
      </c>
      <c r="C81" s="16"/>
      <c r="D81" s="50" t="s">
        <v>922</v>
      </c>
      <c r="V81">
        <v>78</v>
      </c>
      <c r="W81" t="s">
        <v>382</v>
      </c>
      <c r="X81" t="s">
        <v>279</v>
      </c>
      <c r="Y81" t="s">
        <v>383</v>
      </c>
    </row>
    <row r="82" spans="2:25" x14ac:dyDescent="0.25">
      <c r="B82">
        <v>47</v>
      </c>
      <c r="C82" s="16"/>
      <c r="D82" s="50" t="s">
        <v>922</v>
      </c>
      <c r="V82">
        <v>79</v>
      </c>
      <c r="W82" t="s">
        <v>384</v>
      </c>
      <c r="X82" t="s">
        <v>232</v>
      </c>
      <c r="Y82" t="s">
        <v>385</v>
      </c>
    </row>
    <row r="83" spans="2:25" x14ac:dyDescent="0.25">
      <c r="B83">
        <v>48</v>
      </c>
      <c r="C83" s="16"/>
      <c r="D83" s="50" t="s">
        <v>922</v>
      </c>
      <c r="V83">
        <v>80</v>
      </c>
      <c r="W83" t="s">
        <v>386</v>
      </c>
      <c r="X83" t="s">
        <v>302</v>
      </c>
      <c r="Y83" t="s">
        <v>387</v>
      </c>
    </row>
    <row r="84" spans="2:25" x14ac:dyDescent="0.25">
      <c r="B84">
        <v>49</v>
      </c>
      <c r="C84" s="16"/>
      <c r="D84" s="50" t="s">
        <v>922</v>
      </c>
      <c r="V84">
        <v>81</v>
      </c>
      <c r="W84" t="s">
        <v>388</v>
      </c>
      <c r="X84" t="s">
        <v>302</v>
      </c>
      <c r="Y84" t="s">
        <v>389</v>
      </c>
    </row>
    <row r="85" spans="2:25" x14ac:dyDescent="0.25">
      <c r="B85">
        <v>50</v>
      </c>
      <c r="C85" s="16"/>
      <c r="D85" s="12" t="s">
        <v>1375</v>
      </c>
      <c r="E85" t="s">
        <v>1376</v>
      </c>
      <c r="V85">
        <v>82</v>
      </c>
      <c r="W85" t="s">
        <v>390</v>
      </c>
      <c r="X85" t="s">
        <v>302</v>
      </c>
      <c r="Y85" t="s">
        <v>391</v>
      </c>
    </row>
    <row r="86" spans="2:25" x14ac:dyDescent="0.25">
      <c r="B86">
        <v>51</v>
      </c>
      <c r="C86" s="16"/>
      <c r="D86" s="50" t="s">
        <v>922</v>
      </c>
      <c r="V86">
        <v>83</v>
      </c>
      <c r="W86" s="203" t="s">
        <v>392</v>
      </c>
      <c r="X86" s="203" t="s">
        <v>232</v>
      </c>
      <c r="Y86" s="203" t="s">
        <v>393</v>
      </c>
    </row>
    <row r="87" spans="2:25" x14ac:dyDescent="0.25">
      <c r="B87">
        <v>52</v>
      </c>
      <c r="C87" s="16"/>
      <c r="D87" s="50" t="s">
        <v>922</v>
      </c>
      <c r="V87">
        <v>84</v>
      </c>
      <c r="W87" t="s">
        <v>394</v>
      </c>
      <c r="X87" t="s">
        <v>302</v>
      </c>
      <c r="Y87" t="s">
        <v>395</v>
      </c>
    </row>
    <row r="88" spans="2:25" x14ac:dyDescent="0.25">
      <c r="B88">
        <v>53</v>
      </c>
      <c r="C88" s="16"/>
      <c r="D88" s="50" t="s">
        <v>922</v>
      </c>
      <c r="V88">
        <v>85</v>
      </c>
      <c r="W88" t="s">
        <v>396</v>
      </c>
      <c r="X88" t="s">
        <v>232</v>
      </c>
      <c r="Y88" t="s">
        <v>397</v>
      </c>
    </row>
    <row r="89" spans="2:25" x14ac:dyDescent="0.25">
      <c r="B89">
        <v>54</v>
      </c>
      <c r="C89" s="16"/>
      <c r="D89" s="50" t="s">
        <v>922</v>
      </c>
      <c r="V89">
        <v>86</v>
      </c>
      <c r="W89" t="s">
        <v>398</v>
      </c>
      <c r="X89" t="s">
        <v>232</v>
      </c>
      <c r="Y89" t="s">
        <v>399</v>
      </c>
    </row>
    <row r="90" spans="2:25" x14ac:dyDescent="0.25">
      <c r="B90">
        <v>55</v>
      </c>
      <c r="C90" s="16"/>
      <c r="D90" s="50" t="s">
        <v>922</v>
      </c>
      <c r="V90">
        <v>87</v>
      </c>
      <c r="W90" t="s">
        <v>400</v>
      </c>
      <c r="X90" t="s">
        <v>232</v>
      </c>
      <c r="Y90" t="s">
        <v>401</v>
      </c>
    </row>
    <row r="91" spans="2:25" x14ac:dyDescent="0.25">
      <c r="B91">
        <v>56</v>
      </c>
      <c r="C91" s="16"/>
      <c r="D91" s="50" t="s">
        <v>922</v>
      </c>
      <c r="V91">
        <v>88</v>
      </c>
      <c r="W91" t="s">
        <v>402</v>
      </c>
      <c r="X91" t="s">
        <v>302</v>
      </c>
      <c r="Y91" t="s">
        <v>403</v>
      </c>
    </row>
    <row r="92" spans="2:25" x14ac:dyDescent="0.25">
      <c r="B92">
        <v>57</v>
      </c>
      <c r="C92" s="16"/>
      <c r="D92" s="50" t="s">
        <v>922</v>
      </c>
      <c r="V92">
        <v>89</v>
      </c>
      <c r="W92" t="s">
        <v>404</v>
      </c>
      <c r="X92" t="s">
        <v>302</v>
      </c>
      <c r="Y92" t="s">
        <v>405</v>
      </c>
    </row>
    <row r="93" spans="2:25" x14ac:dyDescent="0.25">
      <c r="B93">
        <v>58</v>
      </c>
      <c r="C93" s="16"/>
      <c r="D93" s="50" t="s">
        <v>922</v>
      </c>
      <c r="V93">
        <v>90</v>
      </c>
      <c r="W93" t="s">
        <v>406</v>
      </c>
      <c r="X93" t="s">
        <v>302</v>
      </c>
      <c r="Y93" t="s">
        <v>407</v>
      </c>
    </row>
    <row r="94" spans="2:25" x14ac:dyDescent="0.25">
      <c r="B94">
        <v>59</v>
      </c>
      <c r="C94" s="16"/>
      <c r="D94" s="50" t="s">
        <v>922</v>
      </c>
      <c r="V94">
        <v>91</v>
      </c>
      <c r="W94" t="s">
        <v>408</v>
      </c>
      <c r="X94" t="s">
        <v>302</v>
      </c>
      <c r="Y94" t="s">
        <v>409</v>
      </c>
    </row>
    <row r="95" spans="2:25" x14ac:dyDescent="0.25">
      <c r="B95">
        <v>60</v>
      </c>
      <c r="C95" s="16"/>
      <c r="D95" s="50" t="s">
        <v>922</v>
      </c>
      <c r="V95">
        <v>92</v>
      </c>
      <c r="W95" t="s">
        <v>410</v>
      </c>
      <c r="X95" t="s">
        <v>302</v>
      </c>
      <c r="Y95" t="s">
        <v>411</v>
      </c>
    </row>
    <row r="96" spans="2:25" x14ac:dyDescent="0.25">
      <c r="C96" s="16"/>
      <c r="V96">
        <v>93</v>
      </c>
      <c r="W96" t="s">
        <v>412</v>
      </c>
      <c r="X96" t="s">
        <v>302</v>
      </c>
      <c r="Y96" t="s">
        <v>413</v>
      </c>
    </row>
    <row r="97" spans="3:25" x14ac:dyDescent="0.25">
      <c r="C97" s="16"/>
      <c r="V97">
        <v>94</v>
      </c>
      <c r="W97" t="s">
        <v>414</v>
      </c>
      <c r="X97" t="s">
        <v>302</v>
      </c>
      <c r="Y97" t="s">
        <v>415</v>
      </c>
    </row>
    <row r="98" spans="3:25" x14ac:dyDescent="0.25">
      <c r="C98" s="16"/>
      <c r="V98">
        <v>95</v>
      </c>
      <c r="W98" s="203" t="s">
        <v>416</v>
      </c>
      <c r="X98" s="203" t="s">
        <v>232</v>
      </c>
      <c r="Y98" s="203" t="s">
        <v>417</v>
      </c>
    </row>
    <row r="99" spans="3:25" x14ac:dyDescent="0.25">
      <c r="C99" s="16"/>
      <c r="V99">
        <v>96</v>
      </c>
      <c r="W99" t="s">
        <v>418</v>
      </c>
      <c r="X99" t="s">
        <v>302</v>
      </c>
      <c r="Y99" t="s">
        <v>419</v>
      </c>
    </row>
    <row r="100" spans="3:25" x14ac:dyDescent="0.25">
      <c r="C100" s="16"/>
      <c r="V100">
        <v>97</v>
      </c>
      <c r="W100" t="s">
        <v>420</v>
      </c>
      <c r="X100" t="s">
        <v>232</v>
      </c>
      <c r="Y100" t="s">
        <v>421</v>
      </c>
    </row>
    <row r="101" spans="3:25" x14ac:dyDescent="0.25">
      <c r="C101" s="16"/>
      <c r="V101">
        <v>98</v>
      </c>
      <c r="W101" t="s">
        <v>422</v>
      </c>
      <c r="X101" t="s">
        <v>424</v>
      </c>
      <c r="Y101" t="s">
        <v>423</v>
      </c>
    </row>
    <row r="102" spans="3:25" x14ac:dyDescent="0.25">
      <c r="C102" s="16"/>
      <c r="V102">
        <v>99</v>
      </c>
      <c r="W102" t="s">
        <v>208</v>
      </c>
      <c r="Y102" t="s">
        <v>425</v>
      </c>
    </row>
    <row r="103" spans="3:25" x14ac:dyDescent="0.25">
      <c r="C103" s="16"/>
      <c r="V103">
        <v>100</v>
      </c>
      <c r="W103" t="s">
        <v>426</v>
      </c>
      <c r="X103" t="s">
        <v>232</v>
      </c>
      <c r="Y103" t="s">
        <v>231</v>
      </c>
    </row>
    <row r="104" spans="3:25" x14ac:dyDescent="0.25">
      <c r="C104" s="16"/>
      <c r="V104">
        <v>101</v>
      </c>
      <c r="W104" t="s">
        <v>427</v>
      </c>
      <c r="X104" t="s">
        <v>302</v>
      </c>
      <c r="Y104" t="s">
        <v>428</v>
      </c>
    </row>
    <row r="105" spans="3:25" x14ac:dyDescent="0.25">
      <c r="C105" s="16"/>
      <c r="V105">
        <v>102</v>
      </c>
      <c r="W105" t="s">
        <v>429</v>
      </c>
      <c r="X105" t="s">
        <v>302</v>
      </c>
      <c r="Y105" t="s">
        <v>430</v>
      </c>
    </row>
    <row r="106" spans="3:25" x14ac:dyDescent="0.25">
      <c r="C106" s="16"/>
      <c r="V106">
        <v>103</v>
      </c>
      <c r="W106" t="s">
        <v>431</v>
      </c>
      <c r="X106" t="s">
        <v>279</v>
      </c>
      <c r="Y106" t="s">
        <v>432</v>
      </c>
    </row>
    <row r="107" spans="3:25" x14ac:dyDescent="0.25">
      <c r="C107" s="16"/>
      <c r="V107">
        <v>104</v>
      </c>
      <c r="W107" t="s">
        <v>433</v>
      </c>
      <c r="X107" t="s">
        <v>232</v>
      </c>
      <c r="Y107" t="s">
        <v>434</v>
      </c>
    </row>
    <row r="108" spans="3:25" x14ac:dyDescent="0.25">
      <c r="C108" s="16"/>
      <c r="V108">
        <v>105</v>
      </c>
      <c r="W108" t="s">
        <v>435</v>
      </c>
      <c r="X108" t="s">
        <v>302</v>
      </c>
      <c r="Y108" t="s">
        <v>436</v>
      </c>
    </row>
    <row r="109" spans="3:25" x14ac:dyDescent="0.25">
      <c r="C109" s="16"/>
      <c r="V109">
        <v>106</v>
      </c>
      <c r="W109" t="s">
        <v>437</v>
      </c>
      <c r="X109" t="s">
        <v>302</v>
      </c>
      <c r="Y109" t="s">
        <v>438</v>
      </c>
    </row>
    <row r="110" spans="3:25" x14ac:dyDescent="0.25">
      <c r="C110" s="16"/>
      <c r="V110">
        <v>107</v>
      </c>
      <c r="W110" t="s">
        <v>439</v>
      </c>
      <c r="X110" t="s">
        <v>279</v>
      </c>
      <c r="Y110" t="s">
        <v>440</v>
      </c>
    </row>
    <row r="111" spans="3:25" x14ac:dyDescent="0.25">
      <c r="C111" s="16"/>
      <c r="V111">
        <v>108</v>
      </c>
      <c r="W111" t="s">
        <v>441</v>
      </c>
      <c r="X111" t="s">
        <v>302</v>
      </c>
      <c r="Y111" t="s">
        <v>442</v>
      </c>
    </row>
    <row r="112" spans="3:25" x14ac:dyDescent="0.25">
      <c r="C112" s="16"/>
      <c r="V112">
        <v>109</v>
      </c>
      <c r="W112" t="s">
        <v>443</v>
      </c>
      <c r="X112" t="s">
        <v>302</v>
      </c>
      <c r="Y112" t="s">
        <v>444</v>
      </c>
    </row>
    <row r="113" spans="3:25" x14ac:dyDescent="0.25">
      <c r="C113" s="16"/>
      <c r="V113">
        <v>110</v>
      </c>
      <c r="W113" t="s">
        <v>445</v>
      </c>
      <c r="X113" t="s">
        <v>232</v>
      </c>
      <c r="Y113" t="s">
        <v>446</v>
      </c>
    </row>
    <row r="114" spans="3:25" x14ac:dyDescent="0.25">
      <c r="C114" s="16"/>
      <c r="V114">
        <v>111</v>
      </c>
      <c r="W114" t="s">
        <v>447</v>
      </c>
      <c r="X114" t="s">
        <v>449</v>
      </c>
      <c r="Y114" t="s">
        <v>448</v>
      </c>
    </row>
    <row r="115" spans="3:25" x14ac:dyDescent="0.25">
      <c r="C115" s="16"/>
      <c r="V115">
        <v>112</v>
      </c>
      <c r="W115" t="s">
        <v>450</v>
      </c>
      <c r="X115" t="s">
        <v>452</v>
      </c>
      <c r="Y115" t="s">
        <v>451</v>
      </c>
    </row>
    <row r="116" spans="3:25" x14ac:dyDescent="0.25">
      <c r="C116" s="16"/>
      <c r="V116">
        <v>113</v>
      </c>
      <c r="W116" t="s">
        <v>453</v>
      </c>
      <c r="X116" t="s">
        <v>302</v>
      </c>
      <c r="Y116" t="s">
        <v>454</v>
      </c>
    </row>
    <row r="117" spans="3:25" x14ac:dyDescent="0.25">
      <c r="C117" s="16"/>
      <c r="V117">
        <v>114</v>
      </c>
      <c r="W117" t="s">
        <v>455</v>
      </c>
      <c r="X117" t="s">
        <v>302</v>
      </c>
      <c r="Y117" t="s">
        <v>456</v>
      </c>
    </row>
    <row r="118" spans="3:25" x14ac:dyDescent="0.25">
      <c r="C118" s="16"/>
      <c r="V118">
        <v>115</v>
      </c>
      <c r="W118" t="s">
        <v>457</v>
      </c>
      <c r="X118" t="s">
        <v>302</v>
      </c>
      <c r="Y118" t="s">
        <v>458</v>
      </c>
    </row>
    <row r="119" spans="3:25" x14ac:dyDescent="0.25">
      <c r="C119" s="16"/>
      <c r="V119">
        <v>116</v>
      </c>
      <c r="W119" t="s">
        <v>459</v>
      </c>
      <c r="X119" t="s">
        <v>302</v>
      </c>
      <c r="Y119" t="s">
        <v>460</v>
      </c>
    </row>
    <row r="120" spans="3:25" x14ac:dyDescent="0.25">
      <c r="C120" s="16"/>
      <c r="V120">
        <v>117</v>
      </c>
      <c r="W120" s="1" t="s">
        <v>461</v>
      </c>
      <c r="X120" t="s">
        <v>232</v>
      </c>
      <c r="Y120" t="s">
        <v>462</v>
      </c>
    </row>
    <row r="121" spans="3:25" x14ac:dyDescent="0.25">
      <c r="C121" s="16"/>
      <c r="V121">
        <v>118</v>
      </c>
      <c r="W121" t="s">
        <v>463</v>
      </c>
      <c r="X121" t="s">
        <v>302</v>
      </c>
      <c r="Y121" t="s">
        <v>464</v>
      </c>
    </row>
    <row r="122" spans="3:25" x14ac:dyDescent="0.25">
      <c r="C122" s="16"/>
      <c r="V122">
        <v>119</v>
      </c>
      <c r="W122" t="s">
        <v>465</v>
      </c>
      <c r="X122" t="s">
        <v>302</v>
      </c>
      <c r="Y122" t="s">
        <v>466</v>
      </c>
    </row>
    <row r="123" spans="3:25" x14ac:dyDescent="0.25">
      <c r="C123" s="16"/>
      <c r="V123">
        <v>120</v>
      </c>
      <c r="W123" s="203" t="s">
        <v>467</v>
      </c>
      <c r="X123" s="203" t="s">
        <v>232</v>
      </c>
      <c r="Y123" s="203" t="s">
        <v>468</v>
      </c>
    </row>
    <row r="124" spans="3:25" x14ac:dyDescent="0.25">
      <c r="C124" s="16"/>
      <c r="V124">
        <v>121</v>
      </c>
      <c r="W124" t="s">
        <v>469</v>
      </c>
      <c r="X124" t="s">
        <v>471</v>
      </c>
      <c r="Y124" t="s">
        <v>470</v>
      </c>
    </row>
    <row r="125" spans="3:25" x14ac:dyDescent="0.25">
      <c r="C125" s="16"/>
      <c r="V125">
        <v>122</v>
      </c>
      <c r="W125" t="s">
        <v>472</v>
      </c>
      <c r="X125" t="s">
        <v>474</v>
      </c>
      <c r="Y125" t="s">
        <v>473</v>
      </c>
    </row>
    <row r="126" spans="3:25" x14ac:dyDescent="0.25">
      <c r="C126" s="16"/>
      <c r="V126">
        <v>123</v>
      </c>
      <c r="W126" t="s">
        <v>475</v>
      </c>
      <c r="X126" t="s">
        <v>474</v>
      </c>
      <c r="Y126" t="s">
        <v>476</v>
      </c>
    </row>
    <row r="127" spans="3:25" x14ac:dyDescent="0.25">
      <c r="C127" s="16"/>
      <c r="V127">
        <v>124</v>
      </c>
      <c r="W127" t="s">
        <v>477</v>
      </c>
      <c r="X127" t="s">
        <v>279</v>
      </c>
      <c r="Y127" t="s">
        <v>478</v>
      </c>
    </row>
    <row r="128" spans="3:25" ht="16.5" x14ac:dyDescent="0.25">
      <c r="C128" s="16"/>
      <c r="V128">
        <v>125</v>
      </c>
      <c r="W128" t="s">
        <v>479</v>
      </c>
      <c r="X128" t="s">
        <v>481</v>
      </c>
      <c r="Y128" t="s">
        <v>480</v>
      </c>
    </row>
    <row r="129" spans="3:25" ht="16.5" x14ac:dyDescent="0.25">
      <c r="C129" s="16"/>
      <c r="V129">
        <v>126</v>
      </c>
      <c r="W129" t="s">
        <v>482</v>
      </c>
      <c r="X129" t="s">
        <v>481</v>
      </c>
      <c r="Y129" t="s">
        <v>356</v>
      </c>
    </row>
    <row r="130" spans="3:25" ht="16.5" x14ac:dyDescent="0.25">
      <c r="C130" s="16"/>
      <c r="V130">
        <v>127</v>
      </c>
      <c r="W130" t="s">
        <v>483</v>
      </c>
      <c r="X130" t="s">
        <v>481</v>
      </c>
      <c r="Y130" t="s">
        <v>484</v>
      </c>
    </row>
    <row r="131" spans="3:25" x14ac:dyDescent="0.25">
      <c r="C131" s="16"/>
      <c r="V131">
        <v>128</v>
      </c>
      <c r="W131" t="s">
        <v>485</v>
      </c>
      <c r="X131" t="s">
        <v>302</v>
      </c>
      <c r="Y131" t="s">
        <v>486</v>
      </c>
    </row>
    <row r="132" spans="3:25" x14ac:dyDescent="0.25">
      <c r="C132" s="16"/>
      <c r="V132">
        <v>129</v>
      </c>
      <c r="W132" t="s">
        <v>487</v>
      </c>
      <c r="X132" t="s">
        <v>302</v>
      </c>
      <c r="Y132" t="s">
        <v>488</v>
      </c>
    </row>
    <row r="133" spans="3:25" x14ac:dyDescent="0.25">
      <c r="C133" s="16"/>
      <c r="V133">
        <v>130</v>
      </c>
      <c r="W133" t="s">
        <v>489</v>
      </c>
      <c r="X133" t="s">
        <v>302</v>
      </c>
      <c r="Y133" t="s">
        <v>490</v>
      </c>
    </row>
    <row r="134" spans="3:25" x14ac:dyDescent="0.25">
      <c r="C134" s="16"/>
      <c r="V134">
        <v>131</v>
      </c>
      <c r="W134" t="s">
        <v>491</v>
      </c>
      <c r="X134" t="s">
        <v>302</v>
      </c>
      <c r="Y134" t="s">
        <v>492</v>
      </c>
    </row>
    <row r="135" spans="3:25" x14ac:dyDescent="0.25">
      <c r="C135" s="16"/>
      <c r="V135">
        <v>132</v>
      </c>
      <c r="W135" t="s">
        <v>493</v>
      </c>
      <c r="X135" t="s">
        <v>302</v>
      </c>
      <c r="Y135" t="s">
        <v>494</v>
      </c>
    </row>
    <row r="136" spans="3:25" x14ac:dyDescent="0.25">
      <c r="C136" s="16"/>
      <c r="V136">
        <v>133</v>
      </c>
      <c r="W136" t="s">
        <v>495</v>
      </c>
      <c r="X136" t="s">
        <v>302</v>
      </c>
      <c r="Y136" t="s">
        <v>496</v>
      </c>
    </row>
    <row r="137" spans="3:25" x14ac:dyDescent="0.25">
      <c r="C137" s="16"/>
      <c r="V137">
        <v>134</v>
      </c>
      <c r="W137" t="s">
        <v>497</v>
      </c>
      <c r="X137" t="s">
        <v>302</v>
      </c>
      <c r="Y137" t="s">
        <v>498</v>
      </c>
    </row>
    <row r="138" spans="3:25" x14ac:dyDescent="0.25">
      <c r="C138" s="16"/>
      <c r="V138">
        <v>135</v>
      </c>
      <c r="W138" t="s">
        <v>499</v>
      </c>
      <c r="X138" t="s">
        <v>302</v>
      </c>
      <c r="Y138" t="s">
        <v>500</v>
      </c>
    </row>
    <row r="139" spans="3:25" x14ac:dyDescent="0.25">
      <c r="C139" s="16"/>
      <c r="V139">
        <v>136</v>
      </c>
      <c r="W139" t="s">
        <v>501</v>
      </c>
      <c r="X139" t="s">
        <v>302</v>
      </c>
      <c r="Y139" t="s">
        <v>502</v>
      </c>
    </row>
    <row r="140" spans="3:25" x14ac:dyDescent="0.25">
      <c r="C140" s="16"/>
      <c r="V140">
        <v>137</v>
      </c>
      <c r="W140" t="s">
        <v>503</v>
      </c>
      <c r="X140" t="s">
        <v>302</v>
      </c>
      <c r="Y140" t="s">
        <v>504</v>
      </c>
    </row>
    <row r="141" spans="3:25" x14ac:dyDescent="0.25">
      <c r="C141" s="16"/>
      <c r="V141">
        <v>138</v>
      </c>
      <c r="W141" t="s">
        <v>505</v>
      </c>
      <c r="X141" t="s">
        <v>302</v>
      </c>
      <c r="Y141" t="s">
        <v>506</v>
      </c>
    </row>
    <row r="142" spans="3:25" x14ac:dyDescent="0.25">
      <c r="C142" s="16"/>
      <c r="V142">
        <v>139</v>
      </c>
      <c r="W142" t="s">
        <v>507</v>
      </c>
      <c r="X142" t="s">
        <v>279</v>
      </c>
      <c r="Y142" t="s">
        <v>508</v>
      </c>
    </row>
    <row r="143" spans="3:25" x14ac:dyDescent="0.25">
      <c r="C143" s="16"/>
      <c r="V143">
        <v>140</v>
      </c>
      <c r="W143" t="s">
        <v>509</v>
      </c>
      <c r="X143" t="s">
        <v>302</v>
      </c>
      <c r="Y143" t="s">
        <v>510</v>
      </c>
    </row>
    <row r="144" spans="3:25" x14ac:dyDescent="0.25">
      <c r="C144" s="16"/>
      <c r="V144">
        <v>141</v>
      </c>
      <c r="W144" t="s">
        <v>511</v>
      </c>
      <c r="X144" t="s">
        <v>513</v>
      </c>
      <c r="Y144" t="s">
        <v>512</v>
      </c>
    </row>
    <row r="145" spans="3:25" x14ac:dyDescent="0.25">
      <c r="C145" s="16"/>
      <c r="V145">
        <v>142</v>
      </c>
      <c r="W145" t="s">
        <v>514</v>
      </c>
      <c r="X145" t="s">
        <v>302</v>
      </c>
      <c r="Y145" t="s">
        <v>515</v>
      </c>
    </row>
    <row r="146" spans="3:25" x14ac:dyDescent="0.25">
      <c r="C146" s="16"/>
      <c r="V146">
        <v>143</v>
      </c>
      <c r="W146" t="s">
        <v>516</v>
      </c>
      <c r="X146" t="s">
        <v>302</v>
      </c>
      <c r="Y146" t="s">
        <v>517</v>
      </c>
    </row>
    <row r="147" spans="3:25" x14ac:dyDescent="0.25">
      <c r="C147" s="16"/>
      <c r="V147">
        <v>144</v>
      </c>
      <c r="W147" t="s">
        <v>518</v>
      </c>
      <c r="X147" t="s">
        <v>513</v>
      </c>
      <c r="Y147" t="s">
        <v>1520</v>
      </c>
    </row>
    <row r="148" spans="3:25" x14ac:dyDescent="0.25">
      <c r="C148" s="16"/>
      <c r="V148">
        <v>145</v>
      </c>
      <c r="W148" t="s">
        <v>519</v>
      </c>
      <c r="X148" t="s">
        <v>513</v>
      </c>
      <c r="Y148" t="s">
        <v>1521</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9" r:id="rId4" name="cmdWritePrnt">
          <controlPr defaultSize="0" autoLine="0" r:id="rId5">
            <anchor moveWithCells="1">
              <from>
                <xdr:col>8</xdr:col>
                <xdr:colOff>485775</xdr:colOff>
                <xdr:row>0</xdr:row>
                <xdr:rowOff>57150</xdr:rowOff>
              </from>
              <to>
                <xdr:col>10</xdr:col>
                <xdr:colOff>285750</xdr:colOff>
                <xdr:row>1</xdr:row>
                <xdr:rowOff>114300</xdr:rowOff>
              </to>
            </anchor>
          </controlPr>
        </control>
      </mc:Choice>
      <mc:Fallback>
        <control shapeId="10249" r:id="rId4" name="cmdWritePrnt"/>
      </mc:Fallback>
    </mc:AlternateContent>
    <mc:AlternateContent xmlns:mc="http://schemas.openxmlformats.org/markup-compatibility/2006">
      <mc:Choice Requires="x14">
        <control shapeId="10248" r:id="rId6" name="cmdReadPrnt">
          <controlPr defaultSize="0" autoLine="0" r:id="rId7">
            <anchor moveWithCells="1">
              <from>
                <xdr:col>7</xdr:col>
                <xdr:colOff>38100</xdr:colOff>
                <xdr:row>0</xdr:row>
                <xdr:rowOff>57150</xdr:rowOff>
              </from>
              <to>
                <xdr:col>8</xdr:col>
                <xdr:colOff>447675</xdr:colOff>
                <xdr:row>1</xdr:row>
                <xdr:rowOff>114300</xdr:rowOff>
              </to>
            </anchor>
          </controlPr>
        </control>
      </mc:Choice>
      <mc:Fallback>
        <control shapeId="10248" r:id="rId6" name="cmdReadPrnt"/>
      </mc:Fallback>
    </mc:AlternateContent>
    <mc:AlternateContent xmlns:mc="http://schemas.openxmlformats.org/markup-compatibility/2006">
      <mc:Choice Requires="x14">
        <control shapeId="10250" r:id="rId8" name="cmdRun">
          <controlPr defaultSize="0" autoLine="0" r:id="rId9">
            <anchor moveWithCells="1">
              <from>
                <xdr:col>10</xdr:col>
                <xdr:colOff>371475</xdr:colOff>
                <xdr:row>0</xdr:row>
                <xdr:rowOff>57150</xdr:rowOff>
              </from>
              <to>
                <xdr:col>12</xdr:col>
                <xdr:colOff>171450</xdr:colOff>
                <xdr:row>1</xdr:row>
                <xdr:rowOff>114300</xdr:rowOff>
              </to>
            </anchor>
          </controlPr>
        </control>
      </mc:Choice>
      <mc:Fallback>
        <control shapeId="10250" r:id="rId8" name="cmdRu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vt:i4>
      </vt:variant>
    </vt:vector>
  </HeadingPairs>
  <TitlesOfParts>
    <vt:vector size="24" baseType="lpstr">
      <vt:lpstr>FILENAMES</vt:lpstr>
      <vt:lpstr>APEXFILE.DAT</vt:lpstr>
      <vt:lpstr>APEXRUN.DAT</vt:lpstr>
      <vt:lpstr>APEXCONT.DAT</vt:lpstr>
      <vt:lpstr>SUBAREA.SUB</vt:lpstr>
      <vt:lpstr>APEXDIM.DAT</vt:lpstr>
      <vt:lpstr>PARM.DAT</vt:lpstr>
      <vt:lpstr>TILL.DAT</vt:lpstr>
      <vt:lpstr>CROP.DAT</vt:lpstr>
      <vt:lpstr>FERT.DAT</vt:lpstr>
      <vt:lpstr>PEST.DAT</vt:lpstr>
      <vt:lpstr>OPS.OPC</vt:lpstr>
      <vt:lpstr>SOL.SOL</vt:lpstr>
      <vt:lpstr>OPSC.LIST</vt:lpstr>
      <vt:lpstr>SOLC.LIST</vt:lpstr>
      <vt:lpstr>WDLST.LIST</vt:lpstr>
      <vt:lpstr>WPM1.LIST</vt:lpstr>
      <vt:lpstr>WIND.LIST</vt:lpstr>
      <vt:lpstr>SIT.SIT</vt:lpstr>
      <vt:lpstr>PRINT.DAT</vt:lpstr>
      <vt:lpstr>APEXDIM.DAT!_Toc352162512</vt:lpstr>
      <vt:lpstr>APEXFILE.DAT!OLE_LINK29</vt:lpstr>
      <vt:lpstr>APEXCONT.DAT!OLE_LINK33</vt:lpstr>
      <vt:lpstr>PRINT.DAT!OLE_LINK52</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Javier Osorio</dc:creator>
  <cp:lastModifiedBy>Seonggyu Park</cp:lastModifiedBy>
  <cp:lastPrinted>2015-03-20T15:31:51Z</cp:lastPrinted>
  <dcterms:created xsi:type="dcterms:W3CDTF">2014-12-08T17:04:50Z</dcterms:created>
  <dcterms:modified xsi:type="dcterms:W3CDTF">2020-10-23T18:04:32Z</dcterms:modified>
</cp:coreProperties>
</file>